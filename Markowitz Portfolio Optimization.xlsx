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l8/Desktop/Teaching/Fall 2025/"/>
    </mc:Choice>
  </mc:AlternateContent>
  <xr:revisionPtr revIDLastSave="0" documentId="13_ncr:1_{C26ED310-A27C-744F-A17E-E3E5F4F9DCA3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multiple risky assets" sheetId="1" r:id="rId1"/>
  </sheets>
  <definedNames>
    <definedName name="_xlnm._FilterDatabase" localSheetId="0" hidden="1">'multiple risky assets'!$AN$2:$AO$983</definedName>
    <definedName name="MeanDeviation">'multiple risky assets'!$M$3:$Q$128</definedName>
    <definedName name="N">'multiple risky assets'!$S$3</definedName>
    <definedName name="solver_adj" localSheetId="0" hidden="1">'multiple risky assets'!$S$41:$W$41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'multiple risky assets'!$X$41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opt" localSheetId="0" hidden="1">'multiple risky assets'!$S$44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hs1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  <definedName name="stddev">'multiple risky assets'!$S$4:$W$4</definedName>
    <definedName name="var_covar">'multiple risky assets'!$S$9:$W$13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1" l="1" a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S2" i="1"/>
  <c r="M3" i="1"/>
  <c r="M4" i="1"/>
  <c r="M5" i="1"/>
  <c r="M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T2" i="1"/>
  <c r="N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U2" i="1"/>
  <c r="O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V2" i="1"/>
  <c r="P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W2" i="1"/>
  <c r="Q3" i="1"/>
  <c r="N4" i="1"/>
  <c r="O4" i="1"/>
  <c r="P4" i="1"/>
  <c r="Q4" i="1"/>
  <c r="N5" i="1"/>
  <c r="O5" i="1"/>
  <c r="P5" i="1"/>
  <c r="Q5" i="1"/>
  <c r="N6" i="1"/>
  <c r="O6" i="1"/>
  <c r="P6" i="1"/>
  <c r="Q6" i="1"/>
  <c r="M7" i="1"/>
  <c r="N7" i="1"/>
  <c r="O7" i="1"/>
  <c r="P7" i="1"/>
  <c r="Q7" i="1"/>
  <c r="M8" i="1"/>
  <c r="N8" i="1"/>
  <c r="O8" i="1"/>
  <c r="P8" i="1"/>
  <c r="Q8" i="1"/>
  <c r="M9" i="1"/>
  <c r="N9" i="1"/>
  <c r="O9" i="1"/>
  <c r="P9" i="1"/>
  <c r="Q9" i="1"/>
  <c r="M10" i="1"/>
  <c r="N10" i="1"/>
  <c r="O10" i="1"/>
  <c r="P10" i="1"/>
  <c r="Q10" i="1"/>
  <c r="M11" i="1"/>
  <c r="N11" i="1"/>
  <c r="O11" i="1"/>
  <c r="P11" i="1"/>
  <c r="Q11" i="1"/>
  <c r="M12" i="1"/>
  <c r="N12" i="1"/>
  <c r="O12" i="1"/>
  <c r="P12" i="1"/>
  <c r="Q12" i="1"/>
  <c r="M13" i="1"/>
  <c r="N13" i="1"/>
  <c r="O13" i="1"/>
  <c r="P13" i="1"/>
  <c r="Q13" i="1"/>
  <c r="M14" i="1"/>
  <c r="N14" i="1"/>
  <c r="O14" i="1"/>
  <c r="P14" i="1"/>
  <c r="Q14" i="1"/>
  <c r="M15" i="1"/>
  <c r="N15" i="1"/>
  <c r="O15" i="1"/>
  <c r="P15" i="1"/>
  <c r="Q15" i="1"/>
  <c r="M16" i="1"/>
  <c r="N16" i="1"/>
  <c r="O16" i="1"/>
  <c r="P16" i="1"/>
  <c r="Q16" i="1"/>
  <c r="M17" i="1"/>
  <c r="N17" i="1"/>
  <c r="O17" i="1"/>
  <c r="P17" i="1"/>
  <c r="Q17" i="1"/>
  <c r="M18" i="1"/>
  <c r="N18" i="1"/>
  <c r="O18" i="1"/>
  <c r="P18" i="1"/>
  <c r="Q18" i="1"/>
  <c r="M19" i="1"/>
  <c r="N19" i="1"/>
  <c r="O19" i="1"/>
  <c r="P19" i="1"/>
  <c r="Q19" i="1"/>
  <c r="M20" i="1"/>
  <c r="N20" i="1"/>
  <c r="O20" i="1"/>
  <c r="P20" i="1"/>
  <c r="Q20" i="1"/>
  <c r="M21" i="1"/>
  <c r="N21" i="1"/>
  <c r="O21" i="1"/>
  <c r="P21" i="1"/>
  <c r="Q21" i="1"/>
  <c r="M22" i="1"/>
  <c r="N22" i="1"/>
  <c r="O22" i="1"/>
  <c r="P22" i="1"/>
  <c r="Q22" i="1"/>
  <c r="M23" i="1"/>
  <c r="N23" i="1"/>
  <c r="O23" i="1"/>
  <c r="P23" i="1"/>
  <c r="Q23" i="1"/>
  <c r="M24" i="1"/>
  <c r="N24" i="1"/>
  <c r="O24" i="1"/>
  <c r="P24" i="1"/>
  <c r="Q24" i="1"/>
  <c r="M25" i="1"/>
  <c r="N25" i="1"/>
  <c r="O25" i="1"/>
  <c r="P25" i="1"/>
  <c r="Q25" i="1"/>
  <c r="M26" i="1"/>
  <c r="N26" i="1"/>
  <c r="O26" i="1"/>
  <c r="P26" i="1"/>
  <c r="Q26" i="1"/>
  <c r="M27" i="1"/>
  <c r="N27" i="1"/>
  <c r="O27" i="1"/>
  <c r="P27" i="1"/>
  <c r="Q27" i="1"/>
  <c r="M28" i="1"/>
  <c r="N28" i="1"/>
  <c r="O28" i="1"/>
  <c r="P28" i="1"/>
  <c r="Q28" i="1"/>
  <c r="M29" i="1"/>
  <c r="N29" i="1"/>
  <c r="O29" i="1"/>
  <c r="P29" i="1"/>
  <c r="Q29" i="1"/>
  <c r="M30" i="1"/>
  <c r="N30" i="1"/>
  <c r="O30" i="1"/>
  <c r="P30" i="1"/>
  <c r="Q30" i="1"/>
  <c r="M31" i="1"/>
  <c r="N31" i="1"/>
  <c r="O31" i="1"/>
  <c r="P31" i="1"/>
  <c r="Q31" i="1"/>
  <c r="M32" i="1"/>
  <c r="N32" i="1"/>
  <c r="O32" i="1"/>
  <c r="P32" i="1"/>
  <c r="Q32" i="1"/>
  <c r="M33" i="1"/>
  <c r="N33" i="1"/>
  <c r="O33" i="1"/>
  <c r="P33" i="1"/>
  <c r="Q33" i="1"/>
  <c r="M34" i="1"/>
  <c r="N34" i="1"/>
  <c r="O34" i="1"/>
  <c r="P34" i="1"/>
  <c r="Q34" i="1"/>
  <c r="M35" i="1"/>
  <c r="N35" i="1"/>
  <c r="O35" i="1"/>
  <c r="P35" i="1"/>
  <c r="Q35" i="1"/>
  <c r="M36" i="1"/>
  <c r="N36" i="1"/>
  <c r="O36" i="1"/>
  <c r="P36" i="1"/>
  <c r="Q36" i="1"/>
  <c r="M37" i="1"/>
  <c r="N37" i="1"/>
  <c r="O37" i="1"/>
  <c r="P37" i="1"/>
  <c r="Q37" i="1"/>
  <c r="M38" i="1"/>
  <c r="N38" i="1"/>
  <c r="O38" i="1"/>
  <c r="P38" i="1"/>
  <c r="Q38" i="1"/>
  <c r="M39" i="1"/>
  <c r="N39" i="1"/>
  <c r="O39" i="1"/>
  <c r="P39" i="1"/>
  <c r="Q39" i="1"/>
  <c r="M40" i="1"/>
  <c r="N40" i="1"/>
  <c r="O40" i="1"/>
  <c r="P40" i="1"/>
  <c r="Q40" i="1"/>
  <c r="M41" i="1"/>
  <c r="N41" i="1"/>
  <c r="O41" i="1"/>
  <c r="P41" i="1"/>
  <c r="Q41" i="1"/>
  <c r="M42" i="1"/>
  <c r="N42" i="1"/>
  <c r="O42" i="1"/>
  <c r="P42" i="1"/>
  <c r="Q42" i="1"/>
  <c r="M43" i="1"/>
  <c r="N43" i="1"/>
  <c r="O43" i="1"/>
  <c r="P43" i="1"/>
  <c r="Q43" i="1"/>
  <c r="M44" i="1"/>
  <c r="N44" i="1"/>
  <c r="O44" i="1"/>
  <c r="P44" i="1"/>
  <c r="Q44" i="1"/>
  <c r="M45" i="1"/>
  <c r="N45" i="1"/>
  <c r="O45" i="1"/>
  <c r="P45" i="1"/>
  <c r="Q45" i="1"/>
  <c r="M46" i="1"/>
  <c r="N46" i="1"/>
  <c r="O46" i="1"/>
  <c r="P46" i="1"/>
  <c r="Q46" i="1"/>
  <c r="M47" i="1"/>
  <c r="N47" i="1"/>
  <c r="O47" i="1"/>
  <c r="P47" i="1"/>
  <c r="Q47" i="1"/>
  <c r="M48" i="1"/>
  <c r="N48" i="1"/>
  <c r="O48" i="1"/>
  <c r="P48" i="1"/>
  <c r="Q48" i="1"/>
  <c r="M49" i="1"/>
  <c r="N49" i="1"/>
  <c r="O49" i="1"/>
  <c r="P49" i="1"/>
  <c r="Q49" i="1"/>
  <c r="M50" i="1"/>
  <c r="N50" i="1"/>
  <c r="O50" i="1"/>
  <c r="P50" i="1"/>
  <c r="Q50" i="1"/>
  <c r="M51" i="1"/>
  <c r="N51" i="1"/>
  <c r="O51" i="1"/>
  <c r="P51" i="1"/>
  <c r="Q51" i="1"/>
  <c r="M52" i="1"/>
  <c r="N52" i="1"/>
  <c r="O52" i="1"/>
  <c r="P52" i="1"/>
  <c r="Q52" i="1"/>
  <c r="M53" i="1"/>
  <c r="N53" i="1"/>
  <c r="O53" i="1"/>
  <c r="P53" i="1"/>
  <c r="Q53" i="1"/>
  <c r="M54" i="1"/>
  <c r="N54" i="1"/>
  <c r="O54" i="1"/>
  <c r="P54" i="1"/>
  <c r="Q54" i="1"/>
  <c r="M55" i="1"/>
  <c r="N55" i="1"/>
  <c r="O55" i="1"/>
  <c r="P55" i="1"/>
  <c r="Q55" i="1"/>
  <c r="M56" i="1"/>
  <c r="N56" i="1"/>
  <c r="O56" i="1"/>
  <c r="P56" i="1"/>
  <c r="Q56" i="1"/>
  <c r="M57" i="1"/>
  <c r="N57" i="1"/>
  <c r="O57" i="1"/>
  <c r="P57" i="1"/>
  <c r="Q57" i="1"/>
  <c r="M58" i="1"/>
  <c r="N58" i="1"/>
  <c r="O58" i="1"/>
  <c r="P58" i="1"/>
  <c r="Q58" i="1"/>
  <c r="M59" i="1"/>
  <c r="N59" i="1"/>
  <c r="O59" i="1"/>
  <c r="P59" i="1"/>
  <c r="Q59" i="1"/>
  <c r="M60" i="1"/>
  <c r="N60" i="1"/>
  <c r="O60" i="1"/>
  <c r="P60" i="1"/>
  <c r="Q60" i="1"/>
  <c r="M61" i="1"/>
  <c r="N61" i="1"/>
  <c r="O61" i="1"/>
  <c r="P61" i="1"/>
  <c r="Q61" i="1"/>
  <c r="M62" i="1"/>
  <c r="N62" i="1"/>
  <c r="O62" i="1"/>
  <c r="P62" i="1"/>
  <c r="Q62" i="1"/>
  <c r="M63" i="1"/>
  <c r="N63" i="1"/>
  <c r="O63" i="1"/>
  <c r="P63" i="1"/>
  <c r="Q63" i="1"/>
  <c r="M64" i="1"/>
  <c r="N64" i="1"/>
  <c r="O64" i="1"/>
  <c r="P64" i="1"/>
  <c r="Q64" i="1"/>
  <c r="M65" i="1"/>
  <c r="N65" i="1"/>
  <c r="O65" i="1"/>
  <c r="P65" i="1"/>
  <c r="Q65" i="1"/>
  <c r="M66" i="1"/>
  <c r="N66" i="1"/>
  <c r="O66" i="1"/>
  <c r="P66" i="1"/>
  <c r="Q66" i="1"/>
  <c r="M67" i="1"/>
  <c r="N67" i="1"/>
  <c r="O67" i="1"/>
  <c r="P67" i="1"/>
  <c r="Q67" i="1"/>
  <c r="M68" i="1"/>
  <c r="N68" i="1"/>
  <c r="O68" i="1"/>
  <c r="P68" i="1"/>
  <c r="Q68" i="1"/>
  <c r="M69" i="1"/>
  <c r="N69" i="1"/>
  <c r="O69" i="1"/>
  <c r="P69" i="1"/>
  <c r="Q69" i="1"/>
  <c r="M70" i="1"/>
  <c r="N70" i="1"/>
  <c r="O70" i="1"/>
  <c r="P70" i="1"/>
  <c r="Q70" i="1"/>
  <c r="M71" i="1"/>
  <c r="N71" i="1"/>
  <c r="O71" i="1"/>
  <c r="P71" i="1"/>
  <c r="Q71" i="1"/>
  <c r="M72" i="1"/>
  <c r="N72" i="1"/>
  <c r="O72" i="1"/>
  <c r="P72" i="1"/>
  <c r="Q72" i="1"/>
  <c r="M73" i="1"/>
  <c r="N73" i="1"/>
  <c r="O73" i="1"/>
  <c r="P73" i="1"/>
  <c r="Q73" i="1"/>
  <c r="M74" i="1"/>
  <c r="N74" i="1"/>
  <c r="O74" i="1"/>
  <c r="P74" i="1"/>
  <c r="Q74" i="1"/>
  <c r="M75" i="1"/>
  <c r="N75" i="1"/>
  <c r="O75" i="1"/>
  <c r="P75" i="1"/>
  <c r="Q75" i="1"/>
  <c r="M76" i="1"/>
  <c r="N76" i="1"/>
  <c r="O76" i="1"/>
  <c r="P76" i="1"/>
  <c r="Q76" i="1"/>
  <c r="M77" i="1"/>
  <c r="N77" i="1"/>
  <c r="O77" i="1"/>
  <c r="P77" i="1"/>
  <c r="Q77" i="1"/>
  <c r="M78" i="1"/>
  <c r="N78" i="1"/>
  <c r="O78" i="1"/>
  <c r="P78" i="1"/>
  <c r="Q78" i="1"/>
  <c r="M79" i="1"/>
  <c r="N79" i="1"/>
  <c r="O79" i="1"/>
  <c r="P79" i="1"/>
  <c r="Q79" i="1"/>
  <c r="M80" i="1"/>
  <c r="N80" i="1"/>
  <c r="O80" i="1"/>
  <c r="P80" i="1"/>
  <c r="Q80" i="1"/>
  <c r="M81" i="1"/>
  <c r="N81" i="1"/>
  <c r="O81" i="1"/>
  <c r="P81" i="1"/>
  <c r="Q81" i="1"/>
  <c r="M82" i="1"/>
  <c r="N82" i="1"/>
  <c r="O82" i="1"/>
  <c r="P82" i="1"/>
  <c r="Q82" i="1"/>
  <c r="M83" i="1"/>
  <c r="N83" i="1"/>
  <c r="O83" i="1"/>
  <c r="P83" i="1"/>
  <c r="Q83" i="1"/>
  <c r="M84" i="1"/>
  <c r="N84" i="1"/>
  <c r="O84" i="1"/>
  <c r="P84" i="1"/>
  <c r="Q84" i="1"/>
  <c r="M85" i="1"/>
  <c r="N85" i="1"/>
  <c r="O85" i="1"/>
  <c r="P85" i="1"/>
  <c r="Q85" i="1"/>
  <c r="M86" i="1"/>
  <c r="N86" i="1"/>
  <c r="O86" i="1"/>
  <c r="P86" i="1"/>
  <c r="Q86" i="1"/>
  <c r="M87" i="1"/>
  <c r="N87" i="1"/>
  <c r="O87" i="1"/>
  <c r="P87" i="1"/>
  <c r="Q87" i="1"/>
  <c r="M88" i="1"/>
  <c r="N88" i="1"/>
  <c r="O88" i="1"/>
  <c r="P88" i="1"/>
  <c r="Q88" i="1"/>
  <c r="M89" i="1"/>
  <c r="N89" i="1"/>
  <c r="O89" i="1"/>
  <c r="P89" i="1"/>
  <c r="Q89" i="1"/>
  <c r="M90" i="1"/>
  <c r="N90" i="1"/>
  <c r="O90" i="1"/>
  <c r="P90" i="1"/>
  <c r="Q90" i="1"/>
  <c r="M91" i="1"/>
  <c r="N91" i="1"/>
  <c r="O91" i="1"/>
  <c r="P91" i="1"/>
  <c r="Q91" i="1"/>
  <c r="M92" i="1"/>
  <c r="N92" i="1"/>
  <c r="O92" i="1"/>
  <c r="P92" i="1"/>
  <c r="Q92" i="1"/>
  <c r="M93" i="1"/>
  <c r="N93" i="1"/>
  <c r="O93" i="1"/>
  <c r="P93" i="1"/>
  <c r="Q93" i="1"/>
  <c r="M94" i="1"/>
  <c r="N94" i="1"/>
  <c r="O94" i="1"/>
  <c r="P94" i="1"/>
  <c r="Q94" i="1"/>
  <c r="M95" i="1"/>
  <c r="N95" i="1"/>
  <c r="O95" i="1"/>
  <c r="P95" i="1"/>
  <c r="Q95" i="1"/>
  <c r="M96" i="1"/>
  <c r="N96" i="1"/>
  <c r="O96" i="1"/>
  <c r="P96" i="1"/>
  <c r="Q96" i="1"/>
  <c r="M97" i="1"/>
  <c r="N97" i="1"/>
  <c r="O97" i="1"/>
  <c r="P97" i="1"/>
  <c r="Q97" i="1"/>
  <c r="M98" i="1"/>
  <c r="N98" i="1"/>
  <c r="O98" i="1"/>
  <c r="P98" i="1"/>
  <c r="Q98" i="1"/>
  <c r="M99" i="1"/>
  <c r="N99" i="1"/>
  <c r="O99" i="1"/>
  <c r="P99" i="1"/>
  <c r="Q99" i="1"/>
  <c r="M100" i="1"/>
  <c r="N100" i="1"/>
  <c r="O100" i="1"/>
  <c r="P100" i="1"/>
  <c r="Q100" i="1"/>
  <c r="M101" i="1"/>
  <c r="N101" i="1"/>
  <c r="O101" i="1"/>
  <c r="P101" i="1"/>
  <c r="Q101" i="1"/>
  <c r="M102" i="1"/>
  <c r="N102" i="1"/>
  <c r="O102" i="1"/>
  <c r="P102" i="1"/>
  <c r="Q102" i="1"/>
  <c r="M103" i="1"/>
  <c r="N103" i="1"/>
  <c r="O103" i="1"/>
  <c r="P103" i="1"/>
  <c r="Q103" i="1"/>
  <c r="M104" i="1"/>
  <c r="N104" i="1"/>
  <c r="O104" i="1"/>
  <c r="P104" i="1"/>
  <c r="Q104" i="1"/>
  <c r="M105" i="1"/>
  <c r="N105" i="1"/>
  <c r="O105" i="1"/>
  <c r="P105" i="1"/>
  <c r="Q105" i="1"/>
  <c r="M106" i="1"/>
  <c r="N106" i="1"/>
  <c r="O106" i="1"/>
  <c r="P106" i="1"/>
  <c r="Q106" i="1"/>
  <c r="M107" i="1"/>
  <c r="N107" i="1"/>
  <c r="O107" i="1"/>
  <c r="P107" i="1"/>
  <c r="Q107" i="1"/>
  <c r="M108" i="1"/>
  <c r="N108" i="1"/>
  <c r="O108" i="1"/>
  <c r="P108" i="1"/>
  <c r="Q108" i="1"/>
  <c r="M109" i="1"/>
  <c r="N109" i="1"/>
  <c r="O109" i="1"/>
  <c r="P109" i="1"/>
  <c r="Q109" i="1"/>
  <c r="M110" i="1"/>
  <c r="N110" i="1"/>
  <c r="O110" i="1"/>
  <c r="P110" i="1"/>
  <c r="Q110" i="1"/>
  <c r="M111" i="1"/>
  <c r="N111" i="1"/>
  <c r="O111" i="1"/>
  <c r="P111" i="1"/>
  <c r="Q111" i="1"/>
  <c r="M112" i="1"/>
  <c r="N112" i="1"/>
  <c r="O112" i="1"/>
  <c r="P112" i="1"/>
  <c r="Q112" i="1"/>
  <c r="M113" i="1"/>
  <c r="N113" i="1"/>
  <c r="O113" i="1"/>
  <c r="P113" i="1"/>
  <c r="Q113" i="1"/>
  <c r="M114" i="1"/>
  <c r="N114" i="1"/>
  <c r="O114" i="1"/>
  <c r="P114" i="1"/>
  <c r="Q114" i="1"/>
  <c r="M115" i="1"/>
  <c r="N115" i="1"/>
  <c r="O115" i="1"/>
  <c r="P115" i="1"/>
  <c r="Q115" i="1"/>
  <c r="M116" i="1"/>
  <c r="N116" i="1"/>
  <c r="O116" i="1"/>
  <c r="P116" i="1"/>
  <c r="Q116" i="1"/>
  <c r="M117" i="1"/>
  <c r="N117" i="1"/>
  <c r="O117" i="1"/>
  <c r="P117" i="1"/>
  <c r="Q117" i="1"/>
  <c r="M118" i="1"/>
  <c r="N118" i="1"/>
  <c r="O118" i="1"/>
  <c r="P118" i="1"/>
  <c r="Q118" i="1"/>
  <c r="M119" i="1"/>
  <c r="N119" i="1"/>
  <c r="O119" i="1"/>
  <c r="P119" i="1"/>
  <c r="Q119" i="1"/>
  <c r="M120" i="1"/>
  <c r="N120" i="1"/>
  <c r="O120" i="1"/>
  <c r="P120" i="1"/>
  <c r="Q120" i="1"/>
  <c r="M121" i="1"/>
  <c r="N121" i="1"/>
  <c r="O121" i="1"/>
  <c r="P121" i="1"/>
  <c r="Q121" i="1"/>
  <c r="M122" i="1"/>
  <c r="N122" i="1"/>
  <c r="O122" i="1"/>
  <c r="P122" i="1"/>
  <c r="Q122" i="1"/>
  <c r="M123" i="1"/>
  <c r="N123" i="1"/>
  <c r="O123" i="1"/>
  <c r="P123" i="1"/>
  <c r="Q123" i="1"/>
  <c r="M124" i="1"/>
  <c r="N124" i="1"/>
  <c r="O124" i="1"/>
  <c r="P124" i="1"/>
  <c r="Q124" i="1"/>
  <c r="M125" i="1"/>
  <c r="N125" i="1"/>
  <c r="O125" i="1"/>
  <c r="P125" i="1"/>
  <c r="Q125" i="1"/>
  <c r="M126" i="1"/>
  <c r="N126" i="1"/>
  <c r="O126" i="1"/>
  <c r="P126" i="1"/>
  <c r="Q126" i="1"/>
  <c r="M127" i="1"/>
  <c r="N127" i="1"/>
  <c r="O127" i="1"/>
  <c r="P127" i="1"/>
  <c r="Q127" i="1"/>
  <c r="M128" i="1"/>
  <c r="N128" i="1"/>
  <c r="O128" i="1"/>
  <c r="P128" i="1"/>
  <c r="Q128" i="1"/>
  <c r="S3" i="1"/>
  <c r="S9" i="1" a="1"/>
  <c r="S9" i="1"/>
  <c r="AE4" i="1" a="1"/>
  <c r="AE4" i="1"/>
  <c r="AF4" i="1"/>
  <c r="AE5" i="1" a="1"/>
  <c r="AE5" i="1"/>
  <c r="AF5" i="1"/>
  <c r="AE6" i="1" a="1"/>
  <c r="AE6" i="1"/>
  <c r="AF6" i="1"/>
  <c r="AE7" i="1" a="1"/>
  <c r="AE7" i="1"/>
  <c r="AF7" i="1"/>
  <c r="AE8" i="1" a="1"/>
  <c r="AE8" i="1"/>
  <c r="AF8" i="1"/>
  <c r="AE9" i="1" a="1"/>
  <c r="AE9" i="1"/>
  <c r="AF9" i="1"/>
  <c r="AE10" i="1" a="1"/>
  <c r="AE10" i="1"/>
  <c r="AF10" i="1"/>
  <c r="AE11" i="1" a="1"/>
  <c r="AE11" i="1"/>
  <c r="AF11" i="1"/>
  <c r="AE12" i="1" a="1"/>
  <c r="AE12" i="1"/>
  <c r="AF12" i="1"/>
  <c r="AE13" i="1" a="1"/>
  <c r="AE13" i="1"/>
  <c r="AF13" i="1"/>
  <c r="AE14" i="1" a="1"/>
  <c r="AE14" i="1"/>
  <c r="AF14" i="1"/>
  <c r="AE15" i="1" a="1"/>
  <c r="AE15" i="1"/>
  <c r="AF15" i="1"/>
  <c r="AE16" i="1" a="1"/>
  <c r="AE16" i="1"/>
  <c r="AF16" i="1"/>
  <c r="AE17" i="1" a="1"/>
  <c r="AE17" i="1"/>
  <c r="AF17" i="1"/>
  <c r="AE18" i="1" a="1"/>
  <c r="AE18" i="1"/>
  <c r="AF18" i="1"/>
  <c r="AE19" i="1" a="1"/>
  <c r="AE19" i="1"/>
  <c r="AF19" i="1"/>
  <c r="AE20" i="1" a="1"/>
  <c r="AE20" i="1"/>
  <c r="AF20" i="1"/>
  <c r="AE21" i="1" a="1"/>
  <c r="AE21" i="1"/>
  <c r="AF21" i="1"/>
  <c r="AE22" i="1" a="1"/>
  <c r="AE22" i="1"/>
  <c r="AF22" i="1"/>
  <c r="AE23" i="1" a="1"/>
  <c r="AE23" i="1"/>
  <c r="AF23" i="1"/>
  <c r="AE24" i="1" a="1"/>
  <c r="AE24" i="1"/>
  <c r="AF24" i="1"/>
  <c r="AE25" i="1" a="1"/>
  <c r="AE25" i="1"/>
  <c r="AF25" i="1"/>
  <c r="AE26" i="1" a="1"/>
  <c r="AE26" i="1"/>
  <c r="AF26" i="1"/>
  <c r="AE27" i="1" a="1"/>
  <c r="AE27" i="1"/>
  <c r="AF27" i="1"/>
  <c r="AE28" i="1" a="1"/>
  <c r="AE28" i="1"/>
  <c r="AF28" i="1"/>
  <c r="AE29" i="1" a="1"/>
  <c r="AE29" i="1"/>
  <c r="AF29" i="1"/>
  <c r="AE30" i="1" a="1"/>
  <c r="AE30" i="1"/>
  <c r="AF30" i="1"/>
  <c r="AE31" i="1" a="1"/>
  <c r="AE31" i="1"/>
  <c r="AF31" i="1"/>
  <c r="AE32" i="1" a="1"/>
  <c r="AE32" i="1"/>
  <c r="AF32" i="1"/>
  <c r="AE33" i="1" a="1"/>
  <c r="AE33" i="1"/>
  <c r="AF33" i="1"/>
  <c r="AE34" i="1" a="1"/>
  <c r="AE34" i="1"/>
  <c r="AF34" i="1"/>
  <c r="AE35" i="1" a="1"/>
  <c r="AE35" i="1"/>
  <c r="AF35" i="1"/>
  <c r="AE36" i="1" a="1"/>
  <c r="AE36" i="1"/>
  <c r="AF36" i="1"/>
  <c r="AE37" i="1" a="1"/>
  <c r="AE37" i="1"/>
  <c r="AF37" i="1"/>
  <c r="AE38" i="1" a="1"/>
  <c r="AE38" i="1"/>
  <c r="AF38" i="1"/>
  <c r="AE39" i="1" a="1"/>
  <c r="AE39" i="1"/>
  <c r="AF39" i="1"/>
  <c r="AE40" i="1" a="1"/>
  <c r="AE40" i="1"/>
  <c r="AF40" i="1"/>
  <c r="AE41" i="1" a="1"/>
  <c r="AE41" i="1"/>
  <c r="AF41" i="1"/>
  <c r="AE42" i="1" a="1"/>
  <c r="AE42" i="1"/>
  <c r="AF42" i="1"/>
  <c r="AE43" i="1" a="1"/>
  <c r="AE43" i="1"/>
  <c r="AF43" i="1"/>
  <c r="AE44" i="1" a="1"/>
  <c r="AE44" i="1"/>
  <c r="AF44" i="1"/>
  <c r="AE45" i="1" a="1"/>
  <c r="AE45" i="1"/>
  <c r="AF45" i="1"/>
  <c r="AE46" i="1" a="1"/>
  <c r="AE46" i="1"/>
  <c r="AF46" i="1"/>
  <c r="AE47" i="1" a="1"/>
  <c r="AE47" i="1"/>
  <c r="AF47" i="1"/>
  <c r="AE48" i="1" a="1"/>
  <c r="AE48" i="1"/>
  <c r="AF48" i="1"/>
  <c r="AE49" i="1" a="1"/>
  <c r="AE49" i="1"/>
  <c r="AF49" i="1"/>
  <c r="AE50" i="1" a="1"/>
  <c r="AE50" i="1"/>
  <c r="AF50" i="1"/>
  <c r="AE51" i="1" a="1"/>
  <c r="AE51" i="1"/>
  <c r="AF51" i="1"/>
  <c r="AE52" i="1" a="1"/>
  <c r="AE52" i="1"/>
  <c r="AF52" i="1"/>
  <c r="AE53" i="1" a="1"/>
  <c r="AE53" i="1"/>
  <c r="AF53" i="1"/>
  <c r="AE54" i="1" a="1"/>
  <c r="AE54" i="1"/>
  <c r="AF54" i="1"/>
  <c r="AE55" i="1" a="1"/>
  <c r="AE55" i="1"/>
  <c r="AF55" i="1"/>
  <c r="AE56" i="1" a="1"/>
  <c r="AE56" i="1"/>
  <c r="AF56" i="1"/>
  <c r="AE57" i="1" a="1"/>
  <c r="AE57" i="1"/>
  <c r="AF57" i="1"/>
  <c r="AE58" i="1" a="1"/>
  <c r="AE58" i="1"/>
  <c r="AF58" i="1"/>
  <c r="AE59" i="1" a="1"/>
  <c r="AE59" i="1"/>
  <c r="AF59" i="1"/>
  <c r="AE60" i="1" a="1"/>
  <c r="AE60" i="1"/>
  <c r="AF60" i="1"/>
  <c r="AE61" i="1" a="1"/>
  <c r="AE61" i="1"/>
  <c r="AF61" i="1"/>
  <c r="AE62" i="1" a="1"/>
  <c r="AE62" i="1"/>
  <c r="AF62" i="1"/>
  <c r="AE63" i="1" a="1"/>
  <c r="AE63" i="1"/>
  <c r="AF63" i="1"/>
  <c r="AE64" i="1" a="1"/>
  <c r="AE64" i="1"/>
  <c r="AF64" i="1"/>
  <c r="AE65" i="1" a="1"/>
  <c r="AE65" i="1"/>
  <c r="AF65" i="1"/>
  <c r="AE66" i="1" a="1"/>
  <c r="AE66" i="1"/>
  <c r="AF66" i="1"/>
  <c r="AE67" i="1" a="1"/>
  <c r="AE67" i="1"/>
  <c r="AF67" i="1"/>
  <c r="AE68" i="1" a="1"/>
  <c r="AE68" i="1"/>
  <c r="AF68" i="1"/>
  <c r="AE69" i="1" a="1"/>
  <c r="AE69" i="1"/>
  <c r="AF69" i="1"/>
  <c r="AE70" i="1" a="1"/>
  <c r="AE70" i="1"/>
  <c r="AF70" i="1"/>
  <c r="AE71" i="1" a="1"/>
  <c r="AE71" i="1"/>
  <c r="AF71" i="1"/>
  <c r="AE72" i="1" a="1"/>
  <c r="AE72" i="1"/>
  <c r="AF72" i="1"/>
  <c r="AE73" i="1" a="1"/>
  <c r="AE73" i="1"/>
  <c r="AF73" i="1"/>
  <c r="AE74" i="1" a="1"/>
  <c r="AE74" i="1"/>
  <c r="AF74" i="1"/>
  <c r="AE75" i="1" a="1"/>
  <c r="AE75" i="1"/>
  <c r="AF75" i="1"/>
  <c r="AE76" i="1" a="1"/>
  <c r="AE76" i="1"/>
  <c r="AF76" i="1"/>
  <c r="AE77" i="1" a="1"/>
  <c r="AE77" i="1"/>
  <c r="AF77" i="1"/>
  <c r="AE78" i="1" a="1"/>
  <c r="AE78" i="1"/>
  <c r="AF78" i="1"/>
  <c r="AE79" i="1" a="1"/>
  <c r="AE79" i="1"/>
  <c r="AF79" i="1"/>
  <c r="AE80" i="1" a="1"/>
  <c r="AE80" i="1"/>
  <c r="AF80" i="1"/>
  <c r="AE81" i="1" a="1"/>
  <c r="AE81" i="1"/>
  <c r="AF81" i="1"/>
  <c r="AE82" i="1" a="1"/>
  <c r="AE82" i="1"/>
  <c r="AF82" i="1"/>
  <c r="AE83" i="1" a="1"/>
  <c r="AE83" i="1"/>
  <c r="AF83" i="1"/>
  <c r="AE84" i="1" a="1"/>
  <c r="AE84" i="1"/>
  <c r="AF84" i="1"/>
  <c r="AE85" i="1" a="1"/>
  <c r="AE85" i="1"/>
  <c r="AF85" i="1"/>
  <c r="AE86" i="1" a="1"/>
  <c r="AE86" i="1"/>
  <c r="AF86" i="1"/>
  <c r="AE87" i="1" a="1"/>
  <c r="AE87" i="1"/>
  <c r="AF87" i="1"/>
  <c r="AE88" i="1" a="1"/>
  <c r="AE88" i="1"/>
  <c r="AF88" i="1"/>
  <c r="AE89" i="1" a="1"/>
  <c r="AE89" i="1"/>
  <c r="AF89" i="1"/>
  <c r="AE90" i="1" a="1"/>
  <c r="AE90" i="1"/>
  <c r="AF90" i="1"/>
  <c r="AE91" i="1" a="1"/>
  <c r="AE91" i="1"/>
  <c r="AF91" i="1"/>
  <c r="AE92" i="1" a="1"/>
  <c r="AE92" i="1"/>
  <c r="AF92" i="1"/>
  <c r="AE93" i="1" a="1"/>
  <c r="AE93" i="1"/>
  <c r="AF93" i="1"/>
  <c r="AE94" i="1" a="1"/>
  <c r="AE94" i="1"/>
  <c r="AF94" i="1"/>
  <c r="AE95" i="1" a="1"/>
  <c r="AE95" i="1"/>
  <c r="AF95" i="1"/>
  <c r="AE96" i="1" a="1"/>
  <c r="AE96" i="1"/>
  <c r="AF96" i="1"/>
  <c r="AE97" i="1" a="1"/>
  <c r="AE97" i="1"/>
  <c r="AF97" i="1"/>
  <c r="AE98" i="1" a="1"/>
  <c r="AE98" i="1"/>
  <c r="AF98" i="1"/>
  <c r="AE99" i="1" a="1"/>
  <c r="AE99" i="1"/>
  <c r="AF99" i="1"/>
  <c r="AE100" i="1" a="1"/>
  <c r="AE100" i="1"/>
  <c r="AF100" i="1"/>
  <c r="AE101" i="1" a="1"/>
  <c r="AE101" i="1"/>
  <c r="AF101" i="1"/>
  <c r="AE102" i="1" a="1"/>
  <c r="AE102" i="1"/>
  <c r="AF102" i="1"/>
  <c r="AE103" i="1" a="1"/>
  <c r="AE103" i="1"/>
  <c r="AF103" i="1"/>
  <c r="AE104" i="1" a="1"/>
  <c r="AE104" i="1"/>
  <c r="AF104" i="1"/>
  <c r="AE105" i="1" a="1"/>
  <c r="AE105" i="1"/>
  <c r="AF105" i="1"/>
  <c r="AE106" i="1" a="1"/>
  <c r="AE106" i="1"/>
  <c r="AF106" i="1"/>
  <c r="AE107" i="1" a="1"/>
  <c r="AE107" i="1"/>
  <c r="AF107" i="1"/>
  <c r="AE108" i="1" a="1"/>
  <c r="AE108" i="1"/>
  <c r="AF108" i="1"/>
  <c r="AE109" i="1" a="1"/>
  <c r="AE109" i="1"/>
  <c r="AF109" i="1"/>
  <c r="AE110" i="1" a="1"/>
  <c r="AE110" i="1"/>
  <c r="AF110" i="1"/>
  <c r="AE111" i="1" a="1"/>
  <c r="AE111" i="1"/>
  <c r="AF111" i="1"/>
  <c r="AE112" i="1" a="1"/>
  <c r="AE112" i="1"/>
  <c r="AF112" i="1"/>
  <c r="AE113" i="1" a="1"/>
  <c r="AE113" i="1"/>
  <c r="AF113" i="1"/>
  <c r="AE114" i="1" a="1"/>
  <c r="AE114" i="1"/>
  <c r="AF114" i="1"/>
  <c r="AE115" i="1" a="1"/>
  <c r="AE115" i="1"/>
  <c r="AF115" i="1"/>
  <c r="AE116" i="1" a="1"/>
  <c r="AE116" i="1"/>
  <c r="AF116" i="1"/>
  <c r="AE117" i="1" a="1"/>
  <c r="AE117" i="1"/>
  <c r="AF117" i="1"/>
  <c r="AE118" i="1" a="1"/>
  <c r="AE118" i="1"/>
  <c r="AF118" i="1"/>
  <c r="AE119" i="1" a="1"/>
  <c r="AE119" i="1"/>
  <c r="AF119" i="1"/>
  <c r="AE120" i="1" a="1"/>
  <c r="AE120" i="1"/>
  <c r="AF120" i="1"/>
  <c r="AE121" i="1" a="1"/>
  <c r="AE121" i="1"/>
  <c r="AF121" i="1"/>
  <c r="AE122" i="1" a="1"/>
  <c r="AE122" i="1"/>
  <c r="AF122" i="1"/>
  <c r="AE123" i="1" a="1"/>
  <c r="AE123" i="1"/>
  <c r="AF123" i="1"/>
  <c r="AE124" i="1" a="1"/>
  <c r="AE124" i="1"/>
  <c r="AF124" i="1"/>
  <c r="AE125" i="1" a="1"/>
  <c r="AE125" i="1"/>
  <c r="AF125" i="1"/>
  <c r="AE126" i="1" a="1"/>
  <c r="AE126" i="1"/>
  <c r="AF126" i="1"/>
  <c r="AE127" i="1" a="1"/>
  <c r="AE127" i="1"/>
  <c r="AF127" i="1"/>
  <c r="AE128" i="1" a="1"/>
  <c r="AE128" i="1"/>
  <c r="AF128" i="1"/>
  <c r="AE129" i="1" a="1"/>
  <c r="AE129" i="1"/>
  <c r="AF129" i="1"/>
  <c r="AE130" i="1" a="1"/>
  <c r="AE130" i="1"/>
  <c r="AF130" i="1"/>
  <c r="AE131" i="1" a="1"/>
  <c r="AE131" i="1"/>
  <c r="AF131" i="1"/>
  <c r="AE132" i="1" a="1"/>
  <c r="AE132" i="1"/>
  <c r="AF132" i="1"/>
  <c r="AE133" i="1" a="1"/>
  <c r="AE133" i="1"/>
  <c r="AF133" i="1"/>
  <c r="AE134" i="1" a="1"/>
  <c r="AE134" i="1"/>
  <c r="AF134" i="1"/>
  <c r="AE135" i="1" a="1"/>
  <c r="AE135" i="1"/>
  <c r="AF135" i="1"/>
  <c r="AE136" i="1" a="1"/>
  <c r="AE136" i="1"/>
  <c r="AF136" i="1"/>
  <c r="AE137" i="1" a="1"/>
  <c r="AE137" i="1"/>
  <c r="AF137" i="1"/>
  <c r="AE138" i="1" a="1"/>
  <c r="AE138" i="1"/>
  <c r="AF138" i="1"/>
  <c r="AE139" i="1" a="1"/>
  <c r="AE139" i="1"/>
  <c r="AF139" i="1"/>
  <c r="AE140" i="1" a="1"/>
  <c r="AE140" i="1"/>
  <c r="AF140" i="1"/>
  <c r="AE141" i="1" a="1"/>
  <c r="AE141" i="1"/>
  <c r="AF141" i="1"/>
  <c r="AE142" i="1" a="1"/>
  <c r="AE142" i="1"/>
  <c r="AF142" i="1"/>
  <c r="AE143" i="1" a="1"/>
  <c r="AE143" i="1"/>
  <c r="AF143" i="1"/>
  <c r="AE144" i="1" a="1"/>
  <c r="AE144" i="1"/>
  <c r="AF144" i="1"/>
  <c r="AE145" i="1" a="1"/>
  <c r="AE145" i="1"/>
  <c r="AF145" i="1"/>
  <c r="AE146" i="1" a="1"/>
  <c r="AE146" i="1"/>
  <c r="AF146" i="1"/>
  <c r="AE147" i="1" a="1"/>
  <c r="AE147" i="1"/>
  <c r="AF147" i="1"/>
  <c r="AE148" i="1" a="1"/>
  <c r="AE148" i="1"/>
  <c r="AF148" i="1"/>
  <c r="AE149" i="1" a="1"/>
  <c r="AE149" i="1"/>
  <c r="AF149" i="1"/>
  <c r="AE150" i="1" a="1"/>
  <c r="AE150" i="1"/>
  <c r="AF150" i="1"/>
  <c r="AE151" i="1" a="1"/>
  <c r="AE151" i="1"/>
  <c r="AF151" i="1"/>
  <c r="AE152" i="1" a="1"/>
  <c r="AE152" i="1"/>
  <c r="AF152" i="1"/>
  <c r="AE153" i="1" a="1"/>
  <c r="AE153" i="1"/>
  <c r="AF153" i="1"/>
  <c r="AE154" i="1" a="1"/>
  <c r="AE154" i="1"/>
  <c r="AF154" i="1"/>
  <c r="AE155" i="1" a="1"/>
  <c r="AE155" i="1"/>
  <c r="AF155" i="1"/>
  <c r="AE156" i="1" a="1"/>
  <c r="AE156" i="1"/>
  <c r="AF156" i="1"/>
  <c r="AE157" i="1" a="1"/>
  <c r="AE157" i="1"/>
  <c r="AF157" i="1"/>
  <c r="AE158" i="1" a="1"/>
  <c r="AE158" i="1"/>
  <c r="AF158" i="1"/>
  <c r="AE159" i="1" a="1"/>
  <c r="AE159" i="1"/>
  <c r="AF159" i="1"/>
  <c r="AE160" i="1" a="1"/>
  <c r="AE160" i="1"/>
  <c r="AF160" i="1"/>
  <c r="AE161" i="1" a="1"/>
  <c r="AE161" i="1"/>
  <c r="AF161" i="1"/>
  <c r="AE162" i="1" a="1"/>
  <c r="AE162" i="1"/>
  <c r="AF162" i="1"/>
  <c r="AE163" i="1" a="1"/>
  <c r="AE163" i="1"/>
  <c r="AF163" i="1"/>
  <c r="AE164" i="1" a="1"/>
  <c r="AE164" i="1"/>
  <c r="AF164" i="1"/>
  <c r="AE165" i="1" a="1"/>
  <c r="AE165" i="1"/>
  <c r="AF165" i="1"/>
  <c r="AE166" i="1" a="1"/>
  <c r="AE166" i="1"/>
  <c r="AF166" i="1"/>
  <c r="AE167" i="1" a="1"/>
  <c r="AE167" i="1"/>
  <c r="AF167" i="1"/>
  <c r="AE168" i="1" a="1"/>
  <c r="AE168" i="1"/>
  <c r="AF168" i="1"/>
  <c r="AE169" i="1" a="1"/>
  <c r="AE169" i="1"/>
  <c r="AF169" i="1"/>
  <c r="AE170" i="1" a="1"/>
  <c r="AE170" i="1"/>
  <c r="AF170" i="1"/>
  <c r="AE171" i="1" a="1"/>
  <c r="AE171" i="1"/>
  <c r="AF171" i="1"/>
  <c r="AE172" i="1" a="1"/>
  <c r="AE172" i="1"/>
  <c r="AF172" i="1"/>
  <c r="AE173" i="1" a="1"/>
  <c r="AE173" i="1"/>
  <c r="AF173" i="1"/>
  <c r="AE174" i="1" a="1"/>
  <c r="AE174" i="1"/>
  <c r="AF174" i="1"/>
  <c r="AE175" i="1" a="1"/>
  <c r="AE175" i="1"/>
  <c r="AF175" i="1"/>
  <c r="AE176" i="1" a="1"/>
  <c r="AE176" i="1"/>
  <c r="AF176" i="1"/>
  <c r="AE177" i="1" a="1"/>
  <c r="AE177" i="1"/>
  <c r="AF177" i="1"/>
  <c r="AE178" i="1" a="1"/>
  <c r="AE178" i="1"/>
  <c r="AF178" i="1"/>
  <c r="AE179" i="1" a="1"/>
  <c r="AE179" i="1"/>
  <c r="AF179" i="1"/>
  <c r="AE180" i="1" a="1"/>
  <c r="AE180" i="1"/>
  <c r="AF180" i="1"/>
  <c r="AE181" i="1" a="1"/>
  <c r="AE181" i="1"/>
  <c r="AF181" i="1"/>
  <c r="AE182" i="1" a="1"/>
  <c r="AE182" i="1"/>
  <c r="AF182" i="1"/>
  <c r="AE183" i="1" a="1"/>
  <c r="AE183" i="1"/>
  <c r="AF183" i="1"/>
  <c r="AE184" i="1" a="1"/>
  <c r="AE184" i="1"/>
  <c r="AF184" i="1"/>
  <c r="AE185" i="1" a="1"/>
  <c r="AE185" i="1"/>
  <c r="AF185" i="1"/>
  <c r="AE186" i="1" a="1"/>
  <c r="AE186" i="1"/>
  <c r="AF186" i="1"/>
  <c r="AE187" i="1" a="1"/>
  <c r="AE187" i="1"/>
  <c r="AF187" i="1"/>
  <c r="AE188" i="1" a="1"/>
  <c r="AE188" i="1"/>
  <c r="AF188" i="1"/>
  <c r="AE189" i="1" a="1"/>
  <c r="AE189" i="1"/>
  <c r="AF189" i="1"/>
  <c r="AE190" i="1" a="1"/>
  <c r="AE190" i="1"/>
  <c r="AF190" i="1"/>
  <c r="AE191" i="1" a="1"/>
  <c r="AE191" i="1"/>
  <c r="AF191" i="1"/>
  <c r="AE192" i="1" a="1"/>
  <c r="AE192" i="1"/>
  <c r="AF192" i="1"/>
  <c r="AE193" i="1" a="1"/>
  <c r="AE193" i="1"/>
  <c r="AF193" i="1"/>
  <c r="AE194" i="1" a="1"/>
  <c r="AE194" i="1"/>
  <c r="AF194" i="1"/>
  <c r="AE195" i="1" a="1"/>
  <c r="AE195" i="1"/>
  <c r="AF195" i="1"/>
  <c r="AE196" i="1" a="1"/>
  <c r="AE196" i="1"/>
  <c r="AF196" i="1"/>
  <c r="AE197" i="1" a="1"/>
  <c r="AE197" i="1"/>
  <c r="AF197" i="1"/>
  <c r="AE198" i="1" a="1"/>
  <c r="AE198" i="1"/>
  <c r="AF198" i="1"/>
  <c r="AE199" i="1" a="1"/>
  <c r="AE199" i="1"/>
  <c r="AF199" i="1"/>
  <c r="AE200" i="1" a="1"/>
  <c r="AE200" i="1"/>
  <c r="AF200" i="1"/>
  <c r="AE201" i="1" a="1"/>
  <c r="AE201" i="1"/>
  <c r="AF201" i="1"/>
  <c r="AE202" i="1" a="1"/>
  <c r="AE202" i="1"/>
  <c r="AF202" i="1"/>
  <c r="AE203" i="1" a="1"/>
  <c r="AE203" i="1"/>
  <c r="AF203" i="1"/>
  <c r="AE204" i="1" a="1"/>
  <c r="AE204" i="1"/>
  <c r="AF204" i="1"/>
  <c r="AE205" i="1" a="1"/>
  <c r="AE205" i="1"/>
  <c r="AF205" i="1"/>
  <c r="AE206" i="1" a="1"/>
  <c r="AE206" i="1"/>
  <c r="AF206" i="1"/>
  <c r="AE207" i="1" a="1"/>
  <c r="AE207" i="1"/>
  <c r="AF207" i="1"/>
  <c r="AE208" i="1" a="1"/>
  <c r="AE208" i="1"/>
  <c r="AF208" i="1"/>
  <c r="AE209" i="1" a="1"/>
  <c r="AE209" i="1"/>
  <c r="AF209" i="1"/>
  <c r="AE210" i="1" a="1"/>
  <c r="AE210" i="1"/>
  <c r="AF210" i="1"/>
  <c r="AE211" i="1" a="1"/>
  <c r="AE211" i="1"/>
  <c r="AF211" i="1"/>
  <c r="AE212" i="1" a="1"/>
  <c r="AE212" i="1"/>
  <c r="AF212" i="1"/>
  <c r="AE213" i="1" a="1"/>
  <c r="AE213" i="1"/>
  <c r="AF213" i="1"/>
  <c r="AE214" i="1" a="1"/>
  <c r="AE214" i="1"/>
  <c r="AF214" i="1"/>
  <c r="AE215" i="1" a="1"/>
  <c r="AE215" i="1"/>
  <c r="AF215" i="1"/>
  <c r="AE216" i="1" a="1"/>
  <c r="AE216" i="1"/>
  <c r="AF216" i="1"/>
  <c r="AE217" i="1" a="1"/>
  <c r="AE217" i="1"/>
  <c r="AF217" i="1"/>
  <c r="AE218" i="1" a="1"/>
  <c r="AE218" i="1"/>
  <c r="AF218" i="1"/>
  <c r="AE219" i="1" a="1"/>
  <c r="AE219" i="1"/>
  <c r="AF219" i="1"/>
  <c r="AE220" i="1" a="1"/>
  <c r="AE220" i="1"/>
  <c r="AF220" i="1"/>
  <c r="AE221" i="1" a="1"/>
  <c r="AE221" i="1"/>
  <c r="AF221" i="1"/>
  <c r="AE222" i="1" a="1"/>
  <c r="AE222" i="1"/>
  <c r="AF222" i="1"/>
  <c r="AE223" i="1" a="1"/>
  <c r="AE223" i="1"/>
  <c r="AF223" i="1"/>
  <c r="AE224" i="1" a="1"/>
  <c r="AE224" i="1"/>
  <c r="AF224" i="1"/>
  <c r="AE225" i="1" a="1"/>
  <c r="AE225" i="1"/>
  <c r="AF225" i="1"/>
  <c r="AE226" i="1" a="1"/>
  <c r="AE226" i="1"/>
  <c r="AF226" i="1"/>
  <c r="AE227" i="1" a="1"/>
  <c r="AE227" i="1"/>
  <c r="AF227" i="1"/>
  <c r="AE228" i="1" a="1"/>
  <c r="AE228" i="1"/>
  <c r="AF228" i="1"/>
  <c r="AE229" i="1" a="1"/>
  <c r="AE229" i="1"/>
  <c r="AF229" i="1"/>
  <c r="AE230" i="1" a="1"/>
  <c r="AE230" i="1"/>
  <c r="AF230" i="1"/>
  <c r="AE231" i="1" a="1"/>
  <c r="AE231" i="1"/>
  <c r="AF231" i="1"/>
  <c r="AE232" i="1" a="1"/>
  <c r="AE232" i="1"/>
  <c r="AF232" i="1"/>
  <c r="AE233" i="1" a="1"/>
  <c r="AE233" i="1"/>
  <c r="AF233" i="1"/>
  <c r="AE234" i="1" a="1"/>
  <c r="AE234" i="1"/>
  <c r="AF234" i="1"/>
  <c r="AE235" i="1" a="1"/>
  <c r="AE235" i="1"/>
  <c r="AF235" i="1"/>
  <c r="AE236" i="1" a="1"/>
  <c r="AE236" i="1"/>
  <c r="AF236" i="1"/>
  <c r="AE237" i="1" a="1"/>
  <c r="AE237" i="1"/>
  <c r="AF237" i="1"/>
  <c r="AE238" i="1" a="1"/>
  <c r="AE238" i="1"/>
  <c r="AF238" i="1"/>
  <c r="AE239" i="1" a="1"/>
  <c r="AE239" i="1"/>
  <c r="AF239" i="1"/>
  <c r="AE240" i="1" a="1"/>
  <c r="AE240" i="1"/>
  <c r="AF240" i="1"/>
  <c r="AE241" i="1" a="1"/>
  <c r="AE241" i="1"/>
  <c r="AF241" i="1"/>
  <c r="AE242" i="1" a="1"/>
  <c r="AE242" i="1"/>
  <c r="AF242" i="1"/>
  <c r="AE243" i="1" a="1"/>
  <c r="AE243" i="1"/>
  <c r="AF243" i="1"/>
  <c r="AE244" i="1" a="1"/>
  <c r="AE244" i="1"/>
  <c r="AF244" i="1"/>
  <c r="AE245" i="1" a="1"/>
  <c r="AE245" i="1"/>
  <c r="AF245" i="1"/>
  <c r="AE246" i="1" a="1"/>
  <c r="AE246" i="1"/>
  <c r="AF246" i="1"/>
  <c r="AE247" i="1" a="1"/>
  <c r="AE247" i="1"/>
  <c r="AF247" i="1"/>
  <c r="AE248" i="1" a="1"/>
  <c r="AE248" i="1"/>
  <c r="AF248" i="1"/>
  <c r="AE249" i="1" a="1"/>
  <c r="AE249" i="1"/>
  <c r="AF249" i="1"/>
  <c r="AE250" i="1" a="1"/>
  <c r="AE250" i="1"/>
  <c r="AF250" i="1"/>
  <c r="AE251" i="1" a="1"/>
  <c r="AE251" i="1"/>
  <c r="AF251" i="1"/>
  <c r="AE252" i="1" a="1"/>
  <c r="AE252" i="1"/>
  <c r="AF252" i="1"/>
  <c r="AE253" i="1" a="1"/>
  <c r="AE253" i="1"/>
  <c r="AF253" i="1"/>
  <c r="AE254" i="1" a="1"/>
  <c r="AE254" i="1"/>
  <c r="AF254" i="1"/>
  <c r="AE255" i="1" a="1"/>
  <c r="AE255" i="1"/>
  <c r="AF255" i="1"/>
  <c r="AE256" i="1" a="1"/>
  <c r="AE256" i="1"/>
  <c r="AF256" i="1"/>
  <c r="AE257" i="1" a="1"/>
  <c r="AE257" i="1"/>
  <c r="AF257" i="1"/>
  <c r="AE258" i="1" a="1"/>
  <c r="AE258" i="1"/>
  <c r="AF258" i="1"/>
  <c r="AE259" i="1" a="1"/>
  <c r="AE259" i="1"/>
  <c r="AF259" i="1"/>
  <c r="AE260" i="1" a="1"/>
  <c r="AE260" i="1"/>
  <c r="AF260" i="1"/>
  <c r="AE261" i="1" a="1"/>
  <c r="AE261" i="1"/>
  <c r="AF261" i="1"/>
  <c r="AE262" i="1" a="1"/>
  <c r="AE262" i="1"/>
  <c r="AF262" i="1"/>
  <c r="AE263" i="1" a="1"/>
  <c r="AE263" i="1"/>
  <c r="AF263" i="1"/>
  <c r="AE264" i="1" a="1"/>
  <c r="AE264" i="1"/>
  <c r="AF264" i="1"/>
  <c r="AE265" i="1" a="1"/>
  <c r="AE265" i="1"/>
  <c r="AF265" i="1"/>
  <c r="AE266" i="1" a="1"/>
  <c r="AE266" i="1"/>
  <c r="AF266" i="1"/>
  <c r="AE267" i="1" a="1"/>
  <c r="AE267" i="1"/>
  <c r="AF267" i="1"/>
  <c r="AE268" i="1" a="1"/>
  <c r="AE268" i="1"/>
  <c r="AF268" i="1"/>
  <c r="AE269" i="1" a="1"/>
  <c r="AE269" i="1"/>
  <c r="AF269" i="1"/>
  <c r="AE270" i="1" a="1"/>
  <c r="AE270" i="1"/>
  <c r="AF270" i="1"/>
  <c r="AE271" i="1" a="1"/>
  <c r="AE271" i="1"/>
  <c r="AF271" i="1"/>
  <c r="AE272" i="1" a="1"/>
  <c r="AE272" i="1"/>
  <c r="AF272" i="1"/>
  <c r="AE273" i="1" a="1"/>
  <c r="AE273" i="1"/>
  <c r="AF273" i="1"/>
  <c r="AE274" i="1" a="1"/>
  <c r="AE274" i="1"/>
  <c r="AF274" i="1"/>
  <c r="AE275" i="1" a="1"/>
  <c r="AE275" i="1"/>
  <c r="AF275" i="1"/>
  <c r="AE276" i="1" a="1"/>
  <c r="AE276" i="1"/>
  <c r="AF276" i="1"/>
  <c r="AE277" i="1" a="1"/>
  <c r="AE277" i="1"/>
  <c r="AF277" i="1"/>
  <c r="AE278" i="1" a="1"/>
  <c r="AE278" i="1"/>
  <c r="AF278" i="1"/>
  <c r="AE279" i="1" a="1"/>
  <c r="AE279" i="1"/>
  <c r="AF279" i="1"/>
  <c r="AE280" i="1" a="1"/>
  <c r="AE280" i="1"/>
  <c r="AF280" i="1"/>
  <c r="AE281" i="1" a="1"/>
  <c r="AE281" i="1"/>
  <c r="AF281" i="1"/>
  <c r="AE282" i="1" a="1"/>
  <c r="AE282" i="1"/>
  <c r="AF282" i="1"/>
  <c r="AE283" i="1" a="1"/>
  <c r="AE283" i="1"/>
  <c r="AF283" i="1"/>
  <c r="AE284" i="1" a="1"/>
  <c r="AE284" i="1"/>
  <c r="AF284" i="1"/>
  <c r="AE285" i="1" a="1"/>
  <c r="AE285" i="1"/>
  <c r="AF285" i="1"/>
  <c r="AE286" i="1" a="1"/>
  <c r="AE286" i="1"/>
  <c r="AF286" i="1"/>
  <c r="AE287" i="1" a="1"/>
  <c r="AE287" i="1"/>
  <c r="AF287" i="1"/>
  <c r="AE288" i="1" a="1"/>
  <c r="AE288" i="1"/>
  <c r="AF288" i="1"/>
  <c r="AE289" i="1" a="1"/>
  <c r="AE289" i="1"/>
  <c r="AF289" i="1"/>
  <c r="AE290" i="1" a="1"/>
  <c r="AE290" i="1"/>
  <c r="AF290" i="1"/>
  <c r="AE291" i="1" a="1"/>
  <c r="AE291" i="1"/>
  <c r="AF291" i="1"/>
  <c r="AE292" i="1" a="1"/>
  <c r="AE292" i="1"/>
  <c r="AF292" i="1"/>
  <c r="AE293" i="1" a="1"/>
  <c r="AE293" i="1"/>
  <c r="AF293" i="1"/>
  <c r="AE294" i="1" a="1"/>
  <c r="AE294" i="1"/>
  <c r="AF294" i="1"/>
  <c r="AE295" i="1" a="1"/>
  <c r="AE295" i="1"/>
  <c r="AF295" i="1"/>
  <c r="AE296" i="1" a="1"/>
  <c r="AE296" i="1"/>
  <c r="AF296" i="1"/>
  <c r="AE297" i="1" a="1"/>
  <c r="AE297" i="1"/>
  <c r="AF297" i="1"/>
  <c r="AE298" i="1" a="1"/>
  <c r="AE298" i="1"/>
  <c r="AF298" i="1"/>
  <c r="AE299" i="1" a="1"/>
  <c r="AE299" i="1"/>
  <c r="AF299" i="1"/>
  <c r="AE300" i="1" a="1"/>
  <c r="AE300" i="1"/>
  <c r="AF300" i="1"/>
  <c r="AE301" i="1" a="1"/>
  <c r="AE301" i="1"/>
  <c r="AF301" i="1"/>
  <c r="AE302" i="1" a="1"/>
  <c r="AE302" i="1"/>
  <c r="AF302" i="1"/>
  <c r="AE303" i="1" a="1"/>
  <c r="AE303" i="1"/>
  <c r="AF303" i="1"/>
  <c r="AE304" i="1" a="1"/>
  <c r="AE304" i="1"/>
  <c r="AF304" i="1"/>
  <c r="AE305" i="1" a="1"/>
  <c r="AE305" i="1"/>
  <c r="AF305" i="1"/>
  <c r="AE306" i="1" a="1"/>
  <c r="AE306" i="1"/>
  <c r="AF306" i="1"/>
  <c r="AE307" i="1" a="1"/>
  <c r="AE307" i="1"/>
  <c r="AF307" i="1"/>
  <c r="AE308" i="1" a="1"/>
  <c r="AE308" i="1"/>
  <c r="AF308" i="1"/>
  <c r="AE309" i="1" a="1"/>
  <c r="AE309" i="1"/>
  <c r="AF309" i="1"/>
  <c r="AE310" i="1" a="1"/>
  <c r="AE310" i="1"/>
  <c r="AF310" i="1"/>
  <c r="AE311" i="1" a="1"/>
  <c r="AE311" i="1"/>
  <c r="AF311" i="1"/>
  <c r="AE312" i="1" a="1"/>
  <c r="AE312" i="1"/>
  <c r="AF312" i="1"/>
  <c r="AE313" i="1" a="1"/>
  <c r="AE313" i="1"/>
  <c r="AF313" i="1"/>
  <c r="AE314" i="1" a="1"/>
  <c r="AE314" i="1"/>
  <c r="AF314" i="1"/>
  <c r="AE315" i="1" a="1"/>
  <c r="AE315" i="1"/>
  <c r="AF315" i="1"/>
  <c r="AE316" i="1" a="1"/>
  <c r="AE316" i="1"/>
  <c r="AF316" i="1"/>
  <c r="AE317" i="1" a="1"/>
  <c r="AE317" i="1"/>
  <c r="AF317" i="1"/>
  <c r="AE318" i="1" a="1"/>
  <c r="AE318" i="1"/>
  <c r="AF318" i="1"/>
  <c r="AE319" i="1" a="1"/>
  <c r="AE319" i="1"/>
  <c r="AF319" i="1"/>
  <c r="AE320" i="1" a="1"/>
  <c r="AE320" i="1"/>
  <c r="AF320" i="1"/>
  <c r="AE321" i="1" a="1"/>
  <c r="AE321" i="1"/>
  <c r="AF321" i="1"/>
  <c r="AE322" i="1" a="1"/>
  <c r="AE322" i="1"/>
  <c r="AF322" i="1"/>
  <c r="AE323" i="1" a="1"/>
  <c r="AE323" i="1"/>
  <c r="AF323" i="1"/>
  <c r="AE324" i="1" a="1"/>
  <c r="AE324" i="1"/>
  <c r="AF324" i="1"/>
  <c r="AE325" i="1" a="1"/>
  <c r="AE325" i="1"/>
  <c r="AF325" i="1"/>
  <c r="AE326" i="1" a="1"/>
  <c r="AE326" i="1"/>
  <c r="AF326" i="1"/>
  <c r="AE327" i="1" a="1"/>
  <c r="AE327" i="1"/>
  <c r="AF327" i="1"/>
  <c r="AE328" i="1" a="1"/>
  <c r="AE328" i="1"/>
  <c r="AF328" i="1"/>
  <c r="AE329" i="1" a="1"/>
  <c r="AE329" i="1"/>
  <c r="AF329" i="1"/>
  <c r="AE330" i="1" a="1"/>
  <c r="AE330" i="1"/>
  <c r="AF330" i="1"/>
  <c r="AE331" i="1" a="1"/>
  <c r="AE331" i="1"/>
  <c r="AF331" i="1"/>
  <c r="AE332" i="1" a="1"/>
  <c r="AE332" i="1"/>
  <c r="AF332" i="1"/>
  <c r="AE333" i="1" a="1"/>
  <c r="AE333" i="1"/>
  <c r="AF333" i="1"/>
  <c r="AE334" i="1" a="1"/>
  <c r="AE334" i="1"/>
  <c r="AF334" i="1"/>
  <c r="AE335" i="1" a="1"/>
  <c r="AE335" i="1"/>
  <c r="AF335" i="1"/>
  <c r="AE336" i="1" a="1"/>
  <c r="AE336" i="1"/>
  <c r="AF336" i="1"/>
  <c r="AE337" i="1" a="1"/>
  <c r="AE337" i="1"/>
  <c r="AF337" i="1"/>
  <c r="AE338" i="1" a="1"/>
  <c r="AE338" i="1"/>
  <c r="AF338" i="1"/>
  <c r="AE339" i="1" a="1"/>
  <c r="AE339" i="1"/>
  <c r="AF339" i="1"/>
  <c r="AE340" i="1" a="1"/>
  <c r="AE340" i="1"/>
  <c r="AF340" i="1"/>
  <c r="AE341" i="1" a="1"/>
  <c r="AE341" i="1"/>
  <c r="AF341" i="1"/>
  <c r="AE342" i="1" a="1"/>
  <c r="AE342" i="1"/>
  <c r="AF342" i="1"/>
  <c r="AE343" i="1" a="1"/>
  <c r="AE343" i="1"/>
  <c r="AF343" i="1"/>
  <c r="AE344" i="1" a="1"/>
  <c r="AE344" i="1"/>
  <c r="AF344" i="1"/>
  <c r="AE345" i="1" a="1"/>
  <c r="AE345" i="1"/>
  <c r="AF345" i="1"/>
  <c r="AE346" i="1" a="1"/>
  <c r="AE346" i="1"/>
  <c r="AF346" i="1"/>
  <c r="AE347" i="1" a="1"/>
  <c r="AE347" i="1"/>
  <c r="AF347" i="1"/>
  <c r="AE348" i="1" a="1"/>
  <c r="AE348" i="1"/>
  <c r="AF348" i="1"/>
  <c r="AE349" i="1" a="1"/>
  <c r="AE349" i="1"/>
  <c r="AF349" i="1"/>
  <c r="AE350" i="1" a="1"/>
  <c r="AE350" i="1"/>
  <c r="AF350" i="1"/>
  <c r="AE351" i="1" a="1"/>
  <c r="AE351" i="1"/>
  <c r="AF351" i="1"/>
  <c r="AE352" i="1" a="1"/>
  <c r="AE352" i="1"/>
  <c r="AF352" i="1"/>
  <c r="AE353" i="1" a="1"/>
  <c r="AE353" i="1"/>
  <c r="AF353" i="1"/>
  <c r="AE354" i="1" a="1"/>
  <c r="AE354" i="1"/>
  <c r="AF354" i="1"/>
  <c r="AE355" i="1" a="1"/>
  <c r="AE355" i="1"/>
  <c r="AF355" i="1"/>
  <c r="AE356" i="1" a="1"/>
  <c r="AE356" i="1"/>
  <c r="AF356" i="1"/>
  <c r="AE357" i="1" a="1"/>
  <c r="AE357" i="1"/>
  <c r="AF357" i="1"/>
  <c r="AE358" i="1" a="1"/>
  <c r="AE358" i="1"/>
  <c r="AF358" i="1"/>
  <c r="AE359" i="1" a="1"/>
  <c r="AE359" i="1"/>
  <c r="AF359" i="1"/>
  <c r="AE360" i="1" a="1"/>
  <c r="AE360" i="1"/>
  <c r="AF360" i="1"/>
  <c r="AE361" i="1" a="1"/>
  <c r="AE361" i="1"/>
  <c r="AF361" i="1"/>
  <c r="AE362" i="1" a="1"/>
  <c r="AE362" i="1"/>
  <c r="AF362" i="1"/>
  <c r="AE363" i="1" a="1"/>
  <c r="AE363" i="1"/>
  <c r="AF363" i="1"/>
  <c r="AE364" i="1" a="1"/>
  <c r="AE364" i="1"/>
  <c r="AF364" i="1"/>
  <c r="AE365" i="1" a="1"/>
  <c r="AE365" i="1"/>
  <c r="AF365" i="1"/>
  <c r="AE366" i="1" a="1"/>
  <c r="AE366" i="1"/>
  <c r="AF366" i="1"/>
  <c r="AE367" i="1" a="1"/>
  <c r="AE367" i="1"/>
  <c r="AF367" i="1"/>
  <c r="AE368" i="1" a="1"/>
  <c r="AE368" i="1"/>
  <c r="AF368" i="1"/>
  <c r="AE369" i="1" a="1"/>
  <c r="AE369" i="1"/>
  <c r="AF369" i="1"/>
  <c r="AE370" i="1" a="1"/>
  <c r="AE370" i="1"/>
  <c r="AF370" i="1"/>
  <c r="AE371" i="1" a="1"/>
  <c r="AE371" i="1"/>
  <c r="AF371" i="1"/>
  <c r="AE372" i="1" a="1"/>
  <c r="AE372" i="1"/>
  <c r="AF372" i="1"/>
  <c r="AE373" i="1" a="1"/>
  <c r="AE373" i="1"/>
  <c r="AF373" i="1"/>
  <c r="AE374" i="1" a="1"/>
  <c r="AE374" i="1"/>
  <c r="AF374" i="1"/>
  <c r="AE375" i="1" a="1"/>
  <c r="AE375" i="1"/>
  <c r="AF375" i="1"/>
  <c r="AE376" i="1" a="1"/>
  <c r="AE376" i="1"/>
  <c r="AF376" i="1"/>
  <c r="AE377" i="1" a="1"/>
  <c r="AE377" i="1"/>
  <c r="AF377" i="1"/>
  <c r="AE378" i="1" a="1"/>
  <c r="AE378" i="1"/>
  <c r="AF378" i="1"/>
  <c r="AE379" i="1" a="1"/>
  <c r="AE379" i="1"/>
  <c r="AF379" i="1"/>
  <c r="AE380" i="1" a="1"/>
  <c r="AE380" i="1"/>
  <c r="AF380" i="1"/>
  <c r="AE381" i="1" a="1"/>
  <c r="AE381" i="1"/>
  <c r="AF381" i="1"/>
  <c r="AE382" i="1" a="1"/>
  <c r="AE382" i="1"/>
  <c r="AF382" i="1"/>
  <c r="AE383" i="1" a="1"/>
  <c r="AE383" i="1"/>
  <c r="AF383" i="1"/>
  <c r="AE384" i="1" a="1"/>
  <c r="AE384" i="1"/>
  <c r="AF384" i="1"/>
  <c r="AE385" i="1" a="1"/>
  <c r="AE385" i="1"/>
  <c r="AF385" i="1"/>
  <c r="AE386" i="1" a="1"/>
  <c r="AE386" i="1"/>
  <c r="AF386" i="1"/>
  <c r="AE387" i="1" a="1"/>
  <c r="AE387" i="1"/>
  <c r="AF387" i="1"/>
  <c r="AE388" i="1" a="1"/>
  <c r="AE388" i="1"/>
  <c r="AF388" i="1"/>
  <c r="AE389" i="1" a="1"/>
  <c r="AE389" i="1"/>
  <c r="AF389" i="1"/>
  <c r="AE390" i="1" a="1"/>
  <c r="AE390" i="1"/>
  <c r="AF390" i="1"/>
  <c r="AE391" i="1" a="1"/>
  <c r="AE391" i="1"/>
  <c r="AF391" i="1"/>
  <c r="AE392" i="1" a="1"/>
  <c r="AE392" i="1"/>
  <c r="AF392" i="1"/>
  <c r="AE393" i="1" a="1"/>
  <c r="AE393" i="1"/>
  <c r="AF393" i="1"/>
  <c r="AE394" i="1" a="1"/>
  <c r="AE394" i="1"/>
  <c r="AF394" i="1"/>
  <c r="AE395" i="1" a="1"/>
  <c r="AE395" i="1"/>
  <c r="AF395" i="1"/>
  <c r="AE396" i="1" a="1"/>
  <c r="AE396" i="1"/>
  <c r="AF396" i="1"/>
  <c r="AE397" i="1" a="1"/>
  <c r="AE397" i="1"/>
  <c r="AF397" i="1"/>
  <c r="AE398" i="1" a="1"/>
  <c r="AE398" i="1"/>
  <c r="AF398" i="1"/>
  <c r="AE399" i="1" a="1"/>
  <c r="AE399" i="1"/>
  <c r="AF399" i="1"/>
  <c r="AE400" i="1" a="1"/>
  <c r="AE400" i="1"/>
  <c r="AF400" i="1"/>
  <c r="AE401" i="1" a="1"/>
  <c r="AE401" i="1"/>
  <c r="AF401" i="1"/>
  <c r="AE402" i="1" a="1"/>
  <c r="AE402" i="1"/>
  <c r="AF402" i="1"/>
  <c r="AE403" i="1" a="1"/>
  <c r="AE403" i="1"/>
  <c r="AF403" i="1"/>
  <c r="AE404" i="1" a="1"/>
  <c r="AE404" i="1"/>
  <c r="AF404" i="1"/>
  <c r="AE405" i="1" a="1"/>
  <c r="AE405" i="1"/>
  <c r="AF405" i="1"/>
  <c r="AE406" i="1" a="1"/>
  <c r="AE406" i="1"/>
  <c r="AF406" i="1"/>
  <c r="AE407" i="1" a="1"/>
  <c r="AE407" i="1"/>
  <c r="AF407" i="1"/>
  <c r="AE408" i="1" a="1"/>
  <c r="AE408" i="1"/>
  <c r="AF408" i="1"/>
  <c r="AE409" i="1" a="1"/>
  <c r="AE409" i="1"/>
  <c r="AF409" i="1"/>
  <c r="AE410" i="1" a="1"/>
  <c r="AE410" i="1"/>
  <c r="AF410" i="1"/>
  <c r="AE411" i="1" a="1"/>
  <c r="AE411" i="1"/>
  <c r="AF411" i="1"/>
  <c r="AE412" i="1" a="1"/>
  <c r="AE412" i="1"/>
  <c r="AF412" i="1"/>
  <c r="AE413" i="1" a="1"/>
  <c r="AE413" i="1"/>
  <c r="AF413" i="1"/>
  <c r="AE414" i="1" a="1"/>
  <c r="AE414" i="1"/>
  <c r="AF414" i="1"/>
  <c r="AE415" i="1" a="1"/>
  <c r="AE415" i="1"/>
  <c r="AF415" i="1"/>
  <c r="AE416" i="1" a="1"/>
  <c r="AE416" i="1"/>
  <c r="AF416" i="1"/>
  <c r="AE417" i="1" a="1"/>
  <c r="AE417" i="1"/>
  <c r="AF417" i="1"/>
  <c r="AE418" i="1" a="1"/>
  <c r="AE418" i="1"/>
  <c r="AF418" i="1"/>
  <c r="AE419" i="1" a="1"/>
  <c r="AE419" i="1"/>
  <c r="AF419" i="1"/>
  <c r="AE420" i="1" a="1"/>
  <c r="AE420" i="1"/>
  <c r="AF420" i="1"/>
  <c r="AE421" i="1" a="1"/>
  <c r="AE421" i="1"/>
  <c r="AF421" i="1"/>
  <c r="AE422" i="1" a="1"/>
  <c r="AE422" i="1"/>
  <c r="AF422" i="1"/>
  <c r="AE423" i="1" a="1"/>
  <c r="AE423" i="1"/>
  <c r="AF423" i="1"/>
  <c r="AE424" i="1" a="1"/>
  <c r="AE424" i="1"/>
  <c r="AF424" i="1"/>
  <c r="AE425" i="1" a="1"/>
  <c r="AE425" i="1"/>
  <c r="AF425" i="1"/>
  <c r="AE426" i="1" a="1"/>
  <c r="AE426" i="1"/>
  <c r="AF426" i="1"/>
  <c r="AE427" i="1" a="1"/>
  <c r="AE427" i="1"/>
  <c r="AF427" i="1"/>
  <c r="AE428" i="1" a="1"/>
  <c r="AE428" i="1"/>
  <c r="AF428" i="1"/>
  <c r="AE429" i="1" a="1"/>
  <c r="AE429" i="1"/>
  <c r="AF429" i="1"/>
  <c r="AE430" i="1" a="1"/>
  <c r="AE430" i="1"/>
  <c r="AF430" i="1"/>
  <c r="AE431" i="1" a="1"/>
  <c r="AE431" i="1"/>
  <c r="AF431" i="1"/>
  <c r="AE432" i="1" a="1"/>
  <c r="AE432" i="1"/>
  <c r="AF432" i="1"/>
  <c r="AE433" i="1" a="1"/>
  <c r="AE433" i="1"/>
  <c r="AF433" i="1"/>
  <c r="AE434" i="1" a="1"/>
  <c r="AE434" i="1"/>
  <c r="AF434" i="1"/>
  <c r="AE435" i="1" a="1"/>
  <c r="AE435" i="1"/>
  <c r="AF435" i="1"/>
  <c r="AE436" i="1" a="1"/>
  <c r="AE436" i="1"/>
  <c r="AF436" i="1"/>
  <c r="AE437" i="1" a="1"/>
  <c r="AE437" i="1"/>
  <c r="AF437" i="1"/>
  <c r="AE438" i="1" a="1"/>
  <c r="AE438" i="1"/>
  <c r="AF438" i="1"/>
  <c r="AE439" i="1" a="1"/>
  <c r="AE439" i="1"/>
  <c r="AF439" i="1"/>
  <c r="AE440" i="1" a="1"/>
  <c r="AE440" i="1"/>
  <c r="AF440" i="1"/>
  <c r="AE441" i="1" a="1"/>
  <c r="AE441" i="1"/>
  <c r="AF441" i="1"/>
  <c r="AE442" i="1" a="1"/>
  <c r="AE442" i="1"/>
  <c r="AF442" i="1"/>
  <c r="AE443" i="1" a="1"/>
  <c r="AE443" i="1"/>
  <c r="AF443" i="1"/>
  <c r="AE444" i="1" a="1"/>
  <c r="AE444" i="1"/>
  <c r="AF444" i="1"/>
  <c r="AE445" i="1" a="1"/>
  <c r="AE445" i="1"/>
  <c r="AF445" i="1"/>
  <c r="AE446" i="1" a="1"/>
  <c r="AE446" i="1"/>
  <c r="AF446" i="1"/>
  <c r="AE447" i="1" a="1"/>
  <c r="AE447" i="1"/>
  <c r="AF447" i="1"/>
  <c r="AE448" i="1" a="1"/>
  <c r="AE448" i="1"/>
  <c r="AF448" i="1"/>
  <c r="AE449" i="1" a="1"/>
  <c r="AE449" i="1"/>
  <c r="AF449" i="1"/>
  <c r="AE450" i="1" a="1"/>
  <c r="AE450" i="1"/>
  <c r="AF450" i="1"/>
  <c r="AE451" i="1" a="1"/>
  <c r="AE451" i="1"/>
  <c r="AF451" i="1"/>
  <c r="AE452" i="1" a="1"/>
  <c r="AE452" i="1"/>
  <c r="AF452" i="1"/>
  <c r="AE453" i="1" a="1"/>
  <c r="AE453" i="1"/>
  <c r="AF453" i="1"/>
  <c r="AE454" i="1" a="1"/>
  <c r="AE454" i="1"/>
  <c r="AF454" i="1"/>
  <c r="AE455" i="1" a="1"/>
  <c r="AE455" i="1"/>
  <c r="AF455" i="1"/>
  <c r="AE456" i="1" a="1"/>
  <c r="AE456" i="1"/>
  <c r="AF456" i="1"/>
  <c r="AE457" i="1" a="1"/>
  <c r="AE457" i="1"/>
  <c r="AF457" i="1"/>
  <c r="AE458" i="1" a="1"/>
  <c r="AE458" i="1"/>
  <c r="AF458" i="1"/>
  <c r="AE459" i="1" a="1"/>
  <c r="AE459" i="1"/>
  <c r="AF459" i="1"/>
  <c r="AE460" i="1" a="1"/>
  <c r="AE460" i="1"/>
  <c r="AF460" i="1"/>
  <c r="AE461" i="1" a="1"/>
  <c r="AE461" i="1"/>
  <c r="AF461" i="1"/>
  <c r="AE462" i="1" a="1"/>
  <c r="AE462" i="1"/>
  <c r="AF462" i="1"/>
  <c r="AE463" i="1" a="1"/>
  <c r="AE463" i="1"/>
  <c r="AF463" i="1"/>
  <c r="AE464" i="1" a="1"/>
  <c r="AE464" i="1"/>
  <c r="AF464" i="1"/>
  <c r="AE465" i="1" a="1"/>
  <c r="AE465" i="1"/>
  <c r="AF465" i="1"/>
  <c r="AE466" i="1" a="1"/>
  <c r="AE466" i="1"/>
  <c r="AF466" i="1"/>
  <c r="AE467" i="1" a="1"/>
  <c r="AE467" i="1"/>
  <c r="AF467" i="1"/>
  <c r="AE468" i="1" a="1"/>
  <c r="AE468" i="1"/>
  <c r="AF468" i="1"/>
  <c r="AE469" i="1" a="1"/>
  <c r="AE469" i="1"/>
  <c r="AF469" i="1"/>
  <c r="AE470" i="1" a="1"/>
  <c r="AE470" i="1"/>
  <c r="AF470" i="1"/>
  <c r="AE471" i="1" a="1"/>
  <c r="AE471" i="1"/>
  <c r="AF471" i="1"/>
  <c r="AE472" i="1" a="1"/>
  <c r="AE472" i="1"/>
  <c r="AF472" i="1"/>
  <c r="AE473" i="1" a="1"/>
  <c r="AE473" i="1"/>
  <c r="AF473" i="1"/>
  <c r="AE474" i="1" a="1"/>
  <c r="AE474" i="1"/>
  <c r="AF474" i="1"/>
  <c r="AE475" i="1" a="1"/>
  <c r="AE475" i="1"/>
  <c r="AF475" i="1"/>
  <c r="AE476" i="1" a="1"/>
  <c r="AE476" i="1"/>
  <c r="AF476" i="1"/>
  <c r="AE477" i="1" a="1"/>
  <c r="AE477" i="1"/>
  <c r="AF477" i="1"/>
  <c r="AE478" i="1" a="1"/>
  <c r="AE478" i="1"/>
  <c r="AF478" i="1"/>
  <c r="AE479" i="1" a="1"/>
  <c r="AE479" i="1"/>
  <c r="AF479" i="1"/>
  <c r="AE480" i="1" a="1"/>
  <c r="AE480" i="1"/>
  <c r="AF480" i="1"/>
  <c r="AE481" i="1" a="1"/>
  <c r="AE481" i="1"/>
  <c r="AF481" i="1"/>
  <c r="AE482" i="1" a="1"/>
  <c r="AE482" i="1"/>
  <c r="AF482" i="1"/>
  <c r="AE483" i="1" a="1"/>
  <c r="AE483" i="1"/>
  <c r="AF483" i="1"/>
  <c r="AE484" i="1" a="1"/>
  <c r="AE484" i="1"/>
  <c r="AF484" i="1"/>
  <c r="AE485" i="1" a="1"/>
  <c r="AE485" i="1"/>
  <c r="AF485" i="1"/>
  <c r="AE486" i="1" a="1"/>
  <c r="AE486" i="1"/>
  <c r="AF486" i="1"/>
  <c r="AE487" i="1" a="1"/>
  <c r="AE487" i="1"/>
  <c r="AF487" i="1"/>
  <c r="AE488" i="1" a="1"/>
  <c r="AE488" i="1"/>
  <c r="AF488" i="1"/>
  <c r="AE489" i="1" a="1"/>
  <c r="AE489" i="1"/>
  <c r="AF489" i="1"/>
  <c r="AE490" i="1" a="1"/>
  <c r="AE490" i="1"/>
  <c r="AF490" i="1"/>
  <c r="AE491" i="1" a="1"/>
  <c r="AE491" i="1"/>
  <c r="AF491" i="1"/>
  <c r="AE492" i="1" a="1"/>
  <c r="AE492" i="1"/>
  <c r="AF492" i="1"/>
  <c r="AE493" i="1" a="1"/>
  <c r="AE493" i="1"/>
  <c r="AF493" i="1"/>
  <c r="AE494" i="1" a="1"/>
  <c r="AE494" i="1"/>
  <c r="AF494" i="1"/>
  <c r="AE495" i="1" a="1"/>
  <c r="AE495" i="1"/>
  <c r="AF495" i="1"/>
  <c r="AE496" i="1" a="1"/>
  <c r="AE496" i="1"/>
  <c r="AF496" i="1"/>
  <c r="AE497" i="1" a="1"/>
  <c r="AE497" i="1"/>
  <c r="AF497" i="1"/>
  <c r="AE498" i="1" a="1"/>
  <c r="AE498" i="1"/>
  <c r="AF498" i="1"/>
  <c r="AE499" i="1" a="1"/>
  <c r="AE499" i="1"/>
  <c r="AF499" i="1"/>
  <c r="AE500" i="1" a="1"/>
  <c r="AE500" i="1"/>
  <c r="AF500" i="1"/>
  <c r="AE501" i="1" a="1"/>
  <c r="AE501" i="1"/>
  <c r="AF501" i="1"/>
  <c r="AE502" i="1" a="1"/>
  <c r="AE502" i="1"/>
  <c r="AF502" i="1"/>
  <c r="AE503" i="1" a="1"/>
  <c r="AE503" i="1"/>
  <c r="AF503" i="1"/>
  <c r="AE504" i="1" a="1"/>
  <c r="AE504" i="1"/>
  <c r="AF504" i="1"/>
  <c r="AE505" i="1" a="1"/>
  <c r="AE505" i="1"/>
  <c r="AF505" i="1"/>
  <c r="AE506" i="1" a="1"/>
  <c r="AE506" i="1"/>
  <c r="AF506" i="1"/>
  <c r="AE507" i="1" a="1"/>
  <c r="AE507" i="1"/>
  <c r="AF507" i="1"/>
  <c r="AE508" i="1" a="1"/>
  <c r="AE508" i="1"/>
  <c r="AF508" i="1"/>
  <c r="AE509" i="1" a="1"/>
  <c r="AE509" i="1"/>
  <c r="AF509" i="1"/>
  <c r="AE510" i="1" a="1"/>
  <c r="AE510" i="1"/>
  <c r="AF510" i="1"/>
  <c r="AE511" i="1" a="1"/>
  <c r="AE511" i="1"/>
  <c r="AF511" i="1"/>
  <c r="AE512" i="1" a="1"/>
  <c r="AE512" i="1"/>
  <c r="AF512" i="1"/>
  <c r="AE513" i="1" a="1"/>
  <c r="AE513" i="1"/>
  <c r="AF513" i="1"/>
  <c r="AE514" i="1" a="1"/>
  <c r="AE514" i="1"/>
  <c r="AF514" i="1"/>
  <c r="AE515" i="1" a="1"/>
  <c r="AE515" i="1"/>
  <c r="AF515" i="1"/>
  <c r="AE516" i="1" a="1"/>
  <c r="AE516" i="1"/>
  <c r="AF516" i="1"/>
  <c r="AE517" i="1" a="1"/>
  <c r="AE517" i="1"/>
  <c r="AF517" i="1"/>
  <c r="AE518" i="1" a="1"/>
  <c r="AE518" i="1"/>
  <c r="AF518" i="1"/>
  <c r="AE519" i="1" a="1"/>
  <c r="AE519" i="1"/>
  <c r="AF519" i="1"/>
  <c r="AE520" i="1" a="1"/>
  <c r="AE520" i="1"/>
  <c r="AF520" i="1"/>
  <c r="AE521" i="1" a="1"/>
  <c r="AE521" i="1"/>
  <c r="AF521" i="1"/>
  <c r="AE522" i="1" a="1"/>
  <c r="AE522" i="1"/>
  <c r="AF522" i="1"/>
  <c r="AE523" i="1" a="1"/>
  <c r="AE523" i="1"/>
  <c r="AF523" i="1"/>
  <c r="AE524" i="1" a="1"/>
  <c r="AE524" i="1"/>
  <c r="AF524" i="1"/>
  <c r="AE525" i="1" a="1"/>
  <c r="AE525" i="1"/>
  <c r="AF525" i="1"/>
  <c r="AE526" i="1" a="1"/>
  <c r="AE526" i="1"/>
  <c r="AF526" i="1"/>
  <c r="AE527" i="1" a="1"/>
  <c r="AE527" i="1"/>
  <c r="AF527" i="1"/>
  <c r="AE528" i="1" a="1"/>
  <c r="AE528" i="1"/>
  <c r="AF528" i="1"/>
  <c r="AE529" i="1" a="1"/>
  <c r="AE529" i="1"/>
  <c r="AF529" i="1"/>
  <c r="AE530" i="1" a="1"/>
  <c r="AE530" i="1"/>
  <c r="AF530" i="1"/>
  <c r="AE531" i="1" a="1"/>
  <c r="AE531" i="1"/>
  <c r="AF531" i="1"/>
  <c r="AE532" i="1" a="1"/>
  <c r="AE532" i="1"/>
  <c r="AF532" i="1"/>
  <c r="AE533" i="1" a="1"/>
  <c r="AE533" i="1"/>
  <c r="AF533" i="1"/>
  <c r="AE534" i="1" a="1"/>
  <c r="AE534" i="1"/>
  <c r="AF534" i="1"/>
  <c r="AE535" i="1" a="1"/>
  <c r="AE535" i="1"/>
  <c r="AF535" i="1"/>
  <c r="AE536" i="1" a="1"/>
  <c r="AE536" i="1"/>
  <c r="AF536" i="1"/>
  <c r="AE537" i="1" a="1"/>
  <c r="AE537" i="1"/>
  <c r="AF537" i="1"/>
  <c r="AE538" i="1" a="1"/>
  <c r="AE538" i="1"/>
  <c r="AF538" i="1"/>
  <c r="AE539" i="1" a="1"/>
  <c r="AE539" i="1"/>
  <c r="AF539" i="1"/>
  <c r="AE540" i="1" a="1"/>
  <c r="AE540" i="1"/>
  <c r="AF540" i="1"/>
  <c r="AE541" i="1" a="1"/>
  <c r="AE541" i="1"/>
  <c r="AF541" i="1"/>
  <c r="AE542" i="1" a="1"/>
  <c r="AE542" i="1"/>
  <c r="AF542" i="1"/>
  <c r="AE543" i="1" a="1"/>
  <c r="AE543" i="1"/>
  <c r="AF543" i="1"/>
  <c r="AE544" i="1" a="1"/>
  <c r="AE544" i="1"/>
  <c r="AF544" i="1"/>
  <c r="AE545" i="1" a="1"/>
  <c r="AE545" i="1"/>
  <c r="AF545" i="1"/>
  <c r="AE546" i="1" a="1"/>
  <c r="AE546" i="1"/>
  <c r="AF546" i="1"/>
  <c r="AE547" i="1" a="1"/>
  <c r="AE547" i="1"/>
  <c r="AF547" i="1"/>
  <c r="AE548" i="1" a="1"/>
  <c r="AE548" i="1"/>
  <c r="AF548" i="1"/>
  <c r="AE549" i="1" a="1"/>
  <c r="AE549" i="1"/>
  <c r="AF549" i="1"/>
  <c r="AE550" i="1" a="1"/>
  <c r="AE550" i="1"/>
  <c r="AF550" i="1"/>
  <c r="AE551" i="1" a="1"/>
  <c r="AE551" i="1"/>
  <c r="AF551" i="1"/>
  <c r="AE552" i="1" a="1"/>
  <c r="AE552" i="1"/>
  <c r="AF552" i="1"/>
  <c r="AE553" i="1" a="1"/>
  <c r="AE553" i="1"/>
  <c r="AF553" i="1"/>
  <c r="AE554" i="1" a="1"/>
  <c r="AE554" i="1"/>
  <c r="AF554" i="1"/>
  <c r="AE555" i="1" a="1"/>
  <c r="AE555" i="1"/>
  <c r="AF555" i="1"/>
  <c r="AE556" i="1" a="1"/>
  <c r="AE556" i="1"/>
  <c r="AF556" i="1"/>
  <c r="AE557" i="1" a="1"/>
  <c r="AE557" i="1"/>
  <c r="AF557" i="1"/>
  <c r="AE558" i="1" a="1"/>
  <c r="AE558" i="1"/>
  <c r="AF558" i="1"/>
  <c r="AE559" i="1" a="1"/>
  <c r="AE559" i="1"/>
  <c r="AF559" i="1"/>
  <c r="AE560" i="1" a="1"/>
  <c r="AE560" i="1"/>
  <c r="AF560" i="1"/>
  <c r="AE561" i="1" a="1"/>
  <c r="AE561" i="1"/>
  <c r="AF561" i="1"/>
  <c r="AE562" i="1" a="1"/>
  <c r="AE562" i="1"/>
  <c r="AF562" i="1"/>
  <c r="AE563" i="1" a="1"/>
  <c r="AE563" i="1"/>
  <c r="AF563" i="1"/>
  <c r="AE564" i="1" a="1"/>
  <c r="AE564" i="1"/>
  <c r="AF564" i="1"/>
  <c r="AE565" i="1" a="1"/>
  <c r="AE565" i="1"/>
  <c r="AF565" i="1"/>
  <c r="AE566" i="1" a="1"/>
  <c r="AE566" i="1"/>
  <c r="AF566" i="1"/>
  <c r="AE567" i="1" a="1"/>
  <c r="AE567" i="1"/>
  <c r="AF567" i="1"/>
  <c r="AE568" i="1" a="1"/>
  <c r="AE568" i="1"/>
  <c r="AF568" i="1"/>
  <c r="AE569" i="1" a="1"/>
  <c r="AE569" i="1"/>
  <c r="AF569" i="1"/>
  <c r="AE570" i="1" a="1"/>
  <c r="AE570" i="1"/>
  <c r="AF570" i="1"/>
  <c r="AE571" i="1" a="1"/>
  <c r="AE571" i="1"/>
  <c r="AF571" i="1"/>
  <c r="AE572" i="1" a="1"/>
  <c r="AE572" i="1"/>
  <c r="AF572" i="1"/>
  <c r="AE573" i="1" a="1"/>
  <c r="AE573" i="1"/>
  <c r="AF573" i="1"/>
  <c r="AE574" i="1" a="1"/>
  <c r="AE574" i="1"/>
  <c r="AF574" i="1"/>
  <c r="AE575" i="1" a="1"/>
  <c r="AE575" i="1"/>
  <c r="AF575" i="1"/>
  <c r="AE576" i="1" a="1"/>
  <c r="AE576" i="1"/>
  <c r="AF576" i="1"/>
  <c r="AE577" i="1" a="1"/>
  <c r="AE577" i="1"/>
  <c r="AF577" i="1"/>
  <c r="AE578" i="1" a="1"/>
  <c r="AE578" i="1"/>
  <c r="AF578" i="1"/>
  <c r="AE579" i="1" a="1"/>
  <c r="AE579" i="1"/>
  <c r="AF579" i="1"/>
  <c r="AE580" i="1" a="1"/>
  <c r="AE580" i="1"/>
  <c r="AF580" i="1"/>
  <c r="AE581" i="1" a="1"/>
  <c r="AE581" i="1"/>
  <c r="AF581" i="1"/>
  <c r="AE582" i="1" a="1"/>
  <c r="AE582" i="1"/>
  <c r="AF582" i="1"/>
  <c r="AE583" i="1" a="1"/>
  <c r="AE583" i="1"/>
  <c r="AF583" i="1"/>
  <c r="AE584" i="1" a="1"/>
  <c r="AE584" i="1"/>
  <c r="AF584" i="1"/>
  <c r="AE585" i="1" a="1"/>
  <c r="AE585" i="1"/>
  <c r="AF585" i="1"/>
  <c r="AE586" i="1" a="1"/>
  <c r="AE586" i="1"/>
  <c r="AF586" i="1"/>
  <c r="AE587" i="1" a="1"/>
  <c r="AE587" i="1"/>
  <c r="AF587" i="1"/>
  <c r="AE588" i="1" a="1"/>
  <c r="AE588" i="1"/>
  <c r="AF588" i="1"/>
  <c r="AE589" i="1" a="1"/>
  <c r="AE589" i="1"/>
  <c r="AF589" i="1"/>
  <c r="AE590" i="1" a="1"/>
  <c r="AE590" i="1"/>
  <c r="AF590" i="1"/>
  <c r="AE591" i="1" a="1"/>
  <c r="AE591" i="1"/>
  <c r="AF591" i="1"/>
  <c r="AE592" i="1" a="1"/>
  <c r="AE592" i="1"/>
  <c r="AF592" i="1"/>
  <c r="AE593" i="1" a="1"/>
  <c r="AE593" i="1"/>
  <c r="AF593" i="1"/>
  <c r="AE594" i="1" a="1"/>
  <c r="AE594" i="1"/>
  <c r="AF594" i="1"/>
  <c r="AE595" i="1" a="1"/>
  <c r="AE595" i="1"/>
  <c r="AF595" i="1"/>
  <c r="AE596" i="1" a="1"/>
  <c r="AE596" i="1"/>
  <c r="AF596" i="1"/>
  <c r="AE597" i="1" a="1"/>
  <c r="AE597" i="1"/>
  <c r="AF597" i="1"/>
  <c r="AE598" i="1" a="1"/>
  <c r="AE598" i="1"/>
  <c r="AF598" i="1"/>
  <c r="AE599" i="1" a="1"/>
  <c r="AE599" i="1"/>
  <c r="AF599" i="1"/>
  <c r="AE600" i="1" a="1"/>
  <c r="AE600" i="1"/>
  <c r="AF600" i="1"/>
  <c r="AE601" i="1" a="1"/>
  <c r="AE601" i="1"/>
  <c r="AF601" i="1"/>
  <c r="AE602" i="1" a="1"/>
  <c r="AE602" i="1"/>
  <c r="AF602" i="1"/>
  <c r="AE603" i="1" a="1"/>
  <c r="AE603" i="1"/>
  <c r="AF603" i="1"/>
  <c r="AE604" i="1" a="1"/>
  <c r="AE604" i="1"/>
  <c r="AF604" i="1"/>
  <c r="AE605" i="1" a="1"/>
  <c r="AE605" i="1"/>
  <c r="AF605" i="1"/>
  <c r="AE606" i="1" a="1"/>
  <c r="AE606" i="1"/>
  <c r="AF606" i="1"/>
  <c r="AE607" i="1" a="1"/>
  <c r="AE607" i="1"/>
  <c r="AF607" i="1"/>
  <c r="AE608" i="1" a="1"/>
  <c r="AE608" i="1"/>
  <c r="AF608" i="1"/>
  <c r="AE609" i="1" a="1"/>
  <c r="AE609" i="1"/>
  <c r="AF609" i="1"/>
  <c r="AE610" i="1" a="1"/>
  <c r="AE610" i="1"/>
  <c r="AF610" i="1"/>
  <c r="AE611" i="1" a="1"/>
  <c r="AE611" i="1"/>
  <c r="AF611" i="1"/>
  <c r="AE612" i="1" a="1"/>
  <c r="AE612" i="1"/>
  <c r="AF612" i="1"/>
  <c r="AE613" i="1" a="1"/>
  <c r="AE613" i="1"/>
  <c r="AF613" i="1"/>
  <c r="AE614" i="1" a="1"/>
  <c r="AE614" i="1"/>
  <c r="AF614" i="1"/>
  <c r="AE615" i="1" a="1"/>
  <c r="AE615" i="1"/>
  <c r="AF615" i="1"/>
  <c r="AE616" i="1" a="1"/>
  <c r="AE616" i="1"/>
  <c r="AF616" i="1"/>
  <c r="AE617" i="1" a="1"/>
  <c r="AE617" i="1"/>
  <c r="AF617" i="1"/>
  <c r="AE618" i="1" a="1"/>
  <c r="AE618" i="1"/>
  <c r="AF618" i="1"/>
  <c r="AE619" i="1" a="1"/>
  <c r="AE619" i="1"/>
  <c r="AF619" i="1"/>
  <c r="AE620" i="1" a="1"/>
  <c r="AE620" i="1"/>
  <c r="AF620" i="1"/>
  <c r="AE621" i="1" a="1"/>
  <c r="AE621" i="1"/>
  <c r="AF621" i="1"/>
  <c r="AE622" i="1" a="1"/>
  <c r="AE622" i="1"/>
  <c r="AF622" i="1"/>
  <c r="AE623" i="1" a="1"/>
  <c r="AE623" i="1"/>
  <c r="AF623" i="1"/>
  <c r="AE624" i="1" a="1"/>
  <c r="AE624" i="1"/>
  <c r="AF624" i="1"/>
  <c r="AE625" i="1" a="1"/>
  <c r="AE625" i="1"/>
  <c r="AF625" i="1"/>
  <c r="AE626" i="1" a="1"/>
  <c r="AE626" i="1"/>
  <c r="AF626" i="1"/>
  <c r="AE627" i="1" a="1"/>
  <c r="AE627" i="1"/>
  <c r="AF627" i="1"/>
  <c r="AE628" i="1" a="1"/>
  <c r="AE628" i="1"/>
  <c r="AF628" i="1"/>
  <c r="AE629" i="1" a="1"/>
  <c r="AE629" i="1"/>
  <c r="AF629" i="1"/>
  <c r="AE630" i="1" a="1"/>
  <c r="AE630" i="1"/>
  <c r="AF630" i="1"/>
  <c r="AE631" i="1" a="1"/>
  <c r="AE631" i="1"/>
  <c r="AF631" i="1"/>
  <c r="AE632" i="1" a="1"/>
  <c r="AE632" i="1"/>
  <c r="AF632" i="1"/>
  <c r="AE633" i="1" a="1"/>
  <c r="AE633" i="1"/>
  <c r="AF633" i="1"/>
  <c r="AE634" i="1" a="1"/>
  <c r="AE634" i="1"/>
  <c r="AF634" i="1"/>
  <c r="AE635" i="1" a="1"/>
  <c r="AE635" i="1"/>
  <c r="AF635" i="1"/>
  <c r="AE636" i="1" a="1"/>
  <c r="AE636" i="1"/>
  <c r="AF636" i="1"/>
  <c r="AE637" i="1" a="1"/>
  <c r="AE637" i="1"/>
  <c r="AF637" i="1"/>
  <c r="AE638" i="1" a="1"/>
  <c r="AE638" i="1"/>
  <c r="AF638" i="1"/>
  <c r="AE639" i="1" a="1"/>
  <c r="AE639" i="1"/>
  <c r="AF639" i="1"/>
  <c r="AE640" i="1" a="1"/>
  <c r="AE640" i="1"/>
  <c r="AF640" i="1"/>
  <c r="AE641" i="1" a="1"/>
  <c r="AE641" i="1"/>
  <c r="AF641" i="1"/>
  <c r="AE642" i="1" a="1"/>
  <c r="AE642" i="1"/>
  <c r="AF642" i="1"/>
  <c r="AE643" i="1" a="1"/>
  <c r="AE643" i="1"/>
  <c r="AF643" i="1"/>
  <c r="AE644" i="1" a="1"/>
  <c r="AE644" i="1"/>
  <c r="AF644" i="1"/>
  <c r="AE645" i="1" a="1"/>
  <c r="AE645" i="1"/>
  <c r="AF645" i="1"/>
  <c r="AE646" i="1" a="1"/>
  <c r="AE646" i="1"/>
  <c r="AF646" i="1"/>
  <c r="AE647" i="1" a="1"/>
  <c r="AE647" i="1"/>
  <c r="AF647" i="1"/>
  <c r="AE648" i="1" a="1"/>
  <c r="AE648" i="1"/>
  <c r="AF648" i="1"/>
  <c r="AE649" i="1" a="1"/>
  <c r="AE649" i="1"/>
  <c r="AF649" i="1"/>
  <c r="AE650" i="1" a="1"/>
  <c r="AE650" i="1"/>
  <c r="AF650" i="1"/>
  <c r="AE651" i="1" a="1"/>
  <c r="AE651" i="1"/>
  <c r="AF651" i="1"/>
  <c r="AE652" i="1" a="1"/>
  <c r="AE652" i="1"/>
  <c r="AF652" i="1"/>
  <c r="AE653" i="1" a="1"/>
  <c r="AE653" i="1"/>
  <c r="AF653" i="1"/>
  <c r="AE654" i="1" a="1"/>
  <c r="AE654" i="1"/>
  <c r="AF654" i="1"/>
  <c r="AE655" i="1" a="1"/>
  <c r="AE655" i="1"/>
  <c r="AF655" i="1"/>
  <c r="AE656" i="1" a="1"/>
  <c r="AE656" i="1"/>
  <c r="AF656" i="1"/>
  <c r="AE657" i="1" a="1"/>
  <c r="AE657" i="1"/>
  <c r="AF657" i="1"/>
  <c r="AE658" i="1" a="1"/>
  <c r="AE658" i="1"/>
  <c r="AF658" i="1"/>
  <c r="AE659" i="1" a="1"/>
  <c r="AE659" i="1"/>
  <c r="AF659" i="1"/>
  <c r="AE660" i="1" a="1"/>
  <c r="AE660" i="1"/>
  <c r="AF660" i="1"/>
  <c r="AE661" i="1" a="1"/>
  <c r="AE661" i="1"/>
  <c r="AF661" i="1"/>
  <c r="AE662" i="1" a="1"/>
  <c r="AE662" i="1"/>
  <c r="AF662" i="1"/>
  <c r="AE663" i="1" a="1"/>
  <c r="AE663" i="1"/>
  <c r="AF663" i="1"/>
  <c r="AE664" i="1" a="1"/>
  <c r="AE664" i="1"/>
  <c r="AF664" i="1"/>
  <c r="AE665" i="1" a="1"/>
  <c r="AE665" i="1"/>
  <c r="AF665" i="1"/>
  <c r="AE666" i="1" a="1"/>
  <c r="AE666" i="1"/>
  <c r="AF666" i="1"/>
  <c r="AE667" i="1" a="1"/>
  <c r="AE667" i="1"/>
  <c r="AF667" i="1"/>
  <c r="AE668" i="1" a="1"/>
  <c r="AE668" i="1"/>
  <c r="AF668" i="1"/>
  <c r="AE669" i="1" a="1"/>
  <c r="AE669" i="1"/>
  <c r="AF669" i="1"/>
  <c r="AE670" i="1" a="1"/>
  <c r="AE670" i="1"/>
  <c r="AF670" i="1"/>
  <c r="AE671" i="1" a="1"/>
  <c r="AE671" i="1"/>
  <c r="AF671" i="1"/>
  <c r="AE672" i="1" a="1"/>
  <c r="AE672" i="1"/>
  <c r="AF672" i="1"/>
  <c r="AE673" i="1" a="1"/>
  <c r="AE673" i="1"/>
  <c r="AF673" i="1"/>
  <c r="AE674" i="1" a="1"/>
  <c r="AE674" i="1"/>
  <c r="AF674" i="1"/>
  <c r="AE675" i="1" a="1"/>
  <c r="AE675" i="1"/>
  <c r="AF675" i="1"/>
  <c r="AE676" i="1" a="1"/>
  <c r="AE676" i="1"/>
  <c r="AF676" i="1"/>
  <c r="AE677" i="1" a="1"/>
  <c r="AE677" i="1"/>
  <c r="AF677" i="1"/>
  <c r="AE678" i="1" a="1"/>
  <c r="AE678" i="1"/>
  <c r="AF678" i="1"/>
  <c r="AE679" i="1" a="1"/>
  <c r="AE679" i="1"/>
  <c r="AF679" i="1"/>
  <c r="AE680" i="1" a="1"/>
  <c r="AE680" i="1"/>
  <c r="AF680" i="1"/>
  <c r="AE681" i="1" a="1"/>
  <c r="AE681" i="1"/>
  <c r="AF681" i="1"/>
  <c r="AE682" i="1" a="1"/>
  <c r="AE682" i="1"/>
  <c r="AF682" i="1"/>
  <c r="AE683" i="1" a="1"/>
  <c r="AE683" i="1"/>
  <c r="AF683" i="1"/>
  <c r="AE684" i="1" a="1"/>
  <c r="AE684" i="1"/>
  <c r="AF684" i="1"/>
  <c r="AE685" i="1" a="1"/>
  <c r="AE685" i="1"/>
  <c r="AF685" i="1"/>
  <c r="AE686" i="1" a="1"/>
  <c r="AE686" i="1"/>
  <c r="AF686" i="1"/>
  <c r="AE687" i="1" a="1"/>
  <c r="AE687" i="1"/>
  <c r="AF687" i="1"/>
  <c r="AE688" i="1" a="1"/>
  <c r="AE688" i="1"/>
  <c r="AF688" i="1"/>
  <c r="AE689" i="1" a="1"/>
  <c r="AE689" i="1"/>
  <c r="AF689" i="1"/>
  <c r="AE690" i="1" a="1"/>
  <c r="AE690" i="1"/>
  <c r="AF690" i="1"/>
  <c r="AE691" i="1" a="1"/>
  <c r="AE691" i="1"/>
  <c r="AF691" i="1"/>
  <c r="AE692" i="1" a="1"/>
  <c r="AE692" i="1"/>
  <c r="AF692" i="1"/>
  <c r="AE693" i="1" a="1"/>
  <c r="AE693" i="1"/>
  <c r="AF693" i="1"/>
  <c r="AE694" i="1" a="1"/>
  <c r="AE694" i="1"/>
  <c r="AF694" i="1"/>
  <c r="AE695" i="1" a="1"/>
  <c r="AE695" i="1"/>
  <c r="AF695" i="1"/>
  <c r="AE696" i="1" a="1"/>
  <c r="AE696" i="1"/>
  <c r="AF696" i="1"/>
  <c r="AE697" i="1" a="1"/>
  <c r="AE697" i="1"/>
  <c r="AF697" i="1"/>
  <c r="AE698" i="1" a="1"/>
  <c r="AE698" i="1"/>
  <c r="AF698" i="1"/>
  <c r="AE699" i="1" a="1"/>
  <c r="AE699" i="1"/>
  <c r="AF699" i="1"/>
  <c r="AE700" i="1" a="1"/>
  <c r="AE700" i="1"/>
  <c r="AF700" i="1"/>
  <c r="AE701" i="1" a="1"/>
  <c r="AE701" i="1"/>
  <c r="AF701" i="1"/>
  <c r="AE702" i="1" a="1"/>
  <c r="AE702" i="1"/>
  <c r="AF702" i="1"/>
  <c r="AE703" i="1" a="1"/>
  <c r="AE703" i="1"/>
  <c r="AF703" i="1"/>
  <c r="AE704" i="1" a="1"/>
  <c r="AE704" i="1"/>
  <c r="AF704" i="1"/>
  <c r="AE705" i="1" a="1"/>
  <c r="AE705" i="1"/>
  <c r="AF705" i="1"/>
  <c r="AE706" i="1" a="1"/>
  <c r="AE706" i="1"/>
  <c r="AF706" i="1"/>
  <c r="AE707" i="1" a="1"/>
  <c r="AE707" i="1"/>
  <c r="AF707" i="1"/>
  <c r="AE708" i="1" a="1"/>
  <c r="AE708" i="1"/>
  <c r="AF708" i="1"/>
  <c r="AE709" i="1" a="1"/>
  <c r="AE709" i="1"/>
  <c r="AF709" i="1"/>
  <c r="AE710" i="1" a="1"/>
  <c r="AE710" i="1"/>
  <c r="AF710" i="1"/>
  <c r="AE711" i="1" a="1"/>
  <c r="AE711" i="1"/>
  <c r="AF711" i="1"/>
  <c r="AE712" i="1" a="1"/>
  <c r="AE712" i="1"/>
  <c r="AF712" i="1"/>
  <c r="AE713" i="1" a="1"/>
  <c r="AE713" i="1"/>
  <c r="AF713" i="1"/>
  <c r="AE714" i="1" a="1"/>
  <c r="AE714" i="1"/>
  <c r="AF714" i="1"/>
  <c r="AE715" i="1" a="1"/>
  <c r="AE715" i="1"/>
  <c r="AF715" i="1"/>
  <c r="AE716" i="1" a="1"/>
  <c r="AE716" i="1"/>
  <c r="AF716" i="1"/>
  <c r="AE717" i="1" a="1"/>
  <c r="AE717" i="1"/>
  <c r="AF717" i="1"/>
  <c r="AE718" i="1" a="1"/>
  <c r="AE718" i="1"/>
  <c r="AF718" i="1"/>
  <c r="AE719" i="1" a="1"/>
  <c r="AE719" i="1"/>
  <c r="AF719" i="1"/>
  <c r="AE720" i="1" a="1"/>
  <c r="AE720" i="1"/>
  <c r="AF720" i="1"/>
  <c r="AE721" i="1" a="1"/>
  <c r="AE721" i="1"/>
  <c r="AF721" i="1"/>
  <c r="AE722" i="1" a="1"/>
  <c r="AE722" i="1"/>
  <c r="AF722" i="1"/>
  <c r="AE723" i="1" a="1"/>
  <c r="AE723" i="1"/>
  <c r="AF723" i="1"/>
  <c r="AE724" i="1" a="1"/>
  <c r="AE724" i="1"/>
  <c r="AF724" i="1"/>
  <c r="AE725" i="1" a="1"/>
  <c r="AE725" i="1"/>
  <c r="AF725" i="1"/>
  <c r="AE726" i="1" a="1"/>
  <c r="AE726" i="1"/>
  <c r="AF726" i="1"/>
  <c r="AE727" i="1" a="1"/>
  <c r="AE727" i="1"/>
  <c r="AF727" i="1"/>
  <c r="AE728" i="1" a="1"/>
  <c r="AE728" i="1"/>
  <c r="AF728" i="1"/>
  <c r="AE729" i="1" a="1"/>
  <c r="AE729" i="1"/>
  <c r="AF729" i="1"/>
  <c r="AE730" i="1" a="1"/>
  <c r="AE730" i="1"/>
  <c r="AF730" i="1"/>
  <c r="AE731" i="1" a="1"/>
  <c r="AE731" i="1"/>
  <c r="AF731" i="1"/>
  <c r="AE732" i="1" a="1"/>
  <c r="AE732" i="1"/>
  <c r="AF732" i="1"/>
  <c r="AE733" i="1" a="1"/>
  <c r="AE733" i="1"/>
  <c r="AF733" i="1"/>
  <c r="AE734" i="1" a="1"/>
  <c r="AE734" i="1"/>
  <c r="AF734" i="1"/>
  <c r="AE735" i="1" a="1"/>
  <c r="AE735" i="1"/>
  <c r="AF735" i="1"/>
  <c r="AE736" i="1" a="1"/>
  <c r="AE736" i="1"/>
  <c r="AF736" i="1"/>
  <c r="AE737" i="1" a="1"/>
  <c r="AE737" i="1"/>
  <c r="AF737" i="1"/>
  <c r="AE738" i="1" a="1"/>
  <c r="AE738" i="1"/>
  <c r="AF738" i="1"/>
  <c r="AE739" i="1" a="1"/>
  <c r="AE739" i="1"/>
  <c r="AF739" i="1"/>
  <c r="AE740" i="1" a="1"/>
  <c r="AE740" i="1"/>
  <c r="AF740" i="1"/>
  <c r="AE741" i="1" a="1"/>
  <c r="AE741" i="1"/>
  <c r="AF741" i="1"/>
  <c r="AE742" i="1" a="1"/>
  <c r="AE742" i="1"/>
  <c r="AF742" i="1"/>
  <c r="AE743" i="1" a="1"/>
  <c r="AE743" i="1"/>
  <c r="AF743" i="1"/>
  <c r="AE744" i="1" a="1"/>
  <c r="AE744" i="1"/>
  <c r="AF744" i="1"/>
  <c r="AE745" i="1" a="1"/>
  <c r="AE745" i="1"/>
  <c r="AF745" i="1"/>
  <c r="AE746" i="1" a="1"/>
  <c r="AE746" i="1"/>
  <c r="AF746" i="1"/>
  <c r="AE747" i="1" a="1"/>
  <c r="AE747" i="1"/>
  <c r="AF747" i="1"/>
  <c r="AE748" i="1" a="1"/>
  <c r="AE748" i="1"/>
  <c r="AF748" i="1"/>
  <c r="AE749" i="1" a="1"/>
  <c r="AE749" i="1"/>
  <c r="AF749" i="1"/>
  <c r="AE750" i="1" a="1"/>
  <c r="AE750" i="1"/>
  <c r="AF750" i="1"/>
  <c r="AE751" i="1" a="1"/>
  <c r="AE751" i="1"/>
  <c r="AF751" i="1"/>
  <c r="AE752" i="1" a="1"/>
  <c r="AE752" i="1"/>
  <c r="AF752" i="1"/>
  <c r="AE753" i="1" a="1"/>
  <c r="AE753" i="1"/>
  <c r="AF753" i="1"/>
  <c r="AE754" i="1" a="1"/>
  <c r="AE754" i="1"/>
  <c r="AF754" i="1"/>
  <c r="AE755" i="1" a="1"/>
  <c r="AE755" i="1"/>
  <c r="AF755" i="1"/>
  <c r="AE756" i="1" a="1"/>
  <c r="AE756" i="1"/>
  <c r="AF756" i="1"/>
  <c r="AE757" i="1" a="1"/>
  <c r="AE757" i="1"/>
  <c r="AF757" i="1"/>
  <c r="AE758" i="1" a="1"/>
  <c r="AE758" i="1"/>
  <c r="AF758" i="1"/>
  <c r="AE759" i="1" a="1"/>
  <c r="AE759" i="1"/>
  <c r="AF759" i="1"/>
  <c r="AE760" i="1" a="1"/>
  <c r="AE760" i="1"/>
  <c r="AF760" i="1"/>
  <c r="AE761" i="1" a="1"/>
  <c r="AE761" i="1"/>
  <c r="AF761" i="1"/>
  <c r="AE762" i="1" a="1"/>
  <c r="AE762" i="1"/>
  <c r="AF762" i="1"/>
  <c r="AE763" i="1" a="1"/>
  <c r="AE763" i="1"/>
  <c r="AF763" i="1"/>
  <c r="AE764" i="1" a="1"/>
  <c r="AE764" i="1"/>
  <c r="AF764" i="1"/>
  <c r="AE765" i="1" a="1"/>
  <c r="AE765" i="1"/>
  <c r="AF765" i="1"/>
  <c r="AE766" i="1" a="1"/>
  <c r="AE766" i="1"/>
  <c r="AF766" i="1"/>
  <c r="AE767" i="1" a="1"/>
  <c r="AE767" i="1"/>
  <c r="AF767" i="1"/>
  <c r="AE768" i="1" a="1"/>
  <c r="AE768" i="1"/>
  <c r="AF768" i="1"/>
  <c r="AE769" i="1" a="1"/>
  <c r="AE769" i="1"/>
  <c r="AF769" i="1"/>
  <c r="AE770" i="1" a="1"/>
  <c r="AE770" i="1"/>
  <c r="AF770" i="1"/>
  <c r="AE771" i="1" a="1"/>
  <c r="AE771" i="1"/>
  <c r="AF771" i="1"/>
  <c r="AE772" i="1" a="1"/>
  <c r="AE772" i="1"/>
  <c r="AF772" i="1"/>
  <c r="AE773" i="1" a="1"/>
  <c r="AE773" i="1"/>
  <c r="AF773" i="1"/>
  <c r="AE774" i="1" a="1"/>
  <c r="AE774" i="1"/>
  <c r="AF774" i="1"/>
  <c r="AE775" i="1" a="1"/>
  <c r="AE775" i="1"/>
  <c r="AF775" i="1"/>
  <c r="AE776" i="1" a="1"/>
  <c r="AE776" i="1"/>
  <c r="AF776" i="1"/>
  <c r="AE777" i="1" a="1"/>
  <c r="AE777" i="1"/>
  <c r="AF777" i="1"/>
  <c r="AE778" i="1" a="1"/>
  <c r="AE778" i="1"/>
  <c r="AF778" i="1"/>
  <c r="AE779" i="1" a="1"/>
  <c r="AE779" i="1"/>
  <c r="AF779" i="1"/>
  <c r="AE780" i="1" a="1"/>
  <c r="AE780" i="1"/>
  <c r="AF780" i="1"/>
  <c r="AE781" i="1" a="1"/>
  <c r="AE781" i="1"/>
  <c r="AF781" i="1"/>
  <c r="AE782" i="1" a="1"/>
  <c r="AE782" i="1"/>
  <c r="AF782" i="1"/>
  <c r="AE783" i="1" a="1"/>
  <c r="AE783" i="1"/>
  <c r="AF783" i="1"/>
  <c r="AE784" i="1" a="1"/>
  <c r="AE784" i="1"/>
  <c r="AF784" i="1"/>
  <c r="AE785" i="1" a="1"/>
  <c r="AE785" i="1"/>
  <c r="AF785" i="1"/>
  <c r="AE786" i="1" a="1"/>
  <c r="AE786" i="1"/>
  <c r="AF786" i="1"/>
  <c r="AE787" i="1" a="1"/>
  <c r="AE787" i="1"/>
  <c r="AF787" i="1"/>
  <c r="AE788" i="1" a="1"/>
  <c r="AE788" i="1"/>
  <c r="AF788" i="1"/>
  <c r="AE789" i="1" a="1"/>
  <c r="AE789" i="1"/>
  <c r="AF789" i="1"/>
  <c r="AE790" i="1" a="1"/>
  <c r="AE790" i="1"/>
  <c r="AF790" i="1"/>
  <c r="AE791" i="1" a="1"/>
  <c r="AE791" i="1"/>
  <c r="AF791" i="1"/>
  <c r="AE792" i="1" a="1"/>
  <c r="AE792" i="1"/>
  <c r="AF792" i="1"/>
  <c r="AE793" i="1" a="1"/>
  <c r="AE793" i="1"/>
  <c r="AF793" i="1"/>
  <c r="AE794" i="1" a="1"/>
  <c r="AE794" i="1"/>
  <c r="AF794" i="1"/>
  <c r="AE795" i="1" a="1"/>
  <c r="AE795" i="1"/>
  <c r="AF795" i="1"/>
  <c r="AE796" i="1" a="1"/>
  <c r="AE796" i="1"/>
  <c r="AF796" i="1"/>
  <c r="AE797" i="1" a="1"/>
  <c r="AE797" i="1"/>
  <c r="AF797" i="1"/>
  <c r="AE798" i="1" a="1"/>
  <c r="AE798" i="1"/>
  <c r="AF798" i="1"/>
  <c r="AE799" i="1" a="1"/>
  <c r="AE799" i="1"/>
  <c r="AF799" i="1"/>
  <c r="AE800" i="1" a="1"/>
  <c r="AE800" i="1"/>
  <c r="AF800" i="1"/>
  <c r="AE801" i="1" a="1"/>
  <c r="AE801" i="1"/>
  <c r="AF801" i="1"/>
  <c r="AE802" i="1" a="1"/>
  <c r="AE802" i="1"/>
  <c r="AF802" i="1"/>
  <c r="AE803" i="1" a="1"/>
  <c r="AE803" i="1"/>
  <c r="AF803" i="1"/>
  <c r="AE804" i="1" a="1"/>
  <c r="AE804" i="1"/>
  <c r="AF804" i="1"/>
  <c r="AE805" i="1" a="1"/>
  <c r="AE805" i="1"/>
  <c r="AF805" i="1"/>
  <c r="AE806" i="1" a="1"/>
  <c r="AE806" i="1"/>
  <c r="AF806" i="1"/>
  <c r="AE807" i="1" a="1"/>
  <c r="AE807" i="1"/>
  <c r="AF807" i="1"/>
  <c r="AE808" i="1" a="1"/>
  <c r="AE808" i="1"/>
  <c r="AF808" i="1"/>
  <c r="AE809" i="1" a="1"/>
  <c r="AE809" i="1"/>
  <c r="AF809" i="1"/>
  <c r="AE810" i="1" a="1"/>
  <c r="AE810" i="1"/>
  <c r="AF810" i="1"/>
  <c r="AE811" i="1" a="1"/>
  <c r="AE811" i="1"/>
  <c r="AF811" i="1"/>
  <c r="AE812" i="1" a="1"/>
  <c r="AE812" i="1"/>
  <c r="AF812" i="1"/>
  <c r="AE813" i="1" a="1"/>
  <c r="AE813" i="1"/>
  <c r="AF813" i="1"/>
  <c r="AE814" i="1" a="1"/>
  <c r="AE814" i="1"/>
  <c r="AF814" i="1"/>
  <c r="AE815" i="1" a="1"/>
  <c r="AE815" i="1"/>
  <c r="AF815" i="1"/>
  <c r="AE816" i="1" a="1"/>
  <c r="AE816" i="1"/>
  <c r="AF816" i="1"/>
  <c r="AE817" i="1" a="1"/>
  <c r="AE817" i="1"/>
  <c r="AF817" i="1"/>
  <c r="AE818" i="1" a="1"/>
  <c r="AE818" i="1"/>
  <c r="AF818" i="1"/>
  <c r="AE819" i="1" a="1"/>
  <c r="AE819" i="1"/>
  <c r="AF819" i="1"/>
  <c r="AE820" i="1" a="1"/>
  <c r="AE820" i="1"/>
  <c r="AF820" i="1"/>
  <c r="AE821" i="1" a="1"/>
  <c r="AE821" i="1"/>
  <c r="AF821" i="1"/>
  <c r="AE822" i="1" a="1"/>
  <c r="AE822" i="1"/>
  <c r="AF822" i="1"/>
  <c r="AE823" i="1" a="1"/>
  <c r="AE823" i="1"/>
  <c r="AF823" i="1"/>
  <c r="AE824" i="1" a="1"/>
  <c r="AE824" i="1"/>
  <c r="AF824" i="1"/>
  <c r="AE825" i="1" a="1"/>
  <c r="AE825" i="1"/>
  <c r="AF825" i="1"/>
  <c r="AE826" i="1" a="1"/>
  <c r="AE826" i="1"/>
  <c r="AF826" i="1"/>
  <c r="AE827" i="1" a="1"/>
  <c r="AE827" i="1"/>
  <c r="AF827" i="1"/>
  <c r="AE828" i="1" a="1"/>
  <c r="AE828" i="1"/>
  <c r="AF828" i="1"/>
  <c r="AE829" i="1" a="1"/>
  <c r="AE829" i="1"/>
  <c r="AF829" i="1"/>
  <c r="AE830" i="1" a="1"/>
  <c r="AE830" i="1"/>
  <c r="AF830" i="1"/>
  <c r="AE831" i="1" a="1"/>
  <c r="AE831" i="1"/>
  <c r="AF831" i="1"/>
  <c r="AE832" i="1" a="1"/>
  <c r="AE832" i="1"/>
  <c r="AF832" i="1"/>
  <c r="AE833" i="1" a="1"/>
  <c r="AE833" i="1"/>
  <c r="AF833" i="1"/>
  <c r="AE834" i="1" a="1"/>
  <c r="AE834" i="1"/>
  <c r="AF834" i="1"/>
  <c r="AE835" i="1" a="1"/>
  <c r="AE835" i="1"/>
  <c r="AF835" i="1"/>
  <c r="AE836" i="1" a="1"/>
  <c r="AE836" i="1"/>
  <c r="AF836" i="1"/>
  <c r="AE837" i="1" a="1"/>
  <c r="AE837" i="1"/>
  <c r="AF837" i="1"/>
  <c r="AE838" i="1" a="1"/>
  <c r="AE838" i="1"/>
  <c r="AF838" i="1"/>
  <c r="AE839" i="1" a="1"/>
  <c r="AE839" i="1"/>
  <c r="AF839" i="1"/>
  <c r="AE840" i="1" a="1"/>
  <c r="AE840" i="1"/>
  <c r="AF840" i="1"/>
  <c r="AE841" i="1" a="1"/>
  <c r="AE841" i="1"/>
  <c r="AF841" i="1"/>
  <c r="AE842" i="1" a="1"/>
  <c r="AE842" i="1"/>
  <c r="AF842" i="1"/>
  <c r="AE843" i="1" a="1"/>
  <c r="AE843" i="1"/>
  <c r="AF843" i="1"/>
  <c r="AE844" i="1" a="1"/>
  <c r="AE844" i="1"/>
  <c r="AF844" i="1"/>
  <c r="AE845" i="1" a="1"/>
  <c r="AE845" i="1"/>
  <c r="AF845" i="1"/>
  <c r="AE846" i="1" a="1"/>
  <c r="AE846" i="1"/>
  <c r="AF846" i="1"/>
  <c r="AE847" i="1" a="1"/>
  <c r="AE847" i="1"/>
  <c r="AF847" i="1"/>
  <c r="AE848" i="1" a="1"/>
  <c r="AE848" i="1"/>
  <c r="AF848" i="1"/>
  <c r="AE849" i="1" a="1"/>
  <c r="AE849" i="1"/>
  <c r="AF849" i="1"/>
  <c r="AE850" i="1" a="1"/>
  <c r="AE850" i="1"/>
  <c r="AF850" i="1"/>
  <c r="AE851" i="1" a="1"/>
  <c r="AE851" i="1"/>
  <c r="AF851" i="1"/>
  <c r="AE852" i="1" a="1"/>
  <c r="AE852" i="1"/>
  <c r="AF852" i="1"/>
  <c r="AE853" i="1" a="1"/>
  <c r="AE853" i="1"/>
  <c r="AF853" i="1"/>
  <c r="AE854" i="1" a="1"/>
  <c r="AE854" i="1"/>
  <c r="AF854" i="1"/>
  <c r="AE855" i="1" a="1"/>
  <c r="AE855" i="1"/>
  <c r="AF855" i="1"/>
  <c r="AE856" i="1" a="1"/>
  <c r="AE856" i="1"/>
  <c r="AF856" i="1"/>
  <c r="AE857" i="1" a="1"/>
  <c r="AE857" i="1"/>
  <c r="AF857" i="1"/>
  <c r="AE858" i="1" a="1"/>
  <c r="AE858" i="1"/>
  <c r="AF858" i="1"/>
  <c r="AE859" i="1" a="1"/>
  <c r="AE859" i="1"/>
  <c r="AF859" i="1"/>
  <c r="AE860" i="1" a="1"/>
  <c r="AE860" i="1"/>
  <c r="AF860" i="1"/>
  <c r="AE861" i="1" a="1"/>
  <c r="AE861" i="1"/>
  <c r="AF861" i="1"/>
  <c r="AE862" i="1" a="1"/>
  <c r="AE862" i="1"/>
  <c r="AF862" i="1"/>
  <c r="AE863" i="1" a="1"/>
  <c r="AE863" i="1"/>
  <c r="AF863" i="1"/>
  <c r="AE864" i="1" a="1"/>
  <c r="AE864" i="1"/>
  <c r="AF864" i="1"/>
  <c r="AE865" i="1" a="1"/>
  <c r="AE865" i="1"/>
  <c r="AF865" i="1"/>
  <c r="AE866" i="1" a="1"/>
  <c r="AE866" i="1"/>
  <c r="AF866" i="1"/>
  <c r="AE867" i="1" a="1"/>
  <c r="AE867" i="1"/>
  <c r="AF867" i="1"/>
  <c r="AE868" i="1" a="1"/>
  <c r="AE868" i="1"/>
  <c r="AF868" i="1"/>
  <c r="AE869" i="1" a="1"/>
  <c r="AE869" i="1"/>
  <c r="AF869" i="1"/>
  <c r="AE870" i="1" a="1"/>
  <c r="AE870" i="1"/>
  <c r="AF870" i="1"/>
  <c r="AE871" i="1" a="1"/>
  <c r="AE871" i="1"/>
  <c r="AF871" i="1"/>
  <c r="AE872" i="1" a="1"/>
  <c r="AE872" i="1"/>
  <c r="AF872" i="1"/>
  <c r="AE873" i="1" a="1"/>
  <c r="AE873" i="1"/>
  <c r="AF873" i="1"/>
  <c r="AE874" i="1" a="1"/>
  <c r="AE874" i="1"/>
  <c r="AF874" i="1"/>
  <c r="AE875" i="1" a="1"/>
  <c r="AE875" i="1"/>
  <c r="AF875" i="1"/>
  <c r="AE876" i="1" a="1"/>
  <c r="AE876" i="1"/>
  <c r="AF876" i="1"/>
  <c r="AE877" i="1" a="1"/>
  <c r="AE877" i="1"/>
  <c r="AF877" i="1"/>
  <c r="AE878" i="1" a="1"/>
  <c r="AE878" i="1"/>
  <c r="AF878" i="1"/>
  <c r="AE879" i="1" a="1"/>
  <c r="AE879" i="1"/>
  <c r="AF879" i="1"/>
  <c r="AE880" i="1" a="1"/>
  <c r="AE880" i="1"/>
  <c r="AF880" i="1"/>
  <c r="AE881" i="1" a="1"/>
  <c r="AE881" i="1"/>
  <c r="AF881" i="1"/>
  <c r="AE882" i="1" a="1"/>
  <c r="AE882" i="1"/>
  <c r="AF882" i="1"/>
  <c r="AE883" i="1" a="1"/>
  <c r="AE883" i="1"/>
  <c r="AF883" i="1"/>
  <c r="AE884" i="1" a="1"/>
  <c r="AE884" i="1"/>
  <c r="AF884" i="1"/>
  <c r="AE885" i="1" a="1"/>
  <c r="AE885" i="1"/>
  <c r="AF885" i="1"/>
  <c r="AE886" i="1" a="1"/>
  <c r="AE886" i="1"/>
  <c r="AF886" i="1"/>
  <c r="AE887" i="1" a="1"/>
  <c r="AE887" i="1"/>
  <c r="AF887" i="1"/>
  <c r="AE888" i="1" a="1"/>
  <c r="AE888" i="1"/>
  <c r="AF888" i="1"/>
  <c r="AE889" i="1" a="1"/>
  <c r="AE889" i="1"/>
  <c r="AF889" i="1"/>
  <c r="AE890" i="1" a="1"/>
  <c r="AE890" i="1"/>
  <c r="AF890" i="1"/>
  <c r="AE891" i="1" a="1"/>
  <c r="AE891" i="1"/>
  <c r="AF891" i="1"/>
  <c r="AE892" i="1" a="1"/>
  <c r="AE892" i="1"/>
  <c r="AF892" i="1"/>
  <c r="AE893" i="1" a="1"/>
  <c r="AE893" i="1"/>
  <c r="AF893" i="1"/>
  <c r="AE894" i="1" a="1"/>
  <c r="AE894" i="1"/>
  <c r="AF894" i="1"/>
  <c r="AE895" i="1" a="1"/>
  <c r="AE895" i="1"/>
  <c r="AF895" i="1"/>
  <c r="AE896" i="1" a="1"/>
  <c r="AE896" i="1"/>
  <c r="AF896" i="1"/>
  <c r="AE897" i="1" a="1"/>
  <c r="AE897" i="1"/>
  <c r="AF897" i="1"/>
  <c r="AE898" i="1" a="1"/>
  <c r="AE898" i="1"/>
  <c r="AF898" i="1"/>
  <c r="AE899" i="1" a="1"/>
  <c r="AE899" i="1"/>
  <c r="AF899" i="1"/>
  <c r="AE900" i="1" a="1"/>
  <c r="AE900" i="1"/>
  <c r="AF900" i="1"/>
  <c r="AE901" i="1" a="1"/>
  <c r="AE901" i="1"/>
  <c r="AF901" i="1"/>
  <c r="AE902" i="1" a="1"/>
  <c r="AE902" i="1"/>
  <c r="AF902" i="1"/>
  <c r="AE903" i="1" a="1"/>
  <c r="AE903" i="1"/>
  <c r="AF903" i="1"/>
  <c r="AE904" i="1" a="1"/>
  <c r="AE904" i="1"/>
  <c r="AF904" i="1"/>
  <c r="AE905" i="1" a="1"/>
  <c r="AE905" i="1"/>
  <c r="AF905" i="1"/>
  <c r="AE906" i="1" a="1"/>
  <c r="AE906" i="1"/>
  <c r="AF906" i="1"/>
  <c r="AE907" i="1" a="1"/>
  <c r="AE907" i="1"/>
  <c r="AF907" i="1"/>
  <c r="AE908" i="1" a="1"/>
  <c r="AE908" i="1"/>
  <c r="AF908" i="1"/>
  <c r="AE909" i="1" a="1"/>
  <c r="AE909" i="1"/>
  <c r="AF909" i="1"/>
  <c r="AE910" i="1" a="1"/>
  <c r="AE910" i="1"/>
  <c r="AF910" i="1"/>
  <c r="AE911" i="1" a="1"/>
  <c r="AE911" i="1"/>
  <c r="AF911" i="1"/>
  <c r="AE912" i="1" a="1"/>
  <c r="AE912" i="1"/>
  <c r="AF912" i="1"/>
  <c r="AE913" i="1" a="1"/>
  <c r="AE913" i="1"/>
  <c r="AF913" i="1"/>
  <c r="AE914" i="1" a="1"/>
  <c r="AE914" i="1"/>
  <c r="AF914" i="1"/>
  <c r="AE915" i="1" a="1"/>
  <c r="AE915" i="1"/>
  <c r="AF915" i="1"/>
  <c r="AE916" i="1" a="1"/>
  <c r="AE916" i="1"/>
  <c r="AF916" i="1"/>
  <c r="AE917" i="1" a="1"/>
  <c r="AE917" i="1"/>
  <c r="AF917" i="1"/>
  <c r="AE918" i="1" a="1"/>
  <c r="AE918" i="1"/>
  <c r="AF918" i="1"/>
  <c r="AE919" i="1" a="1"/>
  <c r="AE919" i="1"/>
  <c r="AF919" i="1"/>
  <c r="AE920" i="1" a="1"/>
  <c r="AE920" i="1"/>
  <c r="AF920" i="1"/>
  <c r="AE921" i="1" a="1"/>
  <c r="AE921" i="1"/>
  <c r="AF921" i="1"/>
  <c r="AE922" i="1" a="1"/>
  <c r="AE922" i="1"/>
  <c r="AF922" i="1"/>
  <c r="AE923" i="1" a="1"/>
  <c r="AE923" i="1"/>
  <c r="AF923" i="1"/>
  <c r="AE924" i="1" a="1"/>
  <c r="AE924" i="1"/>
  <c r="AF924" i="1"/>
  <c r="AE925" i="1" a="1"/>
  <c r="AE925" i="1"/>
  <c r="AF925" i="1"/>
  <c r="AE926" i="1" a="1"/>
  <c r="AE926" i="1"/>
  <c r="AF926" i="1"/>
  <c r="AE927" i="1" a="1"/>
  <c r="AE927" i="1"/>
  <c r="AF927" i="1"/>
  <c r="AE928" i="1" a="1"/>
  <c r="AE928" i="1"/>
  <c r="AF928" i="1"/>
  <c r="AE929" i="1" a="1"/>
  <c r="AE929" i="1"/>
  <c r="AF929" i="1"/>
  <c r="AE930" i="1" a="1"/>
  <c r="AE930" i="1"/>
  <c r="AF930" i="1"/>
  <c r="AE931" i="1" a="1"/>
  <c r="AE931" i="1"/>
  <c r="AF931" i="1"/>
  <c r="AE932" i="1" a="1"/>
  <c r="AE932" i="1"/>
  <c r="AF932" i="1"/>
  <c r="AE933" i="1" a="1"/>
  <c r="AE933" i="1"/>
  <c r="AF933" i="1"/>
  <c r="AE934" i="1" a="1"/>
  <c r="AE934" i="1"/>
  <c r="AF934" i="1"/>
  <c r="AE935" i="1" a="1"/>
  <c r="AE935" i="1"/>
  <c r="AF935" i="1"/>
  <c r="AE936" i="1" a="1"/>
  <c r="AE936" i="1"/>
  <c r="AF936" i="1"/>
  <c r="AE937" i="1" a="1"/>
  <c r="AE937" i="1"/>
  <c r="AF937" i="1"/>
  <c r="AE938" i="1" a="1"/>
  <c r="AE938" i="1"/>
  <c r="AF938" i="1"/>
  <c r="AE939" i="1" a="1"/>
  <c r="AE939" i="1"/>
  <c r="AF939" i="1"/>
  <c r="AE940" i="1" a="1"/>
  <c r="AE940" i="1"/>
  <c r="AF940" i="1"/>
  <c r="AE941" i="1" a="1"/>
  <c r="AE941" i="1"/>
  <c r="AF941" i="1"/>
  <c r="AE942" i="1" a="1"/>
  <c r="AE942" i="1"/>
  <c r="AF942" i="1"/>
  <c r="AE943" i="1" a="1"/>
  <c r="AE943" i="1"/>
  <c r="AF943" i="1"/>
  <c r="AE944" i="1" a="1"/>
  <c r="AE944" i="1"/>
  <c r="AF944" i="1"/>
  <c r="AE945" i="1" a="1"/>
  <c r="AE945" i="1"/>
  <c r="AF945" i="1"/>
  <c r="AE946" i="1" a="1"/>
  <c r="AE946" i="1"/>
  <c r="AF946" i="1"/>
  <c r="AE947" i="1" a="1"/>
  <c r="AE947" i="1"/>
  <c r="AF947" i="1"/>
  <c r="AE948" i="1" a="1"/>
  <c r="AE948" i="1"/>
  <c r="AF948" i="1"/>
  <c r="AE949" i="1" a="1"/>
  <c r="AE949" i="1"/>
  <c r="AF949" i="1"/>
  <c r="AE950" i="1" a="1"/>
  <c r="AE950" i="1"/>
  <c r="AF950" i="1"/>
  <c r="AE951" i="1" a="1"/>
  <c r="AE951" i="1"/>
  <c r="AF951" i="1"/>
  <c r="AE952" i="1" a="1"/>
  <c r="AE952" i="1"/>
  <c r="AF952" i="1"/>
  <c r="AE953" i="1" a="1"/>
  <c r="AE953" i="1"/>
  <c r="AF953" i="1"/>
  <c r="AE954" i="1" a="1"/>
  <c r="AE954" i="1"/>
  <c r="AF954" i="1"/>
  <c r="AE955" i="1" a="1"/>
  <c r="AE955" i="1"/>
  <c r="AF955" i="1"/>
  <c r="AE956" i="1" a="1"/>
  <c r="AE956" i="1"/>
  <c r="AF956" i="1"/>
  <c r="AE957" i="1" a="1"/>
  <c r="AE957" i="1"/>
  <c r="AF957" i="1"/>
  <c r="AE958" i="1" a="1"/>
  <c r="AE958" i="1"/>
  <c r="AF958" i="1"/>
  <c r="AE959" i="1" a="1"/>
  <c r="AE959" i="1"/>
  <c r="AF959" i="1"/>
  <c r="AE960" i="1" a="1"/>
  <c r="AE960" i="1"/>
  <c r="AF960" i="1"/>
  <c r="AE961" i="1" a="1"/>
  <c r="AE961" i="1"/>
  <c r="AF961" i="1"/>
  <c r="AE962" i="1" a="1"/>
  <c r="AE962" i="1"/>
  <c r="AF962" i="1"/>
  <c r="AE963" i="1" a="1"/>
  <c r="AE963" i="1"/>
  <c r="AF963" i="1"/>
  <c r="AE964" i="1" a="1"/>
  <c r="AE964" i="1"/>
  <c r="AF964" i="1"/>
  <c r="AE965" i="1" a="1"/>
  <c r="AE965" i="1"/>
  <c r="AF965" i="1"/>
  <c r="AE966" i="1" a="1"/>
  <c r="AE966" i="1"/>
  <c r="AF966" i="1"/>
  <c r="AE967" i="1" a="1"/>
  <c r="AE967" i="1"/>
  <c r="AF967" i="1"/>
  <c r="AE968" i="1" a="1"/>
  <c r="AE968" i="1"/>
  <c r="AF968" i="1"/>
  <c r="AE969" i="1" a="1"/>
  <c r="AE969" i="1"/>
  <c r="AF969" i="1"/>
  <c r="AE970" i="1" a="1"/>
  <c r="AE970" i="1"/>
  <c r="AF970" i="1"/>
  <c r="AE971" i="1" a="1"/>
  <c r="AE971" i="1"/>
  <c r="AF971" i="1"/>
  <c r="AE972" i="1" a="1"/>
  <c r="AE972" i="1"/>
  <c r="AF972" i="1"/>
  <c r="AE973" i="1" a="1"/>
  <c r="AE973" i="1"/>
  <c r="AF973" i="1"/>
  <c r="AE974" i="1" a="1"/>
  <c r="AE974" i="1"/>
  <c r="AF974" i="1"/>
  <c r="AE975" i="1" a="1"/>
  <c r="AE975" i="1"/>
  <c r="AF975" i="1"/>
  <c r="AE976" i="1" a="1"/>
  <c r="AE976" i="1"/>
  <c r="AF976" i="1"/>
  <c r="AE977" i="1" a="1"/>
  <c r="AE977" i="1"/>
  <c r="AF977" i="1"/>
  <c r="AE978" i="1" a="1"/>
  <c r="AE978" i="1"/>
  <c r="AF978" i="1"/>
  <c r="AE979" i="1" a="1"/>
  <c r="AE979" i="1"/>
  <c r="AF979" i="1"/>
  <c r="AE980" i="1" a="1"/>
  <c r="AE980" i="1"/>
  <c r="AF980" i="1"/>
  <c r="AE981" i="1" a="1"/>
  <c r="AE981" i="1"/>
  <c r="AF981" i="1"/>
  <c r="AE982" i="1" a="1"/>
  <c r="AE982" i="1"/>
  <c r="AF982" i="1"/>
  <c r="AE983" i="1" a="1"/>
  <c r="AE983" i="1"/>
  <c r="AF983" i="1"/>
  <c r="AE984" i="1" a="1"/>
  <c r="AE984" i="1"/>
  <c r="AF984" i="1"/>
  <c r="AE985" i="1" a="1"/>
  <c r="AE985" i="1"/>
  <c r="AF985" i="1"/>
  <c r="AE986" i="1" a="1"/>
  <c r="AE986" i="1"/>
  <c r="AF986" i="1"/>
  <c r="AE987" i="1" a="1"/>
  <c r="AE987" i="1"/>
  <c r="AF987" i="1"/>
  <c r="AE988" i="1" a="1"/>
  <c r="AE988" i="1"/>
  <c r="AF988" i="1"/>
  <c r="AE989" i="1" a="1"/>
  <c r="AE989" i="1"/>
  <c r="AF989" i="1"/>
  <c r="AE990" i="1" a="1"/>
  <c r="AE990" i="1"/>
  <c r="AF990" i="1"/>
  <c r="AE991" i="1" a="1"/>
  <c r="AE991" i="1"/>
  <c r="AF991" i="1"/>
  <c r="AE992" i="1" a="1"/>
  <c r="AE992" i="1"/>
  <c r="AF992" i="1"/>
  <c r="AE993" i="1" a="1"/>
  <c r="AE993" i="1"/>
  <c r="AF993" i="1"/>
  <c r="AE994" i="1" a="1"/>
  <c r="AE994" i="1"/>
  <c r="AF994" i="1"/>
  <c r="AE995" i="1" a="1"/>
  <c r="AE995" i="1"/>
  <c r="AF995" i="1"/>
  <c r="AE996" i="1" a="1"/>
  <c r="AE996" i="1"/>
  <c r="AF996" i="1"/>
  <c r="AE997" i="1" a="1"/>
  <c r="AE997" i="1"/>
  <c r="AF997" i="1"/>
  <c r="AE998" i="1" a="1"/>
  <c r="AE998" i="1"/>
  <c r="AF998" i="1"/>
  <c r="AE999" i="1" a="1"/>
  <c r="AE999" i="1"/>
  <c r="AF999" i="1"/>
  <c r="AE1000" i="1" a="1"/>
  <c r="AE1000" i="1"/>
  <c r="AF1000" i="1"/>
  <c r="AE1001" i="1" a="1"/>
  <c r="AE1001" i="1"/>
  <c r="AF1001" i="1"/>
  <c r="AE1002" i="1" a="1"/>
  <c r="AE1002" i="1"/>
  <c r="AF1002" i="1"/>
  <c r="AG3" i="1"/>
  <c r="AE3" i="1" a="1"/>
  <c r="AE3" i="1"/>
  <c r="S36" i="1" a="1"/>
  <c r="S36" i="1"/>
  <c r="S43" i="1" a="1"/>
  <c r="S43" i="1"/>
  <c r="X41" i="1"/>
  <c r="X34" i="1"/>
  <c r="X2" i="1"/>
  <c r="S27" i="1"/>
  <c r="S28" i="1" a="1"/>
  <c r="S28" i="1"/>
  <c r="S29" i="1"/>
  <c r="S4" i="1"/>
  <c r="T4" i="1"/>
  <c r="U4" i="1"/>
  <c r="V4" i="1"/>
  <c r="W4" i="1"/>
  <c r="S19" i="1" a="1"/>
  <c r="S19" i="1"/>
  <c r="W5" i="1"/>
  <c r="V5" i="1"/>
  <c r="U5" i="1"/>
  <c r="T5" i="1"/>
  <c r="S5" i="1"/>
  <c r="W3" i="1"/>
  <c r="V3" i="1"/>
  <c r="U3" i="1"/>
  <c r="T3" i="1"/>
  <c r="S35" i="1"/>
  <c r="S37" i="1"/>
  <c r="S42" i="1"/>
  <c r="S44" i="1"/>
  <c r="AF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<sst xmlns="http://schemas.openxmlformats.org/spreadsheetml/2006/main" count="89" uniqueCount="25">
  <si>
    <t>META</t>
  </si>
  <si>
    <t>NVDA</t>
  </si>
  <si>
    <t>Date</t>
  </si>
  <si>
    <t>Expected returns &lt;==  E(r)</t>
  </si>
  <si>
    <t>n</t>
  </si>
  <si>
    <t xml:space="preserve">stddev &lt;==  σ </t>
  </si>
  <si>
    <r>
      <t>variance &lt;==   σ</t>
    </r>
    <r>
      <rPr>
        <vertAlign val="superscript"/>
        <sz val="11"/>
        <color rgb="FF000000"/>
        <rFont val="Calibri"/>
        <family val="2"/>
      </rPr>
      <t>2</t>
    </r>
  </si>
  <si>
    <t>r_TB3MS</t>
  </si>
  <si>
    <r>
      <t>(varcovar/(</t>
    </r>
    <r>
      <rPr>
        <sz val="11"/>
        <color theme="1"/>
        <rFont val="Calibri"/>
        <family val="2"/>
      </rPr>
      <t>σ</t>
    </r>
    <r>
      <rPr>
        <vertAlign val="superscript"/>
        <sz val="11"/>
        <color theme="1"/>
        <rFont val="Calibri"/>
        <family val="2"/>
      </rPr>
      <t>T</t>
    </r>
    <r>
      <rPr>
        <sz val="11"/>
        <color theme="1"/>
        <rFont val="Calibri"/>
        <family val="2"/>
      </rPr>
      <t>σ))</t>
    </r>
  </si>
  <si>
    <t>Correlation</t>
  </si>
  <si>
    <t>Σ = XTX/(n-1)</t>
  </si>
  <si>
    <t>VarCovar</t>
  </si>
  <si>
    <t>Equal Weights</t>
  </si>
  <si>
    <r>
      <t>E(r</t>
    </r>
    <r>
      <rPr>
        <vertAlign val="sub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)</t>
    </r>
  </si>
  <si>
    <r>
      <t>σ</t>
    </r>
    <r>
      <rPr>
        <vertAlign val="subscript"/>
        <sz val="11"/>
        <color theme="1"/>
        <rFont val="Calibri"/>
        <family val="2"/>
      </rPr>
      <t>p</t>
    </r>
  </si>
  <si>
    <r>
      <t>E(r</t>
    </r>
    <r>
      <rPr>
        <vertAlign val="sub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)-rf/σ</t>
    </r>
    <r>
      <rPr>
        <vertAlign val="subscript"/>
        <sz val="11"/>
        <color theme="1"/>
        <rFont val="Calibri"/>
        <family val="2"/>
        <scheme val="minor"/>
      </rPr>
      <t>p</t>
    </r>
  </si>
  <si>
    <t>Minimum Var</t>
  </si>
  <si>
    <t>Maximize Sharpe Ratio</t>
  </si>
  <si>
    <t>AVGO</t>
  </si>
  <si>
    <t>NFLX</t>
  </si>
  <si>
    <t>TSLA</t>
  </si>
  <si>
    <t>mean deviation</t>
  </si>
  <si>
    <t>σp</t>
  </si>
  <si>
    <t>E(rp)</t>
  </si>
  <si>
    <t>monthly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</si>
</sst>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vertAlign val="superscript"/>
      <sz val="11"/>
      <color rgb="FF000000"/>
      <name val="Calibri"/>
      <family val="2"/>
    </font>
    <font>
      <vertAlign val="superscript"/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</font>
    <font>
      <sz val="12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10" fontId="4" fillId="0" borderId="0" xfId="1" applyNumberFormat="1" applyFont="1"/>
    <xf numFmtId="2" fontId="0" fillId="0" borderId="0" xfId="0" applyNumberFormat="1"/>
    <xf numFmtId="9" fontId="0" fillId="0" borderId="0" xfId="1" applyFont="1"/>
    <xf numFmtId="10" fontId="0" fillId="0" borderId="0" xfId="1" applyNumberFormat="1" applyFont="1"/>
    <xf numFmtId="10" fontId="0" fillId="0" borderId="0" xfId="0" applyNumberFormat="1"/>
    <xf numFmtId="0" fontId="4" fillId="3" borderId="0" xfId="0" applyFont="1" applyFill="1"/>
    <xf numFmtId="0" fontId="0" fillId="3" borderId="0" xfId="0" applyFill="1"/>
    <xf numFmtId="0" fontId="0" fillId="3" borderId="0" xfId="0" quotePrefix="1" applyFill="1"/>
    <xf numFmtId="0" fontId="3" fillId="0" borderId="0" xfId="0" applyFont="1"/>
    <xf numFmtId="164" fontId="0" fillId="0" borderId="0" xfId="1" applyNumberFormat="1" applyFont="1"/>
    <xf numFmtId="0" fontId="9" fillId="0" borderId="0" xfId="0" applyFont="1"/>
    <xf numFmtId="0" fontId="10" fillId="0" borderId="0" xfId="0" applyFont="1"/>
    <xf numFmtId="0" fontId="1" fillId="4" borderId="0" xfId="0" applyFont="1" applyFill="1"/>
    <xf numFmtId="0" fontId="1" fillId="2" borderId="0" xfId="0" applyFont="1" applyFill="1"/>
    <xf numFmtId="0" fontId="0" fillId="0" borderId="0" xfId="1" applyNumberFormat="1" applyFont="1"/>
    <xf numFmtId="0" fontId="4" fillId="5" borderId="0" xfId="0" applyFont="1" applyFill="1"/>
    <xf numFmtId="165" fontId="0" fillId="0" borderId="0" xfId="1" applyNumberFormat="1" applyFont="1"/>
    <xf numFmtId="0" fontId="1" fillId="6" borderId="1" xfId="0" applyFont="1" applyFill="1" applyBorder="1" applyAlignment="1">
      <alignment horizontal="center" vertical="top"/>
    </xf>
    <xf numFmtId="10" fontId="0" fillId="6" borderId="0" xfId="1" applyNumberFormat="1" applyFont="1" applyFill="1"/>
    <xf numFmtId="0" fontId="0" fillId="6" borderId="0" xfId="0" applyFill="1"/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baseline="0"/>
              <a:t>Investment Opportunity 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Investment Opportunity Set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'multiple risky assets'!$AN$3:$AN$983</c:f>
              <c:numCache>
                <c:formatCode>0.00%</c:formatCode>
                <c:ptCount val="981"/>
                <c:pt idx="0">
                  <c:v>2.9286853347959831</c:v>
                </c:pt>
                <c:pt idx="1">
                  <c:v>2.5761973486945173</c:v>
                </c:pt>
                <c:pt idx="2">
                  <c:v>2.4518890465436423</c:v>
                </c:pt>
                <c:pt idx="3">
                  <c:v>2.3056507317999286</c:v>
                </c:pt>
                <c:pt idx="4">
                  <c:v>2.2597891772022201</c:v>
                </c:pt>
                <c:pt idx="5">
                  <c:v>2.214932443036755</c:v>
                </c:pt>
                <c:pt idx="6">
                  <c:v>2.1150466889590906</c:v>
                </c:pt>
                <c:pt idx="7">
                  <c:v>2.0873389290982942</c:v>
                </c:pt>
                <c:pt idx="8">
                  <c:v>1.9455618033095676</c:v>
                </c:pt>
                <c:pt idx="9">
                  <c:v>1.9439678306422383</c:v>
                </c:pt>
                <c:pt idx="10">
                  <c:v>1.867605018003561</c:v>
                </c:pt>
                <c:pt idx="11">
                  <c:v>1.8176018631999284</c:v>
                </c:pt>
                <c:pt idx="12">
                  <c:v>1.7780924601437627</c:v>
                </c:pt>
                <c:pt idx="13">
                  <c:v>1.7707602828723967</c:v>
                </c:pt>
                <c:pt idx="14">
                  <c:v>1.7658706905862178</c:v>
                </c:pt>
                <c:pt idx="15">
                  <c:v>1.7609101634682072</c:v>
                </c:pt>
                <c:pt idx="16">
                  <c:v>1.7537738290669247</c:v>
                </c:pt>
                <c:pt idx="17">
                  <c:v>1.7166020448426924</c:v>
                </c:pt>
                <c:pt idx="18">
                  <c:v>1.681664899674072</c:v>
                </c:pt>
                <c:pt idx="19">
                  <c:v>1.6010055100607503</c:v>
                </c:pt>
                <c:pt idx="20">
                  <c:v>1.5883301899843725</c:v>
                </c:pt>
                <c:pt idx="21">
                  <c:v>1.4604278514371716</c:v>
                </c:pt>
                <c:pt idx="22">
                  <c:v>1.4365608818355133</c:v>
                </c:pt>
                <c:pt idx="23">
                  <c:v>1.3903405700934461</c:v>
                </c:pt>
                <c:pt idx="24">
                  <c:v>1.352361877653254</c:v>
                </c:pt>
                <c:pt idx="25">
                  <c:v>1.3301248899567912</c:v>
                </c:pt>
                <c:pt idx="26">
                  <c:v>1.3219504962744759</c:v>
                </c:pt>
                <c:pt idx="27">
                  <c:v>1.3160220634527591</c:v>
                </c:pt>
                <c:pt idx="28">
                  <c:v>1.2891126879586581</c:v>
                </c:pt>
                <c:pt idx="29">
                  <c:v>1.2525431121710719</c:v>
                </c:pt>
                <c:pt idx="30">
                  <c:v>1.2102620448518526</c:v>
                </c:pt>
                <c:pt idx="31">
                  <c:v>1.1290575419618214</c:v>
                </c:pt>
                <c:pt idx="32">
                  <c:v>1.118911081363628</c:v>
                </c:pt>
                <c:pt idx="33">
                  <c:v>1.1037587418046855</c:v>
                </c:pt>
                <c:pt idx="34">
                  <c:v>1.0852562819582006</c:v>
                </c:pt>
                <c:pt idx="35">
                  <c:v>1.0843200179296166</c:v>
                </c:pt>
                <c:pt idx="36">
                  <c:v>1.0765933458205523</c:v>
                </c:pt>
                <c:pt idx="37">
                  <c:v>1.0619180930275738</c:v>
                </c:pt>
                <c:pt idx="38">
                  <c:v>1.0475558524263777</c:v>
                </c:pt>
                <c:pt idx="39">
                  <c:v>1.0422589223771788</c:v>
                </c:pt>
                <c:pt idx="40">
                  <c:v>1.0408747488219281</c:v>
                </c:pt>
                <c:pt idx="41">
                  <c:v>1.0360535239479638</c:v>
                </c:pt>
                <c:pt idx="42">
                  <c:v>1.0327644301402412</c:v>
                </c:pt>
                <c:pt idx="43">
                  <c:v>1.0317999282128121</c:v>
                </c:pt>
                <c:pt idx="44">
                  <c:v>1.0229569574549859</c:v>
                </c:pt>
                <c:pt idx="45">
                  <c:v>1.0181328120284925</c:v>
                </c:pt>
                <c:pt idx="46">
                  <c:v>1.0176177926687582</c:v>
                </c:pt>
                <c:pt idx="47">
                  <c:v>1.0100100926815145</c:v>
                </c:pt>
                <c:pt idx="48">
                  <c:v>0.97551784468296043</c:v>
                </c:pt>
                <c:pt idx="49">
                  <c:v>0.97082424689897195</c:v>
                </c:pt>
                <c:pt idx="50">
                  <c:v>0.95446229052549647</c:v>
                </c:pt>
                <c:pt idx="51">
                  <c:v>0.93930510575707604</c:v>
                </c:pt>
                <c:pt idx="52">
                  <c:v>0.93688865747022854</c:v>
                </c:pt>
                <c:pt idx="53">
                  <c:v>0.93567560336366229</c:v>
                </c:pt>
                <c:pt idx="54">
                  <c:v>0.9225431911738865</c:v>
                </c:pt>
                <c:pt idx="55">
                  <c:v>0.90864341630927192</c:v>
                </c:pt>
                <c:pt idx="56">
                  <c:v>0.90827764845713366</c:v>
                </c:pt>
                <c:pt idx="57">
                  <c:v>0.90180187065748318</c:v>
                </c:pt>
                <c:pt idx="58">
                  <c:v>0.8881182727360829</c:v>
                </c:pt>
                <c:pt idx="59">
                  <c:v>0.87040367620062586</c:v>
                </c:pt>
                <c:pt idx="60">
                  <c:v>0.83980371356571937</c:v>
                </c:pt>
                <c:pt idx="61">
                  <c:v>0.83601097174041039</c:v>
                </c:pt>
                <c:pt idx="62">
                  <c:v>0.82606897752671427</c:v>
                </c:pt>
                <c:pt idx="63">
                  <c:v>0.82329299730830363</c:v>
                </c:pt>
                <c:pt idx="64">
                  <c:v>0.80441692068680826</c:v>
                </c:pt>
                <c:pt idx="65">
                  <c:v>0.80282422941686171</c:v>
                </c:pt>
                <c:pt idx="66">
                  <c:v>0.80048638105654124</c:v>
                </c:pt>
                <c:pt idx="67">
                  <c:v>0.78989016351348562</c:v>
                </c:pt>
                <c:pt idx="68">
                  <c:v>0.78377189889788457</c:v>
                </c:pt>
                <c:pt idx="69">
                  <c:v>0.77056477246193589</c:v>
                </c:pt>
                <c:pt idx="70">
                  <c:v>0.76650873852691892</c:v>
                </c:pt>
                <c:pt idx="71">
                  <c:v>0.764846147469738</c:v>
                </c:pt>
                <c:pt idx="72">
                  <c:v>0.75559443355628131</c:v>
                </c:pt>
                <c:pt idx="73">
                  <c:v>0.75445608937578801</c:v>
                </c:pt>
                <c:pt idx="74">
                  <c:v>0.75335233487857012</c:v>
                </c:pt>
                <c:pt idx="75">
                  <c:v>0.74676669907615845</c:v>
                </c:pt>
                <c:pt idx="76">
                  <c:v>0.73871224513078138</c:v>
                </c:pt>
                <c:pt idx="77">
                  <c:v>0.73082240336842719</c:v>
                </c:pt>
                <c:pt idx="78">
                  <c:v>0.72830460197380986</c:v>
                </c:pt>
                <c:pt idx="79">
                  <c:v>0.71901461819922974</c:v>
                </c:pt>
                <c:pt idx="80">
                  <c:v>0.70119408961309593</c:v>
                </c:pt>
                <c:pt idx="81">
                  <c:v>0.70018027768369673</c:v>
                </c:pt>
                <c:pt idx="82">
                  <c:v>0.69682874933182537</c:v>
                </c:pt>
                <c:pt idx="83">
                  <c:v>0.68938912235870464</c:v>
                </c:pt>
                <c:pt idx="84">
                  <c:v>0.67353428099098134</c:v>
                </c:pt>
                <c:pt idx="85">
                  <c:v>0.66322357324879366</c:v>
                </c:pt>
                <c:pt idx="86">
                  <c:v>0.65596847817136539</c:v>
                </c:pt>
                <c:pt idx="87">
                  <c:v>0.65538703054215108</c:v>
                </c:pt>
                <c:pt idx="88">
                  <c:v>0.6511879426433862</c:v>
                </c:pt>
                <c:pt idx="89">
                  <c:v>0.63846177300555884</c:v>
                </c:pt>
                <c:pt idx="90">
                  <c:v>0.63810437436937717</c:v>
                </c:pt>
                <c:pt idx="91">
                  <c:v>0.63084183027760732</c:v>
                </c:pt>
                <c:pt idx="92">
                  <c:v>0.62559265118304264</c:v>
                </c:pt>
                <c:pt idx="93">
                  <c:v>0.61979408331623476</c:v>
                </c:pt>
                <c:pt idx="94">
                  <c:v>0.61782263724190689</c:v>
                </c:pt>
                <c:pt idx="95">
                  <c:v>0.61330417114861868</c:v>
                </c:pt>
                <c:pt idx="96">
                  <c:v>0.61006133683138275</c:v>
                </c:pt>
                <c:pt idx="97">
                  <c:v>0.60842337221529996</c:v>
                </c:pt>
                <c:pt idx="98">
                  <c:v>0.60508552867236798</c:v>
                </c:pt>
                <c:pt idx="99">
                  <c:v>0.59714134911229189</c:v>
                </c:pt>
                <c:pt idx="100">
                  <c:v>0.59639556947819794</c:v>
                </c:pt>
                <c:pt idx="101">
                  <c:v>0.59555038150527617</c:v>
                </c:pt>
                <c:pt idx="102">
                  <c:v>0.59413066632884726</c:v>
                </c:pt>
                <c:pt idx="103">
                  <c:v>0.59115695813939972</c:v>
                </c:pt>
                <c:pt idx="104">
                  <c:v>0.59030320313744034</c:v>
                </c:pt>
                <c:pt idx="105">
                  <c:v>0.58337101702189786</c:v>
                </c:pt>
                <c:pt idx="106">
                  <c:v>0.58335487321497292</c:v>
                </c:pt>
                <c:pt idx="107">
                  <c:v>0.58049543063864917</c:v>
                </c:pt>
                <c:pt idx="108">
                  <c:v>0.57562421404114406</c:v>
                </c:pt>
                <c:pt idx="109">
                  <c:v>0.57419064386050267</c:v>
                </c:pt>
                <c:pt idx="110">
                  <c:v>0.5727837513993741</c:v>
                </c:pt>
                <c:pt idx="111">
                  <c:v>0.57024369248545326</c:v>
                </c:pt>
                <c:pt idx="112">
                  <c:v>0.57001816693090923</c:v>
                </c:pt>
                <c:pt idx="113">
                  <c:v>0.56878524882476555</c:v>
                </c:pt>
                <c:pt idx="114">
                  <c:v>0.56828024129304411</c:v>
                </c:pt>
                <c:pt idx="115">
                  <c:v>0.56056602703559189</c:v>
                </c:pt>
                <c:pt idx="116">
                  <c:v>0.5560855805803504</c:v>
                </c:pt>
                <c:pt idx="117">
                  <c:v>0.55557898334607225</c:v>
                </c:pt>
                <c:pt idx="118">
                  <c:v>0.55540222650075377</c:v>
                </c:pt>
                <c:pt idx="119">
                  <c:v>0.55196618721576562</c:v>
                </c:pt>
                <c:pt idx="120">
                  <c:v>0.54734296726700071</c:v>
                </c:pt>
                <c:pt idx="121">
                  <c:v>0.54066719281037312</c:v>
                </c:pt>
                <c:pt idx="122">
                  <c:v>0.53949287253599454</c:v>
                </c:pt>
                <c:pt idx="123">
                  <c:v>0.53893788401041787</c:v>
                </c:pt>
                <c:pt idx="124">
                  <c:v>0.53845155080272644</c:v>
                </c:pt>
                <c:pt idx="125">
                  <c:v>0.53824187013070168</c:v>
                </c:pt>
                <c:pt idx="126">
                  <c:v>0.53065514644303702</c:v>
                </c:pt>
                <c:pt idx="127">
                  <c:v>0.52698542111640945</c:v>
                </c:pt>
                <c:pt idx="128">
                  <c:v>0.52150762115914129</c:v>
                </c:pt>
                <c:pt idx="129">
                  <c:v>0.51448362570987394</c:v>
                </c:pt>
                <c:pt idx="130">
                  <c:v>0.50711222466112993</c:v>
                </c:pt>
                <c:pt idx="131">
                  <c:v>0.50425755823357232</c:v>
                </c:pt>
                <c:pt idx="132">
                  <c:v>0.50221651880886276</c:v>
                </c:pt>
                <c:pt idx="133">
                  <c:v>0.50213877126512707</c:v>
                </c:pt>
                <c:pt idx="134">
                  <c:v>0.50163253869164015</c:v>
                </c:pt>
                <c:pt idx="135">
                  <c:v>0.49477316911618319</c:v>
                </c:pt>
                <c:pt idx="136">
                  <c:v>0.48792799518538538</c:v>
                </c:pt>
                <c:pt idx="137">
                  <c:v>0.48244309673914665</c:v>
                </c:pt>
                <c:pt idx="138">
                  <c:v>0.48118181743421173</c:v>
                </c:pt>
                <c:pt idx="139">
                  <c:v>0.47848447894134788</c:v>
                </c:pt>
                <c:pt idx="140">
                  <c:v>0.47692396674628607</c:v>
                </c:pt>
                <c:pt idx="141">
                  <c:v>0.46824450327163869</c:v>
                </c:pt>
                <c:pt idx="142">
                  <c:v>0.46690082982465486</c:v>
                </c:pt>
                <c:pt idx="143">
                  <c:v>0.46478932100385939</c:v>
                </c:pt>
                <c:pt idx="144">
                  <c:v>0.46230964273153663</c:v>
                </c:pt>
                <c:pt idx="145">
                  <c:v>0.46156942431424769</c:v>
                </c:pt>
                <c:pt idx="146">
                  <c:v>0.44712346322579538</c:v>
                </c:pt>
                <c:pt idx="147">
                  <c:v>0.44628102585299512</c:v>
                </c:pt>
                <c:pt idx="148">
                  <c:v>0.44414462385744102</c:v>
                </c:pt>
                <c:pt idx="149">
                  <c:v>0.44049998073384111</c:v>
                </c:pt>
                <c:pt idx="150">
                  <c:v>0.4376422078986264</c:v>
                </c:pt>
                <c:pt idx="151">
                  <c:v>0.437586412810409</c:v>
                </c:pt>
                <c:pt idx="152">
                  <c:v>0.43110847858167861</c:v>
                </c:pt>
                <c:pt idx="153">
                  <c:v>0.4309648922635369</c:v>
                </c:pt>
                <c:pt idx="154">
                  <c:v>0.43091525961675692</c:v>
                </c:pt>
                <c:pt idx="155">
                  <c:v>0.42971102377510789</c:v>
                </c:pt>
                <c:pt idx="156">
                  <c:v>0.42747573297778824</c:v>
                </c:pt>
                <c:pt idx="157">
                  <c:v>0.4274030893075012</c:v>
                </c:pt>
                <c:pt idx="158">
                  <c:v>0.42628898544120042</c:v>
                </c:pt>
                <c:pt idx="159">
                  <c:v>0.42446014020210571</c:v>
                </c:pt>
                <c:pt idx="160">
                  <c:v>0.41963992685308343</c:v>
                </c:pt>
                <c:pt idx="161">
                  <c:v>0.41775350072166173</c:v>
                </c:pt>
                <c:pt idx="162">
                  <c:v>0.41681755098393586</c:v>
                </c:pt>
                <c:pt idx="163">
                  <c:v>0.40096816292178294</c:v>
                </c:pt>
                <c:pt idx="164">
                  <c:v>0.4005490598214253</c:v>
                </c:pt>
                <c:pt idx="165">
                  <c:v>0.40000739870636454</c:v>
                </c:pt>
                <c:pt idx="166">
                  <c:v>0.39636837408581882</c:v>
                </c:pt>
                <c:pt idx="167">
                  <c:v>0.39496946793259397</c:v>
                </c:pt>
                <c:pt idx="168">
                  <c:v>0.38922622857984635</c:v>
                </c:pt>
                <c:pt idx="169">
                  <c:v>0.38598285561619666</c:v>
                </c:pt>
                <c:pt idx="170">
                  <c:v>0.38508624033888722</c:v>
                </c:pt>
                <c:pt idx="171">
                  <c:v>0.38330018477692368</c:v>
                </c:pt>
                <c:pt idx="172">
                  <c:v>0.38220181566789274</c:v>
                </c:pt>
                <c:pt idx="173">
                  <c:v>0.37908951273161523</c:v>
                </c:pt>
                <c:pt idx="174">
                  <c:v>0.37814721054983508</c:v>
                </c:pt>
                <c:pt idx="175">
                  <c:v>0.37659132770593623</c:v>
                </c:pt>
                <c:pt idx="176">
                  <c:v>0.37573023072976336</c:v>
                </c:pt>
                <c:pt idx="177">
                  <c:v>0.37506950342411877</c:v>
                </c:pt>
                <c:pt idx="178">
                  <c:v>0.37466185769603422</c:v>
                </c:pt>
                <c:pt idx="179">
                  <c:v>0.3745948001521302</c:v>
                </c:pt>
                <c:pt idx="180">
                  <c:v>0.37197747578858692</c:v>
                </c:pt>
                <c:pt idx="181">
                  <c:v>0.36575549771438176</c:v>
                </c:pt>
                <c:pt idx="182">
                  <c:v>0.36271730931950241</c:v>
                </c:pt>
                <c:pt idx="183">
                  <c:v>0.36139133292035053</c:v>
                </c:pt>
                <c:pt idx="184">
                  <c:v>0.36071999880356986</c:v>
                </c:pt>
                <c:pt idx="185">
                  <c:v>0.35941812387631333</c:v>
                </c:pt>
                <c:pt idx="186">
                  <c:v>0.35893019353313749</c:v>
                </c:pt>
                <c:pt idx="187">
                  <c:v>0.35565215941802386</c:v>
                </c:pt>
                <c:pt idx="188">
                  <c:v>0.35491989243334365</c:v>
                </c:pt>
                <c:pt idx="189">
                  <c:v>0.3534741508525448</c:v>
                </c:pt>
                <c:pt idx="190">
                  <c:v>0.3512425286155923</c:v>
                </c:pt>
                <c:pt idx="191">
                  <c:v>0.35050611607578058</c:v>
                </c:pt>
                <c:pt idx="192">
                  <c:v>0.34598182627143631</c:v>
                </c:pt>
                <c:pt idx="193">
                  <c:v>0.34359027854241231</c:v>
                </c:pt>
                <c:pt idx="194">
                  <c:v>0.33877918742072938</c:v>
                </c:pt>
                <c:pt idx="195">
                  <c:v>0.3344490324130226</c:v>
                </c:pt>
                <c:pt idx="196">
                  <c:v>0.33231971531595628</c:v>
                </c:pt>
                <c:pt idx="197">
                  <c:v>0.33230870779819366</c:v>
                </c:pt>
                <c:pt idx="198">
                  <c:v>0.33044324587549884</c:v>
                </c:pt>
                <c:pt idx="199">
                  <c:v>0.32822759232579352</c:v>
                </c:pt>
                <c:pt idx="200">
                  <c:v>0.32820232444212488</c:v>
                </c:pt>
                <c:pt idx="201">
                  <c:v>0.3279013446431065</c:v>
                </c:pt>
                <c:pt idx="202">
                  <c:v>0.32641521017666464</c:v>
                </c:pt>
                <c:pt idx="203">
                  <c:v>0.32630073732879972</c:v>
                </c:pt>
                <c:pt idx="204">
                  <c:v>0.32573503681080251</c:v>
                </c:pt>
                <c:pt idx="205">
                  <c:v>0.32281204144346237</c:v>
                </c:pt>
                <c:pt idx="206">
                  <c:v>0.32261165643489975</c:v>
                </c:pt>
                <c:pt idx="207">
                  <c:v>0.32171719335789578</c:v>
                </c:pt>
                <c:pt idx="208">
                  <c:v>0.32004170561890743</c:v>
                </c:pt>
                <c:pt idx="209">
                  <c:v>0.31848955800015594</c:v>
                </c:pt>
                <c:pt idx="210">
                  <c:v>0.31576427373243232</c:v>
                </c:pt>
                <c:pt idx="211">
                  <c:v>0.31546453927166873</c:v>
                </c:pt>
                <c:pt idx="212">
                  <c:v>0.31515875910457303</c:v>
                </c:pt>
                <c:pt idx="213">
                  <c:v>0.31515865025446743</c:v>
                </c:pt>
                <c:pt idx="214">
                  <c:v>0.31413056224801739</c:v>
                </c:pt>
                <c:pt idx="215">
                  <c:v>0.31250317260654653</c:v>
                </c:pt>
                <c:pt idx="216">
                  <c:v>0.31112019008881658</c:v>
                </c:pt>
                <c:pt idx="217">
                  <c:v>0.30884040856850625</c:v>
                </c:pt>
                <c:pt idx="218">
                  <c:v>0.30633656391812414</c:v>
                </c:pt>
                <c:pt idx="219">
                  <c:v>0.30625723284661943</c:v>
                </c:pt>
                <c:pt idx="220">
                  <c:v>0.30414240273198062</c:v>
                </c:pt>
                <c:pt idx="221">
                  <c:v>0.30411691403441599</c:v>
                </c:pt>
                <c:pt idx="222">
                  <c:v>0.30344882256539252</c:v>
                </c:pt>
                <c:pt idx="223">
                  <c:v>0.30331316335797281</c:v>
                </c:pt>
                <c:pt idx="224">
                  <c:v>0.3009086464996592</c:v>
                </c:pt>
                <c:pt idx="225">
                  <c:v>0.29603792731231077</c:v>
                </c:pt>
                <c:pt idx="226">
                  <c:v>0.2960156711818574</c:v>
                </c:pt>
                <c:pt idx="227">
                  <c:v>0.29593492269606408</c:v>
                </c:pt>
                <c:pt idx="228">
                  <c:v>0.2945316956518032</c:v>
                </c:pt>
                <c:pt idx="229">
                  <c:v>0.29317455998366165</c:v>
                </c:pt>
                <c:pt idx="230">
                  <c:v>0.29207503351396136</c:v>
                </c:pt>
                <c:pt idx="231">
                  <c:v>0.28900293691027873</c:v>
                </c:pt>
                <c:pt idx="232">
                  <c:v>0.28819463943097012</c:v>
                </c:pt>
                <c:pt idx="233">
                  <c:v>0.28742100392813552</c:v>
                </c:pt>
                <c:pt idx="234">
                  <c:v>0.28616614068794521</c:v>
                </c:pt>
                <c:pt idx="235">
                  <c:v>0.28594271767374296</c:v>
                </c:pt>
                <c:pt idx="236">
                  <c:v>0.28587557892456461</c:v>
                </c:pt>
                <c:pt idx="237">
                  <c:v>0.28323300485111302</c:v>
                </c:pt>
                <c:pt idx="238">
                  <c:v>0.28150431344962135</c:v>
                </c:pt>
                <c:pt idx="239">
                  <c:v>0.27967963109051908</c:v>
                </c:pt>
                <c:pt idx="240">
                  <c:v>0.27801872551194579</c:v>
                </c:pt>
                <c:pt idx="241">
                  <c:v>0.27797084771924147</c:v>
                </c:pt>
                <c:pt idx="242">
                  <c:v>0.27785502790235583</c:v>
                </c:pt>
                <c:pt idx="243">
                  <c:v>0.27756293778671126</c:v>
                </c:pt>
                <c:pt idx="244">
                  <c:v>0.27717029173013075</c:v>
                </c:pt>
                <c:pt idx="245">
                  <c:v>0.27358234223567618</c:v>
                </c:pt>
                <c:pt idx="246">
                  <c:v>0.27354568435539789</c:v>
                </c:pt>
                <c:pt idx="247">
                  <c:v>0.27328480275803668</c:v>
                </c:pt>
                <c:pt idx="248">
                  <c:v>0.27189593641684501</c:v>
                </c:pt>
                <c:pt idx="249">
                  <c:v>0.2708537659654861</c:v>
                </c:pt>
                <c:pt idx="250">
                  <c:v>0.26980807821302866</c:v>
                </c:pt>
                <c:pt idx="251">
                  <c:v>0.26853341138085007</c:v>
                </c:pt>
                <c:pt idx="252">
                  <c:v>0.26785804945808839</c:v>
                </c:pt>
                <c:pt idx="253">
                  <c:v>0.26626388710472931</c:v>
                </c:pt>
                <c:pt idx="254">
                  <c:v>0.26552832881733768</c:v>
                </c:pt>
                <c:pt idx="255">
                  <c:v>0.26523955780707692</c:v>
                </c:pt>
                <c:pt idx="256">
                  <c:v>0.26511261394717317</c:v>
                </c:pt>
                <c:pt idx="257">
                  <c:v>0.26452028282894957</c:v>
                </c:pt>
                <c:pt idx="258">
                  <c:v>0.26236216388402339</c:v>
                </c:pt>
                <c:pt idx="259">
                  <c:v>0.26075618970500741</c:v>
                </c:pt>
                <c:pt idx="260">
                  <c:v>0.25932372905449447</c:v>
                </c:pt>
                <c:pt idx="261">
                  <c:v>0.25822121008121096</c:v>
                </c:pt>
                <c:pt idx="262">
                  <c:v>0.2580385578674646</c:v>
                </c:pt>
                <c:pt idx="263">
                  <c:v>0.25776698688018018</c:v>
                </c:pt>
                <c:pt idx="264">
                  <c:v>0.25652174691079443</c:v>
                </c:pt>
                <c:pt idx="265">
                  <c:v>0.25595542985920522</c:v>
                </c:pt>
                <c:pt idx="266">
                  <c:v>0.25565176637281589</c:v>
                </c:pt>
                <c:pt idx="267">
                  <c:v>0.255187290821353</c:v>
                </c:pt>
                <c:pt idx="268">
                  <c:v>0.2529158352061403</c:v>
                </c:pt>
                <c:pt idx="269">
                  <c:v>0.25197369214338766</c:v>
                </c:pt>
                <c:pt idx="270">
                  <c:v>0.25057660847487045</c:v>
                </c:pt>
                <c:pt idx="271">
                  <c:v>0.248542511010404</c:v>
                </c:pt>
                <c:pt idx="272">
                  <c:v>0.24778958605641171</c:v>
                </c:pt>
                <c:pt idx="273">
                  <c:v>0.2475077053506631</c:v>
                </c:pt>
                <c:pt idx="274">
                  <c:v>0.24708998329888635</c:v>
                </c:pt>
                <c:pt idx="275">
                  <c:v>0.24651900465619395</c:v>
                </c:pt>
                <c:pt idx="276">
                  <c:v>0.24634975848146753</c:v>
                </c:pt>
                <c:pt idx="277">
                  <c:v>0.24515077668785007</c:v>
                </c:pt>
                <c:pt idx="278">
                  <c:v>0.24421279396534731</c:v>
                </c:pt>
                <c:pt idx="279">
                  <c:v>0.24388747588081378</c:v>
                </c:pt>
                <c:pt idx="280">
                  <c:v>0.24314108883380361</c:v>
                </c:pt>
                <c:pt idx="281">
                  <c:v>0.24127085507948254</c:v>
                </c:pt>
                <c:pt idx="282">
                  <c:v>0.24048133332995114</c:v>
                </c:pt>
                <c:pt idx="283">
                  <c:v>0.24040419079969727</c:v>
                </c:pt>
                <c:pt idx="284">
                  <c:v>0.2396643125154988</c:v>
                </c:pt>
                <c:pt idx="285">
                  <c:v>0.239085567587212</c:v>
                </c:pt>
                <c:pt idx="286">
                  <c:v>0.23901555019034976</c:v>
                </c:pt>
                <c:pt idx="287">
                  <c:v>0.23826427487315577</c:v>
                </c:pt>
                <c:pt idx="288">
                  <c:v>0.23644502452823352</c:v>
                </c:pt>
                <c:pt idx="289">
                  <c:v>0.23640851038442415</c:v>
                </c:pt>
                <c:pt idx="290">
                  <c:v>0.23532623895980395</c:v>
                </c:pt>
                <c:pt idx="291">
                  <c:v>0.23507922070670101</c:v>
                </c:pt>
                <c:pt idx="292">
                  <c:v>0.23410226946551579</c:v>
                </c:pt>
                <c:pt idx="293">
                  <c:v>0.23407579343003207</c:v>
                </c:pt>
                <c:pt idx="294">
                  <c:v>0.23226374250313184</c:v>
                </c:pt>
                <c:pt idx="295">
                  <c:v>0.23097910474130012</c:v>
                </c:pt>
                <c:pt idx="296">
                  <c:v>0.22969276390875498</c:v>
                </c:pt>
                <c:pt idx="297">
                  <c:v>0.22894487565230703</c:v>
                </c:pt>
                <c:pt idx="298">
                  <c:v>0.22879854954313547</c:v>
                </c:pt>
                <c:pt idx="299">
                  <c:v>0.22879572289339609</c:v>
                </c:pt>
                <c:pt idx="300">
                  <c:v>0.22834627020604717</c:v>
                </c:pt>
                <c:pt idx="301">
                  <c:v>0.22738482110754801</c:v>
                </c:pt>
                <c:pt idx="302">
                  <c:v>0.227280127923361</c:v>
                </c:pt>
                <c:pt idx="303">
                  <c:v>0.22677962828059808</c:v>
                </c:pt>
                <c:pt idx="304">
                  <c:v>0.22631243139485258</c:v>
                </c:pt>
                <c:pt idx="305">
                  <c:v>0.22415668371980979</c:v>
                </c:pt>
                <c:pt idx="306">
                  <c:v>0.22389899617424827</c:v>
                </c:pt>
                <c:pt idx="307">
                  <c:v>0.22383180659922336</c:v>
                </c:pt>
                <c:pt idx="308">
                  <c:v>0.22283061029329101</c:v>
                </c:pt>
                <c:pt idx="309">
                  <c:v>0.22268405913861225</c:v>
                </c:pt>
                <c:pt idx="310">
                  <c:v>0.22260583464913006</c:v>
                </c:pt>
                <c:pt idx="311">
                  <c:v>0.22254615723553434</c:v>
                </c:pt>
                <c:pt idx="312">
                  <c:v>0.22252381331386745</c:v>
                </c:pt>
                <c:pt idx="313">
                  <c:v>0.22207947401809325</c:v>
                </c:pt>
                <c:pt idx="314">
                  <c:v>0.2218875924604469</c:v>
                </c:pt>
                <c:pt idx="315">
                  <c:v>0.22187189387763837</c:v>
                </c:pt>
                <c:pt idx="316">
                  <c:v>0.22144190749180914</c:v>
                </c:pt>
                <c:pt idx="317">
                  <c:v>0.22141022598001914</c:v>
                </c:pt>
                <c:pt idx="318">
                  <c:v>0.21972274941365724</c:v>
                </c:pt>
                <c:pt idx="319">
                  <c:v>0.21946436506434755</c:v>
                </c:pt>
                <c:pt idx="320">
                  <c:v>0.21912851833645294</c:v>
                </c:pt>
                <c:pt idx="321">
                  <c:v>0.21725938465739361</c:v>
                </c:pt>
                <c:pt idx="322">
                  <c:v>0.21645313691949505</c:v>
                </c:pt>
                <c:pt idx="323">
                  <c:v>0.2159655232111031</c:v>
                </c:pt>
                <c:pt idx="324">
                  <c:v>0.21531055216290187</c:v>
                </c:pt>
                <c:pt idx="325">
                  <c:v>0.21403143746640149</c:v>
                </c:pt>
                <c:pt idx="326">
                  <c:v>0.2134315055196877</c:v>
                </c:pt>
                <c:pt idx="327">
                  <c:v>0.21326300274968832</c:v>
                </c:pt>
                <c:pt idx="328">
                  <c:v>0.21274573742195055</c:v>
                </c:pt>
                <c:pt idx="329">
                  <c:v>0.2113715310508513</c:v>
                </c:pt>
                <c:pt idx="330">
                  <c:v>0.21094110649281961</c:v>
                </c:pt>
                <c:pt idx="331">
                  <c:v>0.21076603696249416</c:v>
                </c:pt>
                <c:pt idx="332">
                  <c:v>0.21003052185931045</c:v>
                </c:pt>
                <c:pt idx="333">
                  <c:v>0.20973450363206436</c:v>
                </c:pt>
                <c:pt idx="334">
                  <c:v>0.20969899839758435</c:v>
                </c:pt>
                <c:pt idx="335">
                  <c:v>0.20768365711784562</c:v>
                </c:pt>
                <c:pt idx="336">
                  <c:v>0.20713804776882755</c:v>
                </c:pt>
                <c:pt idx="337">
                  <c:v>0.20647884736109062</c:v>
                </c:pt>
                <c:pt idx="338">
                  <c:v>0.20607313177869191</c:v>
                </c:pt>
                <c:pt idx="339">
                  <c:v>0.20489646829202829</c:v>
                </c:pt>
                <c:pt idx="340">
                  <c:v>0.20433978948411516</c:v>
                </c:pt>
                <c:pt idx="341">
                  <c:v>0.20429815237057677</c:v>
                </c:pt>
                <c:pt idx="342">
                  <c:v>0.20359220900442501</c:v>
                </c:pt>
                <c:pt idx="343">
                  <c:v>0.2032895281125911</c:v>
                </c:pt>
                <c:pt idx="344">
                  <c:v>0.2032267877269798</c:v>
                </c:pt>
                <c:pt idx="345">
                  <c:v>0.2029451130988239</c:v>
                </c:pt>
                <c:pt idx="346">
                  <c:v>0.20238118167714877</c:v>
                </c:pt>
                <c:pt idx="347">
                  <c:v>0.20234295023397258</c:v>
                </c:pt>
                <c:pt idx="348">
                  <c:v>0.20206648721710216</c:v>
                </c:pt>
                <c:pt idx="349">
                  <c:v>0.20203837570030106</c:v>
                </c:pt>
                <c:pt idx="350">
                  <c:v>0.20187269129888522</c:v>
                </c:pt>
                <c:pt idx="351">
                  <c:v>0.20067307536186657</c:v>
                </c:pt>
                <c:pt idx="352">
                  <c:v>0.19973116466055912</c:v>
                </c:pt>
                <c:pt idx="353">
                  <c:v>0.19949879165448831</c:v>
                </c:pt>
                <c:pt idx="354">
                  <c:v>0.19931726732103949</c:v>
                </c:pt>
                <c:pt idx="355">
                  <c:v>0.19802248107839174</c:v>
                </c:pt>
                <c:pt idx="356">
                  <c:v>0.19767202588293784</c:v>
                </c:pt>
                <c:pt idx="357">
                  <c:v>0.19652419719098402</c:v>
                </c:pt>
                <c:pt idx="358">
                  <c:v>0.19620117261547412</c:v>
                </c:pt>
                <c:pt idx="359">
                  <c:v>0.19550606801009537</c:v>
                </c:pt>
                <c:pt idx="360">
                  <c:v>0.1946631982710173</c:v>
                </c:pt>
                <c:pt idx="361">
                  <c:v>0.19410281349395428</c:v>
                </c:pt>
                <c:pt idx="362">
                  <c:v>0.19374319794456699</c:v>
                </c:pt>
                <c:pt idx="363">
                  <c:v>0.1931576894784445</c:v>
                </c:pt>
                <c:pt idx="364">
                  <c:v>0.1929689969870258</c:v>
                </c:pt>
                <c:pt idx="365">
                  <c:v>0.19255649421337387</c:v>
                </c:pt>
                <c:pt idx="366">
                  <c:v>0.19194157179087415</c:v>
                </c:pt>
                <c:pt idx="367">
                  <c:v>0.19189140260393733</c:v>
                </c:pt>
                <c:pt idx="368">
                  <c:v>0.19162026858324827</c:v>
                </c:pt>
                <c:pt idx="369">
                  <c:v>0.19071937859623905</c:v>
                </c:pt>
                <c:pt idx="370">
                  <c:v>0.19034719017166429</c:v>
                </c:pt>
                <c:pt idx="371">
                  <c:v>0.18953091972443814</c:v>
                </c:pt>
                <c:pt idx="372">
                  <c:v>0.18933895644528595</c:v>
                </c:pt>
                <c:pt idx="373">
                  <c:v>0.18875097942673366</c:v>
                </c:pt>
                <c:pt idx="374">
                  <c:v>0.1885886644261216</c:v>
                </c:pt>
                <c:pt idx="375">
                  <c:v>0.18771306912568164</c:v>
                </c:pt>
                <c:pt idx="376">
                  <c:v>0.18770305978643637</c:v>
                </c:pt>
                <c:pt idx="377">
                  <c:v>0.18673351853533746</c:v>
                </c:pt>
                <c:pt idx="378">
                  <c:v>0.18650160532502205</c:v>
                </c:pt>
                <c:pt idx="379">
                  <c:v>0.18635254482486491</c:v>
                </c:pt>
                <c:pt idx="380">
                  <c:v>0.18617104941058149</c:v>
                </c:pt>
                <c:pt idx="381">
                  <c:v>0.18564622262590796</c:v>
                </c:pt>
                <c:pt idx="382">
                  <c:v>0.18551540536694128</c:v>
                </c:pt>
                <c:pt idx="383">
                  <c:v>0.18489245114337743</c:v>
                </c:pt>
                <c:pt idx="384">
                  <c:v>0.18453289087012908</c:v>
                </c:pt>
                <c:pt idx="385">
                  <c:v>0.1842725994400867</c:v>
                </c:pt>
                <c:pt idx="386">
                  <c:v>0.18390684798729753</c:v>
                </c:pt>
                <c:pt idx="387">
                  <c:v>0.18270785087444372</c:v>
                </c:pt>
                <c:pt idx="388">
                  <c:v>0.18219812437361518</c:v>
                </c:pt>
                <c:pt idx="389">
                  <c:v>0.18204717488697469</c:v>
                </c:pt>
                <c:pt idx="390">
                  <c:v>0.1818671702555465</c:v>
                </c:pt>
                <c:pt idx="391">
                  <c:v>0.18184188185837405</c:v>
                </c:pt>
                <c:pt idx="392">
                  <c:v>0.18051665958088184</c:v>
                </c:pt>
                <c:pt idx="393">
                  <c:v>0.18045132073566544</c:v>
                </c:pt>
                <c:pt idx="394">
                  <c:v>0.1804025393258</c:v>
                </c:pt>
                <c:pt idx="395">
                  <c:v>0.18023796052054625</c:v>
                </c:pt>
                <c:pt idx="396">
                  <c:v>0.17987113739147084</c:v>
                </c:pt>
                <c:pt idx="397">
                  <c:v>0.17964530713323706</c:v>
                </c:pt>
                <c:pt idx="398">
                  <c:v>0.17955159421469619</c:v>
                </c:pt>
                <c:pt idx="399">
                  <c:v>0.17892547176216206</c:v>
                </c:pt>
                <c:pt idx="400">
                  <c:v>0.1782012934151195</c:v>
                </c:pt>
                <c:pt idx="401">
                  <c:v>0.17801134391826043</c:v>
                </c:pt>
                <c:pt idx="402">
                  <c:v>0.17769219417978077</c:v>
                </c:pt>
                <c:pt idx="403">
                  <c:v>0.17704115864594019</c:v>
                </c:pt>
                <c:pt idx="404">
                  <c:v>0.17696650474765124</c:v>
                </c:pt>
                <c:pt idx="405">
                  <c:v>0.17686516703769184</c:v>
                </c:pt>
                <c:pt idx="406">
                  <c:v>0.17625932525066601</c:v>
                </c:pt>
                <c:pt idx="407">
                  <c:v>0.17583012118144056</c:v>
                </c:pt>
                <c:pt idx="408">
                  <c:v>0.17553176876869986</c:v>
                </c:pt>
                <c:pt idx="409">
                  <c:v>0.17536655752888258</c:v>
                </c:pt>
                <c:pt idx="410">
                  <c:v>0.17534383527694589</c:v>
                </c:pt>
                <c:pt idx="411">
                  <c:v>0.17403782787744759</c:v>
                </c:pt>
                <c:pt idx="412">
                  <c:v>0.17390813375372141</c:v>
                </c:pt>
                <c:pt idx="413">
                  <c:v>0.17353843741348651</c:v>
                </c:pt>
                <c:pt idx="414">
                  <c:v>0.17309909904436516</c:v>
                </c:pt>
                <c:pt idx="415">
                  <c:v>0.17243519687443359</c:v>
                </c:pt>
                <c:pt idx="416">
                  <c:v>0.17243067666986991</c:v>
                </c:pt>
                <c:pt idx="417">
                  <c:v>0.17232917319912158</c:v>
                </c:pt>
                <c:pt idx="418">
                  <c:v>0.17147519921874041</c:v>
                </c:pt>
                <c:pt idx="419">
                  <c:v>0.17146591378006562</c:v>
                </c:pt>
                <c:pt idx="420">
                  <c:v>0.17093014042723284</c:v>
                </c:pt>
                <c:pt idx="421">
                  <c:v>0.17084854327271229</c:v>
                </c:pt>
                <c:pt idx="422">
                  <c:v>0.17035208646303035</c:v>
                </c:pt>
                <c:pt idx="423">
                  <c:v>0.17011217628095959</c:v>
                </c:pt>
                <c:pt idx="424">
                  <c:v>0.16954526189243216</c:v>
                </c:pt>
                <c:pt idx="425">
                  <c:v>0.16948335864720909</c:v>
                </c:pt>
                <c:pt idx="426">
                  <c:v>0.16945038754604111</c:v>
                </c:pt>
                <c:pt idx="427">
                  <c:v>0.16685613234458863</c:v>
                </c:pt>
                <c:pt idx="428">
                  <c:v>0.1667936728027849</c:v>
                </c:pt>
                <c:pt idx="429">
                  <c:v>0.16667361921657275</c:v>
                </c:pt>
                <c:pt idx="430">
                  <c:v>0.16595833661901388</c:v>
                </c:pt>
                <c:pt idx="431">
                  <c:v>0.16587437425590143</c:v>
                </c:pt>
                <c:pt idx="432">
                  <c:v>0.16575067685642614</c:v>
                </c:pt>
                <c:pt idx="433">
                  <c:v>0.16568099903902034</c:v>
                </c:pt>
                <c:pt idx="434">
                  <c:v>0.16491996012219828</c:v>
                </c:pt>
                <c:pt idx="435">
                  <c:v>0.16458889265694895</c:v>
                </c:pt>
                <c:pt idx="436">
                  <c:v>0.1634917621687863</c:v>
                </c:pt>
                <c:pt idx="437">
                  <c:v>0.1632647753436581</c:v>
                </c:pt>
                <c:pt idx="438">
                  <c:v>0.16323882604093987</c:v>
                </c:pt>
                <c:pt idx="439">
                  <c:v>0.16311994285041104</c:v>
                </c:pt>
                <c:pt idx="440">
                  <c:v>0.16289391815430765</c:v>
                </c:pt>
                <c:pt idx="441">
                  <c:v>0.16266406337592224</c:v>
                </c:pt>
                <c:pt idx="442">
                  <c:v>0.16227689777995183</c:v>
                </c:pt>
                <c:pt idx="443">
                  <c:v>0.16222599822778233</c:v>
                </c:pt>
                <c:pt idx="444">
                  <c:v>0.16193211939915803</c:v>
                </c:pt>
                <c:pt idx="445">
                  <c:v>0.16145790838255336</c:v>
                </c:pt>
                <c:pt idx="446">
                  <c:v>0.16122252030064976</c:v>
                </c:pt>
                <c:pt idx="447">
                  <c:v>0.16075790198279125</c:v>
                </c:pt>
                <c:pt idx="448">
                  <c:v>0.16055123427044898</c:v>
                </c:pt>
                <c:pt idx="449">
                  <c:v>0.16051842766112709</c:v>
                </c:pt>
                <c:pt idx="450">
                  <c:v>0.16029687201893741</c:v>
                </c:pt>
                <c:pt idx="451">
                  <c:v>0.15965862705285766</c:v>
                </c:pt>
                <c:pt idx="452">
                  <c:v>0.15952604689240035</c:v>
                </c:pt>
                <c:pt idx="453">
                  <c:v>0.1594659225712817</c:v>
                </c:pt>
                <c:pt idx="454">
                  <c:v>0.15911609387681519</c:v>
                </c:pt>
                <c:pt idx="455">
                  <c:v>0.15909762948446785</c:v>
                </c:pt>
                <c:pt idx="456">
                  <c:v>0.15908638694604504</c:v>
                </c:pt>
                <c:pt idx="457">
                  <c:v>0.15903466336332536</c:v>
                </c:pt>
                <c:pt idx="458">
                  <c:v>0.15900214493742265</c:v>
                </c:pt>
                <c:pt idx="459">
                  <c:v>0.15883164546498421</c:v>
                </c:pt>
                <c:pt idx="460">
                  <c:v>0.15864396324411914</c:v>
                </c:pt>
                <c:pt idx="461">
                  <c:v>0.15845417203434833</c:v>
                </c:pt>
                <c:pt idx="462">
                  <c:v>0.15807549414478517</c:v>
                </c:pt>
                <c:pt idx="463">
                  <c:v>0.15802253010436326</c:v>
                </c:pt>
                <c:pt idx="464">
                  <c:v>0.15754586179957447</c:v>
                </c:pt>
                <c:pt idx="465">
                  <c:v>0.15731349700230132</c:v>
                </c:pt>
                <c:pt idx="466">
                  <c:v>0.15726536074040273</c:v>
                </c:pt>
                <c:pt idx="467">
                  <c:v>0.1566657388554249</c:v>
                </c:pt>
                <c:pt idx="468">
                  <c:v>0.15635011946529948</c:v>
                </c:pt>
                <c:pt idx="469">
                  <c:v>0.15624723032611723</c:v>
                </c:pt>
                <c:pt idx="470">
                  <c:v>0.15618914821934063</c:v>
                </c:pt>
                <c:pt idx="471">
                  <c:v>0.15616666159957429</c:v>
                </c:pt>
                <c:pt idx="472">
                  <c:v>0.15606265263975394</c:v>
                </c:pt>
                <c:pt idx="473">
                  <c:v>0.15577648420811807</c:v>
                </c:pt>
                <c:pt idx="474">
                  <c:v>0.15572225646331714</c:v>
                </c:pt>
                <c:pt idx="475">
                  <c:v>0.15567440799933993</c:v>
                </c:pt>
                <c:pt idx="476">
                  <c:v>0.15554477292861693</c:v>
                </c:pt>
                <c:pt idx="477">
                  <c:v>0.1555344980903352</c:v>
                </c:pt>
                <c:pt idx="478">
                  <c:v>0.15551026992475322</c:v>
                </c:pt>
                <c:pt idx="479">
                  <c:v>0.15526467238766853</c:v>
                </c:pt>
                <c:pt idx="480">
                  <c:v>0.15497629499066359</c:v>
                </c:pt>
                <c:pt idx="481">
                  <c:v>0.15468510757941337</c:v>
                </c:pt>
                <c:pt idx="482">
                  <c:v>0.1544942440294973</c:v>
                </c:pt>
                <c:pt idx="483">
                  <c:v>0.15364769626017902</c:v>
                </c:pt>
                <c:pt idx="484">
                  <c:v>0.15343260480980575</c:v>
                </c:pt>
                <c:pt idx="485">
                  <c:v>0.15290687913990489</c:v>
                </c:pt>
                <c:pt idx="486">
                  <c:v>0.15285697399607978</c:v>
                </c:pt>
                <c:pt idx="487">
                  <c:v>0.15207848890565254</c:v>
                </c:pt>
                <c:pt idx="488">
                  <c:v>0.15146113484431267</c:v>
                </c:pt>
                <c:pt idx="489">
                  <c:v>0.15137275747993156</c:v>
                </c:pt>
                <c:pt idx="490">
                  <c:v>0.15132614340777967</c:v>
                </c:pt>
                <c:pt idx="491">
                  <c:v>0.15020744969214153</c:v>
                </c:pt>
                <c:pt idx="492">
                  <c:v>0.15000533794637577</c:v>
                </c:pt>
                <c:pt idx="493">
                  <c:v>0.14999440432278302</c:v>
                </c:pt>
                <c:pt idx="494">
                  <c:v>0.14992744030944211</c:v>
                </c:pt>
                <c:pt idx="495">
                  <c:v>0.14983492184098973</c:v>
                </c:pt>
                <c:pt idx="496">
                  <c:v>0.14976352975165524</c:v>
                </c:pt>
                <c:pt idx="497">
                  <c:v>0.1496373994857414</c:v>
                </c:pt>
                <c:pt idx="498">
                  <c:v>0.14953279791813423</c:v>
                </c:pt>
                <c:pt idx="499">
                  <c:v>0.14936821256790167</c:v>
                </c:pt>
                <c:pt idx="500">
                  <c:v>0.14874696673553772</c:v>
                </c:pt>
                <c:pt idx="501">
                  <c:v>0.14839537433557484</c:v>
                </c:pt>
                <c:pt idx="502">
                  <c:v>0.14830499553362247</c:v>
                </c:pt>
                <c:pt idx="503">
                  <c:v>0.14723283660902223</c:v>
                </c:pt>
                <c:pt idx="504">
                  <c:v>0.14672280663810142</c:v>
                </c:pt>
                <c:pt idx="505">
                  <c:v>0.14631554055461049</c:v>
                </c:pt>
                <c:pt idx="506">
                  <c:v>0.14617782009719812</c:v>
                </c:pt>
                <c:pt idx="507">
                  <c:v>0.14599505132857327</c:v>
                </c:pt>
                <c:pt idx="508">
                  <c:v>0.14588060845692408</c:v>
                </c:pt>
                <c:pt idx="509">
                  <c:v>0.14583303277844051</c:v>
                </c:pt>
                <c:pt idx="510">
                  <c:v>0.14558434337881748</c:v>
                </c:pt>
                <c:pt idx="511">
                  <c:v>0.14534301860448839</c:v>
                </c:pt>
                <c:pt idx="512">
                  <c:v>0.14475517831905177</c:v>
                </c:pt>
                <c:pt idx="513">
                  <c:v>0.14437666628793383</c:v>
                </c:pt>
                <c:pt idx="514">
                  <c:v>0.14435810721335898</c:v>
                </c:pt>
                <c:pt idx="515">
                  <c:v>0.14426040704446311</c:v>
                </c:pt>
                <c:pt idx="516">
                  <c:v>0.14368828676613893</c:v>
                </c:pt>
                <c:pt idx="517">
                  <c:v>0.14366409600916549</c:v>
                </c:pt>
                <c:pt idx="518">
                  <c:v>0.14348437887835774</c:v>
                </c:pt>
                <c:pt idx="519">
                  <c:v>0.14346229252400311</c:v>
                </c:pt>
                <c:pt idx="520">
                  <c:v>0.14342513907548049</c:v>
                </c:pt>
                <c:pt idx="521">
                  <c:v>0.14279526989911456</c:v>
                </c:pt>
                <c:pt idx="522">
                  <c:v>0.14248274759357768</c:v>
                </c:pt>
                <c:pt idx="523">
                  <c:v>0.14220490758836937</c:v>
                </c:pt>
                <c:pt idx="524">
                  <c:v>0.14193855061919383</c:v>
                </c:pt>
                <c:pt idx="525">
                  <c:v>0.14184809344947852</c:v>
                </c:pt>
                <c:pt idx="526">
                  <c:v>0.14164827476357683</c:v>
                </c:pt>
                <c:pt idx="527">
                  <c:v>0.14147873692421853</c:v>
                </c:pt>
                <c:pt idx="528">
                  <c:v>0.14088296181245741</c:v>
                </c:pt>
                <c:pt idx="529">
                  <c:v>0.14056362365499223</c:v>
                </c:pt>
                <c:pt idx="530">
                  <c:v>0.14008799175562398</c:v>
                </c:pt>
                <c:pt idx="531">
                  <c:v>0.1398234480544365</c:v>
                </c:pt>
                <c:pt idx="532">
                  <c:v>0.13961374764894838</c:v>
                </c:pt>
                <c:pt idx="533">
                  <c:v>0.13959518675969429</c:v>
                </c:pt>
                <c:pt idx="534">
                  <c:v>0.13956179760328669</c:v>
                </c:pt>
                <c:pt idx="535">
                  <c:v>0.13942495446041464</c:v>
                </c:pt>
                <c:pt idx="536">
                  <c:v>0.13941369728232325</c:v>
                </c:pt>
                <c:pt idx="537">
                  <c:v>0.13941254207196291</c:v>
                </c:pt>
                <c:pt idx="538">
                  <c:v>0.13909738253222761</c:v>
                </c:pt>
                <c:pt idx="539">
                  <c:v>0.13904782793199491</c:v>
                </c:pt>
                <c:pt idx="540">
                  <c:v>0.13857859148037557</c:v>
                </c:pt>
                <c:pt idx="541">
                  <c:v>0.13815926021006869</c:v>
                </c:pt>
                <c:pt idx="542">
                  <c:v>0.13735873747732172</c:v>
                </c:pt>
                <c:pt idx="543">
                  <c:v>0.13728756803089259</c:v>
                </c:pt>
                <c:pt idx="544">
                  <c:v>0.13726658655649251</c:v>
                </c:pt>
                <c:pt idx="545">
                  <c:v>0.13709078198035093</c:v>
                </c:pt>
                <c:pt idx="546">
                  <c:v>0.13704569197101416</c:v>
                </c:pt>
                <c:pt idx="547">
                  <c:v>0.13679259363195079</c:v>
                </c:pt>
                <c:pt idx="548">
                  <c:v>0.13656128785222318</c:v>
                </c:pt>
                <c:pt idx="549">
                  <c:v>0.13578703949860288</c:v>
                </c:pt>
                <c:pt idx="550">
                  <c:v>0.13566062561709577</c:v>
                </c:pt>
                <c:pt idx="551">
                  <c:v>0.13534424528319494</c:v>
                </c:pt>
                <c:pt idx="552">
                  <c:v>0.13525346849059608</c:v>
                </c:pt>
                <c:pt idx="553">
                  <c:v>0.13524713450566786</c:v>
                </c:pt>
                <c:pt idx="554">
                  <c:v>0.13473627274827502</c:v>
                </c:pt>
                <c:pt idx="555">
                  <c:v>0.13471997574303846</c:v>
                </c:pt>
                <c:pt idx="556">
                  <c:v>0.13463007723852824</c:v>
                </c:pt>
                <c:pt idx="557">
                  <c:v>0.13443544172447347</c:v>
                </c:pt>
                <c:pt idx="558">
                  <c:v>0.13435322165584992</c:v>
                </c:pt>
                <c:pt idx="559">
                  <c:v>0.13427460586350079</c:v>
                </c:pt>
                <c:pt idx="560">
                  <c:v>0.13422089255155922</c:v>
                </c:pt>
                <c:pt idx="561">
                  <c:v>0.13395889857184234</c:v>
                </c:pt>
                <c:pt idx="562">
                  <c:v>0.13393544141712785</c:v>
                </c:pt>
                <c:pt idx="563">
                  <c:v>0.13339650078923937</c:v>
                </c:pt>
                <c:pt idx="564">
                  <c:v>0.13339098855767106</c:v>
                </c:pt>
                <c:pt idx="565">
                  <c:v>0.13322855543158663</c:v>
                </c:pt>
                <c:pt idx="566">
                  <c:v>0.1331970561197581</c:v>
                </c:pt>
                <c:pt idx="567">
                  <c:v>0.13293645399508047</c:v>
                </c:pt>
                <c:pt idx="568">
                  <c:v>0.13278301458763472</c:v>
                </c:pt>
                <c:pt idx="569">
                  <c:v>0.13238317228149321</c:v>
                </c:pt>
                <c:pt idx="570">
                  <c:v>0.13237130400693717</c:v>
                </c:pt>
                <c:pt idx="571">
                  <c:v>0.13233932014162655</c:v>
                </c:pt>
                <c:pt idx="572">
                  <c:v>0.13230939587761037</c:v>
                </c:pt>
                <c:pt idx="573">
                  <c:v>0.13223605082492715</c:v>
                </c:pt>
                <c:pt idx="574">
                  <c:v>0.13195156578953748</c:v>
                </c:pt>
                <c:pt idx="575">
                  <c:v>0.13158530171027188</c:v>
                </c:pt>
                <c:pt idx="576">
                  <c:v>0.13158083107592619</c:v>
                </c:pt>
                <c:pt idx="577">
                  <c:v>0.13157040174141527</c:v>
                </c:pt>
                <c:pt idx="578">
                  <c:v>0.13104053461292575</c:v>
                </c:pt>
                <c:pt idx="579">
                  <c:v>0.13087218523307836</c:v>
                </c:pt>
                <c:pt idx="580">
                  <c:v>0.13062188231947444</c:v>
                </c:pt>
                <c:pt idx="581">
                  <c:v>0.13053523329762071</c:v>
                </c:pt>
                <c:pt idx="582">
                  <c:v>0.13044858069980242</c:v>
                </c:pt>
                <c:pt idx="583">
                  <c:v>0.13036530248277622</c:v>
                </c:pt>
                <c:pt idx="584">
                  <c:v>0.13036026113540608</c:v>
                </c:pt>
                <c:pt idx="585">
                  <c:v>0.1300396559092597</c:v>
                </c:pt>
                <c:pt idx="586">
                  <c:v>0.12989964732035603</c:v>
                </c:pt>
                <c:pt idx="587">
                  <c:v>0.1298051694610525</c:v>
                </c:pt>
                <c:pt idx="588">
                  <c:v>0.12980377176258709</c:v>
                </c:pt>
                <c:pt idx="589">
                  <c:v>0.12978355974546887</c:v>
                </c:pt>
                <c:pt idx="590">
                  <c:v>0.12930156021490805</c:v>
                </c:pt>
                <c:pt idx="591">
                  <c:v>0.12919666429308965</c:v>
                </c:pt>
                <c:pt idx="592">
                  <c:v>0.12897451713892558</c:v>
                </c:pt>
                <c:pt idx="593">
                  <c:v>0.12886912115226534</c:v>
                </c:pt>
                <c:pt idx="594">
                  <c:v>0.12857141827574831</c:v>
                </c:pt>
                <c:pt idx="595">
                  <c:v>0.12845208512618966</c:v>
                </c:pt>
                <c:pt idx="596">
                  <c:v>0.12803535399312502</c:v>
                </c:pt>
                <c:pt idx="597">
                  <c:v>0.12794245760507711</c:v>
                </c:pt>
                <c:pt idx="598">
                  <c:v>0.12779519680600865</c:v>
                </c:pt>
                <c:pt idx="599">
                  <c:v>0.12734162395044038</c:v>
                </c:pt>
                <c:pt idx="600">
                  <c:v>0.12733474116059287</c:v>
                </c:pt>
                <c:pt idx="601">
                  <c:v>0.12715374929135825</c:v>
                </c:pt>
                <c:pt idx="602">
                  <c:v>0.12690368352079498</c:v>
                </c:pt>
                <c:pt idx="603">
                  <c:v>0.12626440129479147</c:v>
                </c:pt>
                <c:pt idx="604">
                  <c:v>0.12598650921423862</c:v>
                </c:pt>
                <c:pt idx="605">
                  <c:v>0.12593586561847669</c:v>
                </c:pt>
                <c:pt idx="606">
                  <c:v>0.1253298603264191</c:v>
                </c:pt>
                <c:pt idx="607">
                  <c:v>0.1253220693911683</c:v>
                </c:pt>
                <c:pt idx="608">
                  <c:v>0.12510725913171805</c:v>
                </c:pt>
                <c:pt idx="609">
                  <c:v>0.12498218091242595</c:v>
                </c:pt>
                <c:pt idx="610">
                  <c:v>0.12481692154426437</c:v>
                </c:pt>
                <c:pt idx="611">
                  <c:v>0.12466004502426979</c:v>
                </c:pt>
                <c:pt idx="612">
                  <c:v>0.12462461162222249</c:v>
                </c:pt>
                <c:pt idx="613">
                  <c:v>0.12455511175169928</c:v>
                </c:pt>
                <c:pt idx="614">
                  <c:v>0.12445747921601304</c:v>
                </c:pt>
                <c:pt idx="615">
                  <c:v>0.12420420102814043</c:v>
                </c:pt>
                <c:pt idx="616">
                  <c:v>0.1241986849445046</c:v>
                </c:pt>
                <c:pt idx="617">
                  <c:v>0.12408411296997129</c:v>
                </c:pt>
                <c:pt idx="618">
                  <c:v>0.12390699429655938</c:v>
                </c:pt>
                <c:pt idx="619">
                  <c:v>0.12382405878562458</c:v>
                </c:pt>
                <c:pt idx="620">
                  <c:v>0.12377656478501391</c:v>
                </c:pt>
                <c:pt idx="621">
                  <c:v>0.12363000333266898</c:v>
                </c:pt>
                <c:pt idx="622">
                  <c:v>0.12349190641910858</c:v>
                </c:pt>
                <c:pt idx="623">
                  <c:v>0.12329757713709974</c:v>
                </c:pt>
                <c:pt idx="624">
                  <c:v>0.1230494271842552</c:v>
                </c:pt>
                <c:pt idx="625">
                  <c:v>0.12286684382988537</c:v>
                </c:pt>
                <c:pt idx="626">
                  <c:v>0.1228074756356809</c:v>
                </c:pt>
                <c:pt idx="627">
                  <c:v>0.12267830997430348</c:v>
                </c:pt>
                <c:pt idx="628">
                  <c:v>0.12236631156599698</c:v>
                </c:pt>
                <c:pt idx="629">
                  <c:v>0.12214630277449288</c:v>
                </c:pt>
                <c:pt idx="630">
                  <c:v>0.12196812147684419</c:v>
                </c:pt>
                <c:pt idx="631">
                  <c:v>0.12184858244246456</c:v>
                </c:pt>
                <c:pt idx="632">
                  <c:v>0.12109010808019734</c:v>
                </c:pt>
                <c:pt idx="633">
                  <c:v>0.12102552730012178</c:v>
                </c:pt>
                <c:pt idx="634">
                  <c:v>0.12080687838297628</c:v>
                </c:pt>
                <c:pt idx="635">
                  <c:v>0.1207307291768516</c:v>
                </c:pt>
                <c:pt idx="636">
                  <c:v>0.12072127893269702</c:v>
                </c:pt>
                <c:pt idx="637">
                  <c:v>0.12069936240126532</c:v>
                </c:pt>
                <c:pt idx="638">
                  <c:v>0.12069661524040916</c:v>
                </c:pt>
                <c:pt idx="639">
                  <c:v>0.12056631007675185</c:v>
                </c:pt>
                <c:pt idx="640">
                  <c:v>0.1204802405893038</c:v>
                </c:pt>
                <c:pt idx="641">
                  <c:v>0.12046733530800982</c:v>
                </c:pt>
                <c:pt idx="642">
                  <c:v>0.12040624168703894</c:v>
                </c:pt>
                <c:pt idx="643">
                  <c:v>0.12015478971417792</c:v>
                </c:pt>
                <c:pt idx="644">
                  <c:v>0.12000624148581927</c:v>
                </c:pt>
                <c:pt idx="645">
                  <c:v>0.12000340152690518</c:v>
                </c:pt>
                <c:pt idx="646">
                  <c:v>0.11964662482395746</c:v>
                </c:pt>
                <c:pt idx="647">
                  <c:v>0.11956499488084359</c:v>
                </c:pt>
                <c:pt idx="648">
                  <c:v>0.11926110257439598</c:v>
                </c:pt>
                <c:pt idx="649">
                  <c:v>0.11904237269718249</c:v>
                </c:pt>
                <c:pt idx="650">
                  <c:v>0.11899184614204529</c:v>
                </c:pt>
                <c:pt idx="651">
                  <c:v>0.11880487250868482</c:v>
                </c:pt>
                <c:pt idx="652">
                  <c:v>0.11872263191589717</c:v>
                </c:pt>
                <c:pt idx="653">
                  <c:v>0.11863686706230507</c:v>
                </c:pt>
                <c:pt idx="654">
                  <c:v>0.11839957609205906</c:v>
                </c:pt>
                <c:pt idx="655">
                  <c:v>0.11824707789354424</c:v>
                </c:pt>
                <c:pt idx="656">
                  <c:v>0.11821345229901839</c:v>
                </c:pt>
                <c:pt idx="657">
                  <c:v>0.11816841232404093</c:v>
                </c:pt>
                <c:pt idx="658">
                  <c:v>0.11804535242020829</c:v>
                </c:pt>
                <c:pt idx="659">
                  <c:v>0.11794279702290572</c:v>
                </c:pt>
                <c:pt idx="660">
                  <c:v>0.11757018982245131</c:v>
                </c:pt>
                <c:pt idx="661">
                  <c:v>0.1173823479858899</c:v>
                </c:pt>
                <c:pt idx="662">
                  <c:v>0.11718382890903913</c:v>
                </c:pt>
                <c:pt idx="663">
                  <c:v>0.11697058376048085</c:v>
                </c:pt>
                <c:pt idx="664">
                  <c:v>0.11692388289132544</c:v>
                </c:pt>
                <c:pt idx="665">
                  <c:v>0.11675374854064505</c:v>
                </c:pt>
                <c:pt idx="666">
                  <c:v>0.11634821921291977</c:v>
                </c:pt>
                <c:pt idx="667">
                  <c:v>0.1163354711774116</c:v>
                </c:pt>
                <c:pt idx="668">
                  <c:v>0.11627757203832052</c:v>
                </c:pt>
                <c:pt idx="669">
                  <c:v>0.11626988530827216</c:v>
                </c:pt>
                <c:pt idx="670">
                  <c:v>0.11587782608200348</c:v>
                </c:pt>
                <c:pt idx="671">
                  <c:v>0.11546897570877848</c:v>
                </c:pt>
                <c:pt idx="672">
                  <c:v>0.11533549383172606</c:v>
                </c:pt>
                <c:pt idx="673">
                  <c:v>0.1153325921691452</c:v>
                </c:pt>
                <c:pt idx="674">
                  <c:v>0.11528014845760197</c:v>
                </c:pt>
                <c:pt idx="675">
                  <c:v>0.11520846851377295</c:v>
                </c:pt>
                <c:pt idx="676">
                  <c:v>0.11507108319184857</c:v>
                </c:pt>
                <c:pt idx="677">
                  <c:v>0.11496759286837395</c:v>
                </c:pt>
                <c:pt idx="678">
                  <c:v>0.11490720113286094</c:v>
                </c:pt>
                <c:pt idx="679">
                  <c:v>0.11481299299486913</c:v>
                </c:pt>
                <c:pt idx="680">
                  <c:v>0.11473870131140776</c:v>
                </c:pt>
                <c:pt idx="681">
                  <c:v>0.11466703166761799</c:v>
                </c:pt>
                <c:pt idx="682">
                  <c:v>0.11460514013665227</c:v>
                </c:pt>
                <c:pt idx="683">
                  <c:v>0.11458848127325318</c:v>
                </c:pt>
                <c:pt idx="684">
                  <c:v>0.11456674519484686</c:v>
                </c:pt>
                <c:pt idx="685">
                  <c:v>0.11443875485786431</c:v>
                </c:pt>
                <c:pt idx="686">
                  <c:v>0.11440540264959896</c:v>
                </c:pt>
                <c:pt idx="687">
                  <c:v>0.11389757012081937</c:v>
                </c:pt>
                <c:pt idx="688">
                  <c:v>0.11384767209787081</c:v>
                </c:pt>
                <c:pt idx="689">
                  <c:v>0.11369132446031083</c:v>
                </c:pt>
                <c:pt idx="690">
                  <c:v>0.11366287241596452</c:v>
                </c:pt>
                <c:pt idx="691">
                  <c:v>0.11344032462739502</c:v>
                </c:pt>
                <c:pt idx="692">
                  <c:v>0.11342169791225333</c:v>
                </c:pt>
                <c:pt idx="693">
                  <c:v>0.1133722431235544</c:v>
                </c:pt>
                <c:pt idx="694">
                  <c:v>0.1132587358959658</c:v>
                </c:pt>
                <c:pt idx="695">
                  <c:v>0.11312437877311238</c:v>
                </c:pt>
                <c:pt idx="696">
                  <c:v>0.11302189398316635</c:v>
                </c:pt>
                <c:pt idx="697">
                  <c:v>0.11288259937433906</c:v>
                </c:pt>
                <c:pt idx="698">
                  <c:v>0.11263256340350863</c:v>
                </c:pt>
                <c:pt idx="699">
                  <c:v>0.11242741648326955</c:v>
                </c:pt>
                <c:pt idx="700">
                  <c:v>0.11242629678793822</c:v>
                </c:pt>
                <c:pt idx="701">
                  <c:v>0.11237138184939333</c:v>
                </c:pt>
                <c:pt idx="702">
                  <c:v>0.1123609752592761</c:v>
                </c:pt>
                <c:pt idx="703">
                  <c:v>0.11235089815820537</c:v>
                </c:pt>
                <c:pt idx="704">
                  <c:v>0.1123361355654382</c:v>
                </c:pt>
                <c:pt idx="705">
                  <c:v>0.11218309427681168</c:v>
                </c:pt>
                <c:pt idx="706">
                  <c:v>0.11216805025539767</c:v>
                </c:pt>
                <c:pt idx="707">
                  <c:v>0.11195773388118001</c:v>
                </c:pt>
                <c:pt idx="708">
                  <c:v>0.11184406148479988</c:v>
                </c:pt>
                <c:pt idx="709">
                  <c:v>0.11175352769414074</c:v>
                </c:pt>
                <c:pt idx="710">
                  <c:v>0.11174979912473433</c:v>
                </c:pt>
                <c:pt idx="711">
                  <c:v>0.11137140457957923</c:v>
                </c:pt>
                <c:pt idx="712">
                  <c:v>0.11124996064026575</c:v>
                </c:pt>
                <c:pt idx="713">
                  <c:v>0.1109004674672245</c:v>
                </c:pt>
                <c:pt idx="714">
                  <c:v>0.11084532867095692</c:v>
                </c:pt>
                <c:pt idx="715">
                  <c:v>0.11084373976379898</c:v>
                </c:pt>
                <c:pt idx="716">
                  <c:v>0.1104564612493365</c:v>
                </c:pt>
                <c:pt idx="717">
                  <c:v>0.11044536955377883</c:v>
                </c:pt>
                <c:pt idx="718">
                  <c:v>0.11027096967656988</c:v>
                </c:pt>
                <c:pt idx="719">
                  <c:v>0.11000959880963725</c:v>
                </c:pt>
                <c:pt idx="720">
                  <c:v>0.10975460563966564</c:v>
                </c:pt>
                <c:pt idx="721">
                  <c:v>0.10970053635415009</c:v>
                </c:pt>
                <c:pt idx="722">
                  <c:v>0.10967847105459759</c:v>
                </c:pt>
                <c:pt idx="723">
                  <c:v>0.1095975063899471</c:v>
                </c:pt>
                <c:pt idx="724">
                  <c:v>0.10944776848361833</c:v>
                </c:pt>
                <c:pt idx="725">
                  <c:v>0.10944697686836824</c:v>
                </c:pt>
                <c:pt idx="726">
                  <c:v>0.10940360161549605</c:v>
                </c:pt>
                <c:pt idx="727">
                  <c:v>0.10923422243726298</c:v>
                </c:pt>
                <c:pt idx="728">
                  <c:v>0.10902273557651425</c:v>
                </c:pt>
                <c:pt idx="729">
                  <c:v>0.10902162302335604</c:v>
                </c:pt>
                <c:pt idx="730">
                  <c:v>0.10895371547556641</c:v>
                </c:pt>
                <c:pt idx="731">
                  <c:v>0.10876911975304231</c:v>
                </c:pt>
                <c:pt idx="732">
                  <c:v>0.1086392054012848</c:v>
                </c:pt>
                <c:pt idx="733">
                  <c:v>0.10834568011365875</c:v>
                </c:pt>
                <c:pt idx="734">
                  <c:v>0.108319161332843</c:v>
                </c:pt>
                <c:pt idx="735">
                  <c:v>0.10802403852719944</c:v>
                </c:pt>
                <c:pt idx="736">
                  <c:v>0.10781305676253751</c:v>
                </c:pt>
                <c:pt idx="737">
                  <c:v>0.10779270662763336</c:v>
                </c:pt>
                <c:pt idx="738">
                  <c:v>0.10762971675328568</c:v>
                </c:pt>
                <c:pt idx="739">
                  <c:v>0.10755704007507005</c:v>
                </c:pt>
                <c:pt idx="740">
                  <c:v>0.1074080254589705</c:v>
                </c:pt>
                <c:pt idx="741">
                  <c:v>0.10736173590839555</c:v>
                </c:pt>
                <c:pt idx="742">
                  <c:v>0.1071755841539402</c:v>
                </c:pt>
                <c:pt idx="743">
                  <c:v>0.10691330480177617</c:v>
                </c:pt>
                <c:pt idx="744">
                  <c:v>0.10644838533492586</c:v>
                </c:pt>
                <c:pt idx="745">
                  <c:v>0.10641649650517479</c:v>
                </c:pt>
                <c:pt idx="746">
                  <c:v>0.10622965879034567</c:v>
                </c:pt>
                <c:pt idx="747">
                  <c:v>0.10620390432825917</c:v>
                </c:pt>
                <c:pt idx="748">
                  <c:v>0.10616023639937888</c:v>
                </c:pt>
                <c:pt idx="749">
                  <c:v>0.10608302565373944</c:v>
                </c:pt>
                <c:pt idx="750">
                  <c:v>0.10607189845216335</c:v>
                </c:pt>
                <c:pt idx="751">
                  <c:v>0.10606321893428475</c:v>
                </c:pt>
                <c:pt idx="752">
                  <c:v>0.10602087360022146</c:v>
                </c:pt>
                <c:pt idx="753">
                  <c:v>0.10592725819063482</c:v>
                </c:pt>
                <c:pt idx="754">
                  <c:v>0.10591882552232178</c:v>
                </c:pt>
                <c:pt idx="755">
                  <c:v>0.10574286081319186</c:v>
                </c:pt>
                <c:pt idx="756">
                  <c:v>0.10563636881448916</c:v>
                </c:pt>
                <c:pt idx="757">
                  <c:v>0.10562843619344738</c:v>
                </c:pt>
                <c:pt idx="758">
                  <c:v>0.10560929958385358</c:v>
                </c:pt>
                <c:pt idx="759">
                  <c:v>0.1053413359498791</c:v>
                </c:pt>
                <c:pt idx="760">
                  <c:v>0.10533683164841455</c:v>
                </c:pt>
                <c:pt idx="761">
                  <c:v>0.10530553048039704</c:v>
                </c:pt>
                <c:pt idx="762">
                  <c:v>0.10530506877349356</c:v>
                </c:pt>
                <c:pt idx="763">
                  <c:v>0.10511277558328484</c:v>
                </c:pt>
                <c:pt idx="764">
                  <c:v>0.10511032333916918</c:v>
                </c:pt>
                <c:pt idx="765">
                  <c:v>0.10500719453100507</c:v>
                </c:pt>
                <c:pt idx="766">
                  <c:v>0.10492702018262874</c:v>
                </c:pt>
                <c:pt idx="767">
                  <c:v>0.10489554863127749</c:v>
                </c:pt>
                <c:pt idx="768">
                  <c:v>0.10477532710706984</c:v>
                </c:pt>
                <c:pt idx="769">
                  <c:v>0.10475024222820088</c:v>
                </c:pt>
                <c:pt idx="770">
                  <c:v>0.10470525494543031</c:v>
                </c:pt>
                <c:pt idx="771">
                  <c:v>0.10459126771387808</c:v>
                </c:pt>
                <c:pt idx="772">
                  <c:v>0.10451880209899529</c:v>
                </c:pt>
                <c:pt idx="773">
                  <c:v>0.10447483133860702</c:v>
                </c:pt>
                <c:pt idx="774">
                  <c:v>0.10443129783037866</c:v>
                </c:pt>
                <c:pt idx="775">
                  <c:v>0.10417283093044329</c:v>
                </c:pt>
                <c:pt idx="776">
                  <c:v>0.10415370694453926</c:v>
                </c:pt>
                <c:pt idx="777">
                  <c:v>0.10407033205487415</c:v>
                </c:pt>
                <c:pt idx="778">
                  <c:v>0.10402515956181212</c:v>
                </c:pt>
                <c:pt idx="779">
                  <c:v>0.10401151793677256</c:v>
                </c:pt>
                <c:pt idx="780">
                  <c:v>0.10396797702514722</c:v>
                </c:pt>
                <c:pt idx="781">
                  <c:v>0.10375212246970462</c:v>
                </c:pt>
                <c:pt idx="782">
                  <c:v>0.10348603756094137</c:v>
                </c:pt>
                <c:pt idx="783">
                  <c:v>0.10317621244243527</c:v>
                </c:pt>
                <c:pt idx="784">
                  <c:v>0.10306373738271031</c:v>
                </c:pt>
                <c:pt idx="785">
                  <c:v>0.10280289292569943</c:v>
                </c:pt>
                <c:pt idx="786">
                  <c:v>0.1027444965943026</c:v>
                </c:pt>
                <c:pt idx="787">
                  <c:v>0.10270224712424897</c:v>
                </c:pt>
                <c:pt idx="788">
                  <c:v>0.10255632995890464</c:v>
                </c:pt>
                <c:pt idx="789">
                  <c:v>0.10251006305797546</c:v>
                </c:pt>
                <c:pt idx="790">
                  <c:v>0.1024794119708827</c:v>
                </c:pt>
                <c:pt idx="791">
                  <c:v>0.1023995810892022</c:v>
                </c:pt>
                <c:pt idx="792">
                  <c:v>0.10235711094461683</c:v>
                </c:pt>
                <c:pt idx="793">
                  <c:v>0.10210248384115811</c:v>
                </c:pt>
                <c:pt idx="794">
                  <c:v>0.10203867523613863</c:v>
                </c:pt>
                <c:pt idx="795">
                  <c:v>0.10203027312561415</c:v>
                </c:pt>
                <c:pt idx="796">
                  <c:v>0.10190127769629602</c:v>
                </c:pt>
                <c:pt idx="797">
                  <c:v>0.10169029025390967</c:v>
                </c:pt>
                <c:pt idx="798">
                  <c:v>0.10168567612679866</c:v>
                </c:pt>
                <c:pt idx="799">
                  <c:v>0.10159431146308082</c:v>
                </c:pt>
                <c:pt idx="800">
                  <c:v>0.10133153625092868</c:v>
                </c:pt>
                <c:pt idx="801">
                  <c:v>0.10126789513829824</c:v>
                </c:pt>
                <c:pt idx="802">
                  <c:v>0.10107008854031964</c:v>
                </c:pt>
                <c:pt idx="803">
                  <c:v>0.10106266966524984</c:v>
                </c:pt>
                <c:pt idx="804">
                  <c:v>0.10105524134587668</c:v>
                </c:pt>
                <c:pt idx="805">
                  <c:v>0.1009964911298273</c:v>
                </c:pt>
                <c:pt idx="806">
                  <c:v>0.10064699731046689</c:v>
                </c:pt>
                <c:pt idx="807">
                  <c:v>0.10058434638739479</c:v>
                </c:pt>
                <c:pt idx="808">
                  <c:v>0.10051100702438785</c:v>
                </c:pt>
                <c:pt idx="809">
                  <c:v>0.1004849755743813</c:v>
                </c:pt>
                <c:pt idx="810">
                  <c:v>0.10046829485850628</c:v>
                </c:pt>
                <c:pt idx="811">
                  <c:v>0.10042774925026125</c:v>
                </c:pt>
                <c:pt idx="812">
                  <c:v>0.10036094020747084</c:v>
                </c:pt>
                <c:pt idx="813">
                  <c:v>0.10028871152557911</c:v>
                </c:pt>
                <c:pt idx="814">
                  <c:v>0.10028098190940171</c:v>
                </c:pt>
                <c:pt idx="815">
                  <c:v>0.10010833874210072</c:v>
                </c:pt>
                <c:pt idx="816">
                  <c:v>9.9886302577551253E-2</c:v>
                </c:pt>
                <c:pt idx="817">
                  <c:v>9.9880466947174298E-2</c:v>
                </c:pt>
                <c:pt idx="818">
                  <c:v>9.9798603927836738E-2</c:v>
                </c:pt>
                <c:pt idx="819">
                  <c:v>9.9664836378346416E-2</c:v>
                </c:pt>
                <c:pt idx="820">
                  <c:v>9.9656804714346403E-2</c:v>
                </c:pt>
                <c:pt idx="821">
                  <c:v>9.9190340699686089E-2</c:v>
                </c:pt>
                <c:pt idx="822">
                  <c:v>9.909359438590512E-2</c:v>
                </c:pt>
                <c:pt idx="823">
                  <c:v>9.9081398974287499E-2</c:v>
                </c:pt>
                <c:pt idx="824">
                  <c:v>9.8896794733789289E-2</c:v>
                </c:pt>
                <c:pt idx="825">
                  <c:v>9.8771772457454041E-2</c:v>
                </c:pt>
                <c:pt idx="826">
                  <c:v>9.8707399363664614E-2</c:v>
                </c:pt>
                <c:pt idx="827">
                  <c:v>9.8691848382383596E-2</c:v>
                </c:pt>
                <c:pt idx="828">
                  <c:v>9.8645778288508221E-2</c:v>
                </c:pt>
                <c:pt idx="829">
                  <c:v>9.8541301492265448E-2</c:v>
                </c:pt>
                <c:pt idx="830">
                  <c:v>9.8402989982095651E-2</c:v>
                </c:pt>
                <c:pt idx="831">
                  <c:v>9.8253989087990837E-2</c:v>
                </c:pt>
                <c:pt idx="832">
                  <c:v>9.8241663309595231E-2</c:v>
                </c:pt>
                <c:pt idx="833">
                  <c:v>9.8194599812644556E-2</c:v>
                </c:pt>
                <c:pt idx="834">
                  <c:v>9.7899813585855366E-2</c:v>
                </c:pt>
                <c:pt idx="835">
                  <c:v>9.7662198349032558E-2</c:v>
                </c:pt>
                <c:pt idx="836">
                  <c:v>9.750734987783638E-2</c:v>
                </c:pt>
                <c:pt idx="837">
                  <c:v>9.7500388563442397E-2</c:v>
                </c:pt>
                <c:pt idx="838">
                  <c:v>9.7191020170548564E-2</c:v>
                </c:pt>
                <c:pt idx="839">
                  <c:v>9.6805936078902644E-2</c:v>
                </c:pt>
                <c:pt idx="840">
                  <c:v>9.6774189442213818E-2</c:v>
                </c:pt>
                <c:pt idx="841">
                  <c:v>9.6734765498746239E-2</c:v>
                </c:pt>
                <c:pt idx="842">
                  <c:v>9.6716945343263749E-2</c:v>
                </c:pt>
                <c:pt idx="843">
                  <c:v>9.6660813815127977E-2</c:v>
                </c:pt>
                <c:pt idx="844">
                  <c:v>9.6541566466316966E-2</c:v>
                </c:pt>
                <c:pt idx="845">
                  <c:v>9.6278484305319129E-2</c:v>
                </c:pt>
                <c:pt idx="846">
                  <c:v>9.6016008934812713E-2</c:v>
                </c:pt>
                <c:pt idx="847">
                  <c:v>9.5929012760107901E-2</c:v>
                </c:pt>
                <c:pt idx="848">
                  <c:v>9.5862145572215576E-2</c:v>
                </c:pt>
                <c:pt idx="849">
                  <c:v>9.5781003309050788E-2</c:v>
                </c:pt>
                <c:pt idx="850">
                  <c:v>9.5747019511127726E-2</c:v>
                </c:pt>
                <c:pt idx="851">
                  <c:v>9.5560169005020498E-2</c:v>
                </c:pt>
                <c:pt idx="852">
                  <c:v>9.5483878168232936E-2</c:v>
                </c:pt>
                <c:pt idx="853">
                  <c:v>9.5430490425778933E-2</c:v>
                </c:pt>
                <c:pt idx="854">
                  <c:v>9.5289593505522352E-2</c:v>
                </c:pt>
                <c:pt idx="855">
                  <c:v>9.522816895980675E-2</c:v>
                </c:pt>
                <c:pt idx="856">
                  <c:v>9.5204723694187976E-2</c:v>
                </c:pt>
                <c:pt idx="857">
                  <c:v>9.511281490146721E-2</c:v>
                </c:pt>
                <c:pt idx="858">
                  <c:v>9.4956536937311126E-2</c:v>
                </c:pt>
                <c:pt idx="859">
                  <c:v>9.4853814976517195E-2</c:v>
                </c:pt>
                <c:pt idx="860">
                  <c:v>9.4775254105075687E-2</c:v>
                </c:pt>
                <c:pt idx="861">
                  <c:v>9.4744740591001408E-2</c:v>
                </c:pt>
                <c:pt idx="862">
                  <c:v>9.4732392593289819E-2</c:v>
                </c:pt>
                <c:pt idx="863">
                  <c:v>9.4706121407561392E-2</c:v>
                </c:pt>
                <c:pt idx="864">
                  <c:v>9.4681144966689224E-2</c:v>
                </c:pt>
                <c:pt idx="865">
                  <c:v>9.4147355577687414E-2</c:v>
                </c:pt>
                <c:pt idx="866">
                  <c:v>9.4031090326412284E-2</c:v>
                </c:pt>
                <c:pt idx="867">
                  <c:v>9.4014308043333453E-2</c:v>
                </c:pt>
                <c:pt idx="868">
                  <c:v>9.4012253455828074E-2</c:v>
                </c:pt>
                <c:pt idx="869">
                  <c:v>9.3913609025307834E-2</c:v>
                </c:pt>
                <c:pt idx="870">
                  <c:v>9.3713476818101049E-2</c:v>
                </c:pt>
                <c:pt idx="871">
                  <c:v>9.3686580431436961E-2</c:v>
                </c:pt>
                <c:pt idx="872">
                  <c:v>9.3612210745018215E-2</c:v>
                </c:pt>
                <c:pt idx="873">
                  <c:v>9.3418003418038756E-2</c:v>
                </c:pt>
                <c:pt idx="874">
                  <c:v>9.3343554718598107E-2</c:v>
                </c:pt>
                <c:pt idx="875">
                  <c:v>9.3192157431953637E-2</c:v>
                </c:pt>
                <c:pt idx="876">
                  <c:v>9.29564085288061E-2</c:v>
                </c:pt>
                <c:pt idx="877">
                  <c:v>9.2905863982288825E-2</c:v>
                </c:pt>
                <c:pt idx="878">
                  <c:v>9.2687722487899082E-2</c:v>
                </c:pt>
                <c:pt idx="879">
                  <c:v>9.2629476270149877E-2</c:v>
                </c:pt>
                <c:pt idx="880">
                  <c:v>9.2319262915547137E-2</c:v>
                </c:pt>
                <c:pt idx="881">
                  <c:v>9.2070191965822334E-2</c:v>
                </c:pt>
                <c:pt idx="882">
                  <c:v>9.2041557489920961E-2</c:v>
                </c:pt>
                <c:pt idx="883">
                  <c:v>9.2033814238715164E-2</c:v>
                </c:pt>
                <c:pt idx="884">
                  <c:v>9.1977310166063336E-2</c:v>
                </c:pt>
                <c:pt idx="885">
                  <c:v>9.1948700091569108E-2</c:v>
                </c:pt>
                <c:pt idx="886">
                  <c:v>9.1767148832204604E-2</c:v>
                </c:pt>
                <c:pt idx="887">
                  <c:v>9.1740382446811014E-2</c:v>
                </c:pt>
                <c:pt idx="888">
                  <c:v>9.1639834234016851E-2</c:v>
                </c:pt>
                <c:pt idx="889">
                  <c:v>9.156063572809181E-2</c:v>
                </c:pt>
                <c:pt idx="890">
                  <c:v>9.1537349999892784E-2</c:v>
                </c:pt>
                <c:pt idx="891">
                  <c:v>9.1518007642763508E-2</c:v>
                </c:pt>
                <c:pt idx="892">
                  <c:v>9.1516669327960681E-2</c:v>
                </c:pt>
                <c:pt idx="893">
                  <c:v>9.1513558412591692E-2</c:v>
                </c:pt>
                <c:pt idx="894">
                  <c:v>9.1273178855569098E-2</c:v>
                </c:pt>
                <c:pt idx="895">
                  <c:v>9.1232891399340627E-2</c:v>
                </c:pt>
                <c:pt idx="896">
                  <c:v>9.1177439746247799E-2</c:v>
                </c:pt>
                <c:pt idx="897">
                  <c:v>9.1176620218976379E-2</c:v>
                </c:pt>
                <c:pt idx="898">
                  <c:v>9.110987020976577E-2</c:v>
                </c:pt>
                <c:pt idx="899">
                  <c:v>9.1090932939849101E-2</c:v>
                </c:pt>
                <c:pt idx="900">
                  <c:v>9.1077585819614809E-2</c:v>
                </c:pt>
                <c:pt idx="901">
                  <c:v>9.1071097511662771E-2</c:v>
                </c:pt>
                <c:pt idx="902">
                  <c:v>9.0988369015103945E-2</c:v>
                </c:pt>
                <c:pt idx="903">
                  <c:v>9.0897735840965749E-2</c:v>
                </c:pt>
                <c:pt idx="904">
                  <c:v>9.0818419737805384E-2</c:v>
                </c:pt>
                <c:pt idx="905">
                  <c:v>9.0727234293212125E-2</c:v>
                </c:pt>
                <c:pt idx="906">
                  <c:v>9.061725336609204E-2</c:v>
                </c:pt>
                <c:pt idx="907">
                  <c:v>9.0542805242242425E-2</c:v>
                </c:pt>
                <c:pt idx="908">
                  <c:v>9.0459703261681609E-2</c:v>
                </c:pt>
                <c:pt idx="909">
                  <c:v>9.0418950324270692E-2</c:v>
                </c:pt>
                <c:pt idx="910">
                  <c:v>9.0388341148829224E-2</c:v>
                </c:pt>
                <c:pt idx="911">
                  <c:v>9.0359960736109995E-2</c:v>
                </c:pt>
                <c:pt idx="912">
                  <c:v>9.0272668104413575E-2</c:v>
                </c:pt>
                <c:pt idx="913">
                  <c:v>9.0209879985442651E-2</c:v>
                </c:pt>
                <c:pt idx="914">
                  <c:v>9.0180821340053063E-2</c:v>
                </c:pt>
                <c:pt idx="915">
                  <c:v>9.0174458324471907E-2</c:v>
                </c:pt>
                <c:pt idx="916">
                  <c:v>8.9992995252857214E-2</c:v>
                </c:pt>
                <c:pt idx="917">
                  <c:v>8.9902856043815843E-2</c:v>
                </c:pt>
                <c:pt idx="918">
                  <c:v>8.9584927323395472E-2</c:v>
                </c:pt>
                <c:pt idx="919">
                  <c:v>8.9421669116717756E-2</c:v>
                </c:pt>
                <c:pt idx="920">
                  <c:v>8.935341872552123E-2</c:v>
                </c:pt>
                <c:pt idx="921">
                  <c:v>8.9147745413665685E-2</c:v>
                </c:pt>
                <c:pt idx="922">
                  <c:v>8.9108817673356169E-2</c:v>
                </c:pt>
                <c:pt idx="923">
                  <c:v>8.902201452851527E-2</c:v>
                </c:pt>
                <c:pt idx="924">
                  <c:v>8.8885871969347524E-2</c:v>
                </c:pt>
                <c:pt idx="925">
                  <c:v>8.8563654955590543E-2</c:v>
                </c:pt>
                <c:pt idx="926">
                  <c:v>8.8515185510612535E-2</c:v>
                </c:pt>
                <c:pt idx="927">
                  <c:v>8.8504250949627244E-2</c:v>
                </c:pt>
                <c:pt idx="928">
                  <c:v>8.8423657170376979E-2</c:v>
                </c:pt>
                <c:pt idx="929">
                  <c:v>8.8421007627139198E-2</c:v>
                </c:pt>
                <c:pt idx="930">
                  <c:v>8.8335093611732113E-2</c:v>
                </c:pt>
                <c:pt idx="931">
                  <c:v>8.7892890851345065E-2</c:v>
                </c:pt>
                <c:pt idx="932">
                  <c:v>8.7867775057322087E-2</c:v>
                </c:pt>
                <c:pt idx="933">
                  <c:v>8.7684138708466239E-2</c:v>
                </c:pt>
                <c:pt idx="934">
                  <c:v>8.7293181994388125E-2</c:v>
                </c:pt>
                <c:pt idx="935">
                  <c:v>8.7027830251826199E-2</c:v>
                </c:pt>
                <c:pt idx="936">
                  <c:v>8.6850613445245986E-2</c:v>
                </c:pt>
                <c:pt idx="937">
                  <c:v>8.6732040850409114E-2</c:v>
                </c:pt>
                <c:pt idx="938">
                  <c:v>8.6665832264181911E-2</c:v>
                </c:pt>
                <c:pt idx="939">
                  <c:v>8.6564850321498382E-2</c:v>
                </c:pt>
                <c:pt idx="940">
                  <c:v>8.6433230574053915E-2</c:v>
                </c:pt>
                <c:pt idx="941">
                  <c:v>8.6348040048154953E-2</c:v>
                </c:pt>
                <c:pt idx="942">
                  <c:v>8.6032570784432605E-2</c:v>
                </c:pt>
                <c:pt idx="943">
                  <c:v>8.5892160007362675E-2</c:v>
                </c:pt>
                <c:pt idx="944">
                  <c:v>8.5666226542493715E-2</c:v>
                </c:pt>
                <c:pt idx="945">
                  <c:v>8.5361626219395664E-2</c:v>
                </c:pt>
                <c:pt idx="946">
                  <c:v>8.4938640972096718E-2</c:v>
                </c:pt>
                <c:pt idx="947">
                  <c:v>8.4769858575413096E-2</c:v>
                </c:pt>
                <c:pt idx="948">
                  <c:v>8.4469091088006085E-2</c:v>
                </c:pt>
                <c:pt idx="949">
                  <c:v>8.4465855602743306E-2</c:v>
                </c:pt>
                <c:pt idx="950">
                  <c:v>8.428742501187797E-2</c:v>
                </c:pt>
                <c:pt idx="951">
                  <c:v>8.4234153084320515E-2</c:v>
                </c:pt>
                <c:pt idx="952">
                  <c:v>8.4209177957511983E-2</c:v>
                </c:pt>
                <c:pt idx="953">
                  <c:v>8.404569686599514E-2</c:v>
                </c:pt>
                <c:pt idx="954">
                  <c:v>8.398944927375171E-2</c:v>
                </c:pt>
                <c:pt idx="955">
                  <c:v>8.394201156672168E-2</c:v>
                </c:pt>
                <c:pt idx="956">
                  <c:v>8.3924578459288204E-2</c:v>
                </c:pt>
                <c:pt idx="957">
                  <c:v>8.2974117752487406E-2</c:v>
                </c:pt>
                <c:pt idx="958">
                  <c:v>8.2919257671641045E-2</c:v>
                </c:pt>
                <c:pt idx="959">
                  <c:v>8.2872164181448549E-2</c:v>
                </c:pt>
                <c:pt idx="960">
                  <c:v>8.2777887855833621E-2</c:v>
                </c:pt>
                <c:pt idx="961">
                  <c:v>8.2756965036229244E-2</c:v>
                </c:pt>
                <c:pt idx="962">
                  <c:v>8.2717890442717865E-2</c:v>
                </c:pt>
                <c:pt idx="963">
                  <c:v>8.2587999715200727E-2</c:v>
                </c:pt>
                <c:pt idx="964">
                  <c:v>8.2482979933582765E-2</c:v>
                </c:pt>
                <c:pt idx="965">
                  <c:v>8.2411967891037718E-2</c:v>
                </c:pt>
                <c:pt idx="966">
                  <c:v>8.2166949710254983E-2</c:v>
                </c:pt>
                <c:pt idx="967">
                  <c:v>8.1966809042586103E-2</c:v>
                </c:pt>
                <c:pt idx="968">
                  <c:v>8.1952292382009115E-2</c:v>
                </c:pt>
                <c:pt idx="969">
                  <c:v>8.1685349635081214E-2</c:v>
                </c:pt>
                <c:pt idx="970">
                  <c:v>8.1582580910136426E-2</c:v>
                </c:pt>
                <c:pt idx="971">
                  <c:v>8.0863254737904816E-2</c:v>
                </c:pt>
                <c:pt idx="972">
                  <c:v>8.0856774373613993E-2</c:v>
                </c:pt>
                <c:pt idx="973">
                  <c:v>8.0055016309715399E-2</c:v>
                </c:pt>
                <c:pt idx="974">
                  <c:v>8.0036107233859566E-2</c:v>
                </c:pt>
                <c:pt idx="975">
                  <c:v>7.9616537254118547E-2</c:v>
                </c:pt>
                <c:pt idx="976">
                  <c:v>7.9453343144089514E-2</c:v>
                </c:pt>
                <c:pt idx="977">
                  <c:v>7.9407584759346395E-2</c:v>
                </c:pt>
                <c:pt idx="978">
                  <c:v>7.9007053595135504E-2</c:v>
                </c:pt>
                <c:pt idx="979">
                  <c:v>7.8754623670389101E-2</c:v>
                </c:pt>
                <c:pt idx="980">
                  <c:v>7.7992444972749875E-2</c:v>
                </c:pt>
              </c:numCache>
            </c:numRef>
          </c:xVal>
          <c:yVal>
            <c:numRef>
              <c:f>'multiple risky assets'!$AO$3:$AO$983</c:f>
              <c:numCache>
                <c:formatCode>0.00%</c:formatCode>
                <c:ptCount val="981"/>
                <c:pt idx="0">
                  <c:v>0.3420037710136119</c:v>
                </c:pt>
                <c:pt idx="1">
                  <c:v>-0.42295671838741239</c:v>
                </c:pt>
                <c:pt idx="2">
                  <c:v>-0.16828693264128708</c:v>
                </c:pt>
                <c:pt idx="3">
                  <c:v>0.4306755196999395</c:v>
                </c:pt>
                <c:pt idx="4">
                  <c:v>-0.1350814331635275</c:v>
                </c:pt>
                <c:pt idx="5">
                  <c:v>-0.13112543630404794</c:v>
                </c:pt>
                <c:pt idx="6">
                  <c:v>-6.6824521789721758E-2</c:v>
                </c:pt>
                <c:pt idx="7">
                  <c:v>-0.39662336700057838</c:v>
                </c:pt>
                <c:pt idx="8">
                  <c:v>-0.28568148555359207</c:v>
                </c:pt>
                <c:pt idx="9">
                  <c:v>-0.12824639857598108</c:v>
                </c:pt>
                <c:pt idx="10">
                  <c:v>9.0957331277860654E-2</c:v>
                </c:pt>
                <c:pt idx="11">
                  <c:v>0.26558318867850583</c:v>
                </c:pt>
                <c:pt idx="12">
                  <c:v>0.14801048217598856</c:v>
                </c:pt>
                <c:pt idx="13">
                  <c:v>-0.32015324292580505</c:v>
                </c:pt>
                <c:pt idx="14">
                  <c:v>-2.0856564317931758E-3</c:v>
                </c:pt>
                <c:pt idx="15">
                  <c:v>-5.104696627727906E-2</c:v>
                </c:pt>
                <c:pt idx="16">
                  <c:v>5.2892996807895998E-2</c:v>
                </c:pt>
                <c:pt idx="17">
                  <c:v>-5.6680878848242133E-2</c:v>
                </c:pt>
                <c:pt idx="18">
                  <c:v>-8.6177163339690555E-2</c:v>
                </c:pt>
                <c:pt idx="19">
                  <c:v>-0.19153833140066323</c:v>
                </c:pt>
                <c:pt idx="20">
                  <c:v>7.6298400689145396E-2</c:v>
                </c:pt>
                <c:pt idx="21">
                  <c:v>0.30686115709378636</c:v>
                </c:pt>
                <c:pt idx="22">
                  <c:v>0.17407529502202063</c:v>
                </c:pt>
                <c:pt idx="23">
                  <c:v>5.9160618594307657E-2</c:v>
                </c:pt>
                <c:pt idx="24">
                  <c:v>-8.1936470669036893E-2</c:v>
                </c:pt>
                <c:pt idx="25">
                  <c:v>0.28622673580455421</c:v>
                </c:pt>
                <c:pt idx="26">
                  <c:v>-9.5987926694225317E-2</c:v>
                </c:pt>
                <c:pt idx="27">
                  <c:v>-0.260870096744799</c:v>
                </c:pt>
                <c:pt idx="28">
                  <c:v>-7.9347953021987078E-2</c:v>
                </c:pt>
                <c:pt idx="29">
                  <c:v>-4.4729328184860612E-2</c:v>
                </c:pt>
                <c:pt idx="30">
                  <c:v>0.30902126262778201</c:v>
                </c:pt>
                <c:pt idx="31">
                  <c:v>0.27458160349620492</c:v>
                </c:pt>
                <c:pt idx="32">
                  <c:v>0.20360020863902992</c:v>
                </c:pt>
                <c:pt idx="33">
                  <c:v>7.6069708115187762E-2</c:v>
                </c:pt>
                <c:pt idx="34">
                  <c:v>0.17031886753888026</c:v>
                </c:pt>
                <c:pt idx="35">
                  <c:v>4.7268301919320271E-2</c:v>
                </c:pt>
                <c:pt idx="36">
                  <c:v>2.0025207747335239E-2</c:v>
                </c:pt>
                <c:pt idx="37">
                  <c:v>0.10732036364803066</c:v>
                </c:pt>
                <c:pt idx="38">
                  <c:v>0.13292522448749483</c:v>
                </c:pt>
                <c:pt idx="39">
                  <c:v>8.8688874676775997E-2</c:v>
                </c:pt>
                <c:pt idx="40">
                  <c:v>-0.11978949932590219</c:v>
                </c:pt>
                <c:pt idx="41">
                  <c:v>-6.8695969418986452E-2</c:v>
                </c:pt>
                <c:pt idx="42">
                  <c:v>-0.14871725123419477</c:v>
                </c:pt>
                <c:pt idx="43">
                  <c:v>8.0545226226705263E-2</c:v>
                </c:pt>
                <c:pt idx="44">
                  <c:v>0.20474810691108303</c:v>
                </c:pt>
                <c:pt idx="45">
                  <c:v>0.16281709030334612</c:v>
                </c:pt>
                <c:pt idx="46">
                  <c:v>0.11503896539550661</c:v>
                </c:pt>
                <c:pt idx="47">
                  <c:v>4.5254150214858735E-3</c:v>
                </c:pt>
                <c:pt idx="48">
                  <c:v>6.2929960244359151E-2</c:v>
                </c:pt>
                <c:pt idx="49">
                  <c:v>0.10302120194147081</c:v>
                </c:pt>
                <c:pt idx="50">
                  <c:v>0.17420038133254642</c:v>
                </c:pt>
                <c:pt idx="51">
                  <c:v>-7.8582030802388847E-2</c:v>
                </c:pt>
                <c:pt idx="52">
                  <c:v>-0.14442178376937448</c:v>
                </c:pt>
                <c:pt idx="53">
                  <c:v>-2.0616614491018759E-2</c:v>
                </c:pt>
                <c:pt idx="54">
                  <c:v>3.3503798672353216E-2</c:v>
                </c:pt>
                <c:pt idx="55">
                  <c:v>-0.11283788774021261</c:v>
                </c:pt>
                <c:pt idx="56">
                  <c:v>0.20062320619610161</c:v>
                </c:pt>
                <c:pt idx="57">
                  <c:v>7.1114162841666995E-3</c:v>
                </c:pt>
                <c:pt idx="58">
                  <c:v>0.24201797230490954</c:v>
                </c:pt>
                <c:pt idx="59">
                  <c:v>9.6280768757716517E-2</c:v>
                </c:pt>
                <c:pt idx="60">
                  <c:v>-1.106661086002439E-2</c:v>
                </c:pt>
                <c:pt idx="61">
                  <c:v>-0.10502346830433672</c:v>
                </c:pt>
                <c:pt idx="62">
                  <c:v>9.628342260646397E-2</c:v>
                </c:pt>
                <c:pt idx="63">
                  <c:v>0.16713096526113153</c:v>
                </c:pt>
                <c:pt idx="64">
                  <c:v>7.6331264424417289E-2</c:v>
                </c:pt>
                <c:pt idx="65">
                  <c:v>1.3835980883887794E-2</c:v>
                </c:pt>
                <c:pt idx="66">
                  <c:v>0.15671177310158638</c:v>
                </c:pt>
                <c:pt idx="67">
                  <c:v>0.11403671458851669</c:v>
                </c:pt>
                <c:pt idx="68">
                  <c:v>7.3591457555467213E-2</c:v>
                </c:pt>
                <c:pt idx="69">
                  <c:v>0.1208565021288536</c:v>
                </c:pt>
                <c:pt idx="70">
                  <c:v>0.14335797858279406</c:v>
                </c:pt>
                <c:pt idx="71">
                  <c:v>0.15253204389456507</c:v>
                </c:pt>
                <c:pt idx="72">
                  <c:v>9.8274808089916149E-2</c:v>
                </c:pt>
                <c:pt idx="73">
                  <c:v>1.3240494796287167E-2</c:v>
                </c:pt>
                <c:pt idx="74">
                  <c:v>-1.468460168292746E-2</c:v>
                </c:pt>
                <c:pt idx="75">
                  <c:v>-3.1840382057895827E-2</c:v>
                </c:pt>
                <c:pt idx="76">
                  <c:v>-9.8705308184048046E-3</c:v>
                </c:pt>
                <c:pt idx="77">
                  <c:v>3.2089224019881735E-2</c:v>
                </c:pt>
                <c:pt idx="78">
                  <c:v>3.8387065131254172E-2</c:v>
                </c:pt>
                <c:pt idx="79">
                  <c:v>0.17802787540539936</c:v>
                </c:pt>
                <c:pt idx="80">
                  <c:v>0.1686297104896195</c:v>
                </c:pt>
                <c:pt idx="81">
                  <c:v>0.1202768883062804</c:v>
                </c:pt>
                <c:pt idx="82">
                  <c:v>-1.5913893105939839E-2</c:v>
                </c:pt>
                <c:pt idx="83">
                  <c:v>-6.1205486226490496E-2</c:v>
                </c:pt>
                <c:pt idx="84">
                  <c:v>-5.1530991389979852E-2</c:v>
                </c:pt>
                <c:pt idx="85">
                  <c:v>3.9287603537756968E-2</c:v>
                </c:pt>
                <c:pt idx="86">
                  <c:v>4.5924288387019188E-2</c:v>
                </c:pt>
                <c:pt idx="87">
                  <c:v>5.990613344189627E-3</c:v>
                </c:pt>
                <c:pt idx="88">
                  <c:v>7.7694211583041586E-2</c:v>
                </c:pt>
                <c:pt idx="89">
                  <c:v>-6.2046636221891188E-2</c:v>
                </c:pt>
                <c:pt idx="90">
                  <c:v>0.15130219440034132</c:v>
                </c:pt>
                <c:pt idx="91">
                  <c:v>5.2324244734752806E-2</c:v>
                </c:pt>
                <c:pt idx="92">
                  <c:v>0.11148077605546003</c:v>
                </c:pt>
                <c:pt idx="93">
                  <c:v>0.1318832479949662</c:v>
                </c:pt>
                <c:pt idx="94">
                  <c:v>-4.5692313272529511E-2</c:v>
                </c:pt>
                <c:pt idx="95">
                  <c:v>-4.9173548974239263E-2</c:v>
                </c:pt>
                <c:pt idx="96">
                  <c:v>-0.13514005887324107</c:v>
                </c:pt>
                <c:pt idx="97">
                  <c:v>0.18058775977587088</c:v>
                </c:pt>
                <c:pt idx="98">
                  <c:v>0.12876026688395609</c:v>
                </c:pt>
                <c:pt idx="99">
                  <c:v>8.0124956529614558E-2</c:v>
                </c:pt>
                <c:pt idx="100">
                  <c:v>9.4319237358759106E-2</c:v>
                </c:pt>
                <c:pt idx="101">
                  <c:v>-2.8872685278310717E-2</c:v>
                </c:pt>
                <c:pt idx="102">
                  <c:v>-3.7880532279272933E-2</c:v>
                </c:pt>
                <c:pt idx="103">
                  <c:v>0.18272894686197189</c:v>
                </c:pt>
                <c:pt idx="104">
                  <c:v>-7.1175412286977657E-2</c:v>
                </c:pt>
                <c:pt idx="105">
                  <c:v>-2.1452972309350671E-3</c:v>
                </c:pt>
                <c:pt idx="106">
                  <c:v>0.13076481043347912</c:v>
                </c:pt>
                <c:pt idx="107">
                  <c:v>7.5415570896354839E-2</c:v>
                </c:pt>
                <c:pt idx="108">
                  <c:v>-6.2900690985895014E-2</c:v>
                </c:pt>
                <c:pt idx="109">
                  <c:v>1.5000533008102751E-2</c:v>
                </c:pt>
                <c:pt idx="110">
                  <c:v>6.7830412143685653E-2</c:v>
                </c:pt>
                <c:pt idx="111">
                  <c:v>-0.11095858861429045</c:v>
                </c:pt>
                <c:pt idx="112">
                  <c:v>-5.1157630358052014E-2</c:v>
                </c:pt>
                <c:pt idx="113">
                  <c:v>7.4114358102123856E-2</c:v>
                </c:pt>
                <c:pt idx="114">
                  <c:v>3.7340019779816144E-2</c:v>
                </c:pt>
                <c:pt idx="115">
                  <c:v>7.9073148532600279E-2</c:v>
                </c:pt>
                <c:pt idx="116">
                  <c:v>0.10879512628944205</c:v>
                </c:pt>
                <c:pt idx="117">
                  <c:v>8.3496305778108709E-2</c:v>
                </c:pt>
                <c:pt idx="118">
                  <c:v>-1.3933659318485406E-2</c:v>
                </c:pt>
                <c:pt idx="119">
                  <c:v>-6.6054472923801941E-2</c:v>
                </c:pt>
                <c:pt idx="120">
                  <c:v>9.7367174399916073E-2</c:v>
                </c:pt>
                <c:pt idx="121">
                  <c:v>-8.7608624926451703E-2</c:v>
                </c:pt>
                <c:pt idx="122">
                  <c:v>6.1143763704743795E-2</c:v>
                </c:pt>
                <c:pt idx="123">
                  <c:v>0.11248010655556558</c:v>
                </c:pt>
                <c:pt idx="124">
                  <c:v>-2.3803509228813233E-3</c:v>
                </c:pt>
                <c:pt idx="125">
                  <c:v>3.3549188713624639E-2</c:v>
                </c:pt>
                <c:pt idx="126">
                  <c:v>0.10257845814153935</c:v>
                </c:pt>
                <c:pt idx="127">
                  <c:v>6.3928755494908007E-2</c:v>
                </c:pt>
                <c:pt idx="128">
                  <c:v>2.2207004677601977E-2</c:v>
                </c:pt>
                <c:pt idx="129">
                  <c:v>3.1182740166539699E-2</c:v>
                </c:pt>
                <c:pt idx="130">
                  <c:v>-8.7095783867205345E-2</c:v>
                </c:pt>
                <c:pt idx="131">
                  <c:v>-0.10434233822300429</c:v>
                </c:pt>
                <c:pt idx="132">
                  <c:v>7.8833014673988816E-2</c:v>
                </c:pt>
                <c:pt idx="133">
                  <c:v>-4.2637756213322942E-2</c:v>
                </c:pt>
                <c:pt idx="134">
                  <c:v>2.9186769602586433E-2</c:v>
                </c:pt>
                <c:pt idx="135">
                  <c:v>1.0135306382619808E-2</c:v>
                </c:pt>
                <c:pt idx="136">
                  <c:v>5.9098969273090649E-2</c:v>
                </c:pt>
                <c:pt idx="137">
                  <c:v>-9.3039891791759977E-2</c:v>
                </c:pt>
                <c:pt idx="138">
                  <c:v>2.6815778805301976E-2</c:v>
                </c:pt>
                <c:pt idx="139">
                  <c:v>2.2171089740688793E-2</c:v>
                </c:pt>
                <c:pt idx="140">
                  <c:v>2.539094453413708E-2</c:v>
                </c:pt>
                <c:pt idx="141">
                  <c:v>9.7670093737218841E-2</c:v>
                </c:pt>
                <c:pt idx="142">
                  <c:v>3.3505264929532257E-2</c:v>
                </c:pt>
                <c:pt idx="143">
                  <c:v>6.5553114815306276E-2</c:v>
                </c:pt>
                <c:pt idx="144">
                  <c:v>3.9295184612203743E-2</c:v>
                </c:pt>
                <c:pt idx="145">
                  <c:v>8.8728104284187176E-2</c:v>
                </c:pt>
                <c:pt idx="146">
                  <c:v>3.3771316602750096E-2</c:v>
                </c:pt>
                <c:pt idx="147">
                  <c:v>-9.5107420758133443E-3</c:v>
                </c:pt>
                <c:pt idx="148">
                  <c:v>-4.9352463317544129E-3</c:v>
                </c:pt>
                <c:pt idx="149">
                  <c:v>0.11413741178122766</c:v>
                </c:pt>
                <c:pt idx="150">
                  <c:v>-3.1416334299179116E-3</c:v>
                </c:pt>
                <c:pt idx="151">
                  <c:v>0.11024562983953361</c:v>
                </c:pt>
                <c:pt idx="152">
                  <c:v>-9.4098370515850183E-3</c:v>
                </c:pt>
                <c:pt idx="153">
                  <c:v>-2.8315555171606693E-2</c:v>
                </c:pt>
                <c:pt idx="154">
                  <c:v>0.1345946647385371</c:v>
                </c:pt>
                <c:pt idx="155">
                  <c:v>2.677901749463641E-2</c:v>
                </c:pt>
                <c:pt idx="156">
                  <c:v>4.2407825259699848E-2</c:v>
                </c:pt>
                <c:pt idx="157">
                  <c:v>0.11546808486197931</c:v>
                </c:pt>
                <c:pt idx="158">
                  <c:v>8.9796262874104193E-2</c:v>
                </c:pt>
                <c:pt idx="159">
                  <c:v>7.457359219627549E-3</c:v>
                </c:pt>
                <c:pt idx="160">
                  <c:v>-2.2099960328493963E-2</c:v>
                </c:pt>
                <c:pt idx="161">
                  <c:v>6.1015958621882027E-2</c:v>
                </c:pt>
                <c:pt idx="162">
                  <c:v>4.9823179118743788E-2</c:v>
                </c:pt>
                <c:pt idx="163">
                  <c:v>2.1331879264108525E-2</c:v>
                </c:pt>
                <c:pt idx="164">
                  <c:v>-3.31212942884406E-2</c:v>
                </c:pt>
                <c:pt idx="165">
                  <c:v>4.1150295245205429E-2</c:v>
                </c:pt>
                <c:pt idx="166">
                  <c:v>5.0128870140606477E-2</c:v>
                </c:pt>
                <c:pt idx="167">
                  <c:v>-1.8012455541856209E-4</c:v>
                </c:pt>
                <c:pt idx="168">
                  <c:v>1.2579286704863982E-2</c:v>
                </c:pt>
                <c:pt idx="169">
                  <c:v>-2.5685022148720649E-3</c:v>
                </c:pt>
                <c:pt idx="170">
                  <c:v>6.2717606623260702E-3</c:v>
                </c:pt>
                <c:pt idx="171">
                  <c:v>-3.7805377532278417E-3</c:v>
                </c:pt>
                <c:pt idx="172">
                  <c:v>8.1516599149944372E-2</c:v>
                </c:pt>
                <c:pt idx="173">
                  <c:v>-2.0987072398912454E-2</c:v>
                </c:pt>
                <c:pt idx="174">
                  <c:v>-7.3852711769648333E-2</c:v>
                </c:pt>
                <c:pt idx="175">
                  <c:v>5.0281510800670906E-2</c:v>
                </c:pt>
                <c:pt idx="176">
                  <c:v>-2.7179968220709033E-2</c:v>
                </c:pt>
                <c:pt idx="177">
                  <c:v>5.4369290757655175E-2</c:v>
                </c:pt>
                <c:pt idx="178">
                  <c:v>3.3282352291870571E-2</c:v>
                </c:pt>
                <c:pt idx="179">
                  <c:v>-4.555707066615252E-2</c:v>
                </c:pt>
                <c:pt idx="180">
                  <c:v>5.5344107123770886E-2</c:v>
                </c:pt>
                <c:pt idx="181">
                  <c:v>2.5210824711341253E-2</c:v>
                </c:pt>
                <c:pt idx="182">
                  <c:v>6.182897704543526E-2</c:v>
                </c:pt>
                <c:pt idx="183">
                  <c:v>9.2683577774740358E-2</c:v>
                </c:pt>
                <c:pt idx="184">
                  <c:v>5.6454937346679404E-2</c:v>
                </c:pt>
                <c:pt idx="185">
                  <c:v>2.1425161098728721E-2</c:v>
                </c:pt>
                <c:pt idx="186">
                  <c:v>0.11090826688587141</c:v>
                </c:pt>
                <c:pt idx="187">
                  <c:v>5.4140307125196213E-2</c:v>
                </c:pt>
                <c:pt idx="188">
                  <c:v>8.4863246700971173E-2</c:v>
                </c:pt>
                <c:pt idx="189">
                  <c:v>1.5183732160139607E-2</c:v>
                </c:pt>
                <c:pt idx="190">
                  <c:v>3.9555727828090775E-2</c:v>
                </c:pt>
                <c:pt idx="191">
                  <c:v>-3.5458183026682744E-2</c:v>
                </c:pt>
                <c:pt idx="192">
                  <c:v>2.5948534619875202E-2</c:v>
                </c:pt>
                <c:pt idx="193">
                  <c:v>6.9333335204690663E-2</c:v>
                </c:pt>
                <c:pt idx="194">
                  <c:v>5.8626327271602774E-2</c:v>
                </c:pt>
                <c:pt idx="195">
                  <c:v>-5.9088218185798277E-2</c:v>
                </c:pt>
                <c:pt idx="196">
                  <c:v>4.5594714263648396E-2</c:v>
                </c:pt>
                <c:pt idx="197">
                  <c:v>4.7381963066347267E-2</c:v>
                </c:pt>
                <c:pt idx="198">
                  <c:v>5.0890093625074725E-2</c:v>
                </c:pt>
                <c:pt idx="199">
                  <c:v>1.4805809933137667E-2</c:v>
                </c:pt>
                <c:pt idx="200">
                  <c:v>4.3998641656901274E-2</c:v>
                </c:pt>
                <c:pt idx="201">
                  <c:v>3.6003941806263665E-2</c:v>
                </c:pt>
                <c:pt idx="202">
                  <c:v>5.3598685550303164E-2</c:v>
                </c:pt>
                <c:pt idx="203">
                  <c:v>-3.9754032892933833E-3</c:v>
                </c:pt>
                <c:pt idx="204">
                  <c:v>-3.2910600221884578E-3</c:v>
                </c:pt>
                <c:pt idx="205">
                  <c:v>4.7437683828651933E-2</c:v>
                </c:pt>
                <c:pt idx="206">
                  <c:v>7.8276780058335244E-2</c:v>
                </c:pt>
                <c:pt idx="207">
                  <c:v>3.0986090867130958E-2</c:v>
                </c:pt>
                <c:pt idx="208">
                  <c:v>7.0318653745839232E-2</c:v>
                </c:pt>
                <c:pt idx="209">
                  <c:v>9.3711622306738629E-2</c:v>
                </c:pt>
                <c:pt idx="210">
                  <c:v>9.4904570523330234E-2</c:v>
                </c:pt>
                <c:pt idx="211">
                  <c:v>6.1424981379387761E-2</c:v>
                </c:pt>
                <c:pt idx="212">
                  <c:v>5.2077197660346561E-2</c:v>
                </c:pt>
                <c:pt idx="213">
                  <c:v>8.88391309655788E-2</c:v>
                </c:pt>
                <c:pt idx="214">
                  <c:v>5.7545081430301313E-2</c:v>
                </c:pt>
                <c:pt idx="215">
                  <c:v>9.247548109992676E-4</c:v>
                </c:pt>
                <c:pt idx="216">
                  <c:v>3.4463073653597673E-2</c:v>
                </c:pt>
                <c:pt idx="217">
                  <c:v>-4.4534646304208413E-2</c:v>
                </c:pt>
                <c:pt idx="218">
                  <c:v>6.3919921044994721E-2</c:v>
                </c:pt>
                <c:pt idx="219">
                  <c:v>7.9055755829784538E-2</c:v>
                </c:pt>
                <c:pt idx="220">
                  <c:v>5.5168221526215977E-2</c:v>
                </c:pt>
                <c:pt idx="221">
                  <c:v>3.3420456131464521E-2</c:v>
                </c:pt>
                <c:pt idx="222">
                  <c:v>6.4525189542642331E-2</c:v>
                </c:pt>
                <c:pt idx="223">
                  <c:v>2.3988746348481249E-2</c:v>
                </c:pt>
                <c:pt idx="224">
                  <c:v>9.1030172429458434E-2</c:v>
                </c:pt>
                <c:pt idx="225">
                  <c:v>4.7755654213032107E-2</c:v>
                </c:pt>
                <c:pt idx="226">
                  <c:v>4.4285570801308918E-2</c:v>
                </c:pt>
                <c:pt idx="227">
                  <c:v>5.556680716073864E-2</c:v>
                </c:pt>
                <c:pt idx="228">
                  <c:v>-3.9846240365821808E-3</c:v>
                </c:pt>
                <c:pt idx="229">
                  <c:v>1.1928522350129101E-2</c:v>
                </c:pt>
                <c:pt idx="230">
                  <c:v>4.1447956558391612E-2</c:v>
                </c:pt>
                <c:pt idx="231">
                  <c:v>5.0998375717022093E-3</c:v>
                </c:pt>
                <c:pt idx="232">
                  <c:v>6.3247359920444002E-2</c:v>
                </c:pt>
                <c:pt idx="233">
                  <c:v>9.4085941420028477E-2</c:v>
                </c:pt>
                <c:pt idx="234">
                  <c:v>7.6805451382958093E-3</c:v>
                </c:pt>
                <c:pt idx="235">
                  <c:v>3.5709358958796039E-2</c:v>
                </c:pt>
                <c:pt idx="236">
                  <c:v>-3.9309576250731344E-2</c:v>
                </c:pt>
                <c:pt idx="237">
                  <c:v>3.1679178446761005E-2</c:v>
                </c:pt>
                <c:pt idx="238">
                  <c:v>4.5905842389388177E-2</c:v>
                </c:pt>
                <c:pt idx="239">
                  <c:v>4.1521333790077775E-2</c:v>
                </c:pt>
                <c:pt idx="240">
                  <c:v>6.82486829774544E-2</c:v>
                </c:pt>
                <c:pt idx="241">
                  <c:v>3.2792987190035885E-2</c:v>
                </c:pt>
                <c:pt idx="242">
                  <c:v>1.8609769563824707E-2</c:v>
                </c:pt>
                <c:pt idx="243">
                  <c:v>6.8926244454301414E-2</c:v>
                </c:pt>
                <c:pt idx="244">
                  <c:v>-1.0159138477440113E-2</c:v>
                </c:pt>
                <c:pt idx="245">
                  <c:v>7.4537664917008056E-2</c:v>
                </c:pt>
                <c:pt idx="246">
                  <c:v>6.5895941202889413E-2</c:v>
                </c:pt>
                <c:pt idx="247">
                  <c:v>7.2597307942162861E-2</c:v>
                </c:pt>
                <c:pt idx="248">
                  <c:v>2.282305889166595E-2</c:v>
                </c:pt>
                <c:pt idx="249">
                  <c:v>7.7480451927119692E-2</c:v>
                </c:pt>
                <c:pt idx="250">
                  <c:v>-2.3109033628466766E-2</c:v>
                </c:pt>
                <c:pt idx="251">
                  <c:v>7.2316839133611172E-2</c:v>
                </c:pt>
                <c:pt idx="252">
                  <c:v>7.5191706852232226E-2</c:v>
                </c:pt>
                <c:pt idx="253">
                  <c:v>7.1641046052829505E-2</c:v>
                </c:pt>
                <c:pt idx="254">
                  <c:v>1.3214925712715722E-2</c:v>
                </c:pt>
                <c:pt idx="255">
                  <c:v>6.5734439703208178E-2</c:v>
                </c:pt>
                <c:pt idx="256">
                  <c:v>7.3965308360738224E-2</c:v>
                </c:pt>
                <c:pt idx="257">
                  <c:v>7.920657114611987E-2</c:v>
                </c:pt>
                <c:pt idx="258">
                  <c:v>5.4198687124117066E-2</c:v>
                </c:pt>
                <c:pt idx="259">
                  <c:v>1.1269878532782773E-2</c:v>
                </c:pt>
                <c:pt idx="260">
                  <c:v>-1.2124645893742785E-2</c:v>
                </c:pt>
                <c:pt idx="261">
                  <c:v>5.1935623970958696E-2</c:v>
                </c:pt>
                <c:pt idx="262">
                  <c:v>4.6458502676629598E-2</c:v>
                </c:pt>
                <c:pt idx="263">
                  <c:v>5.2827070556083155E-2</c:v>
                </c:pt>
                <c:pt idx="264">
                  <c:v>5.9772148823186474E-2</c:v>
                </c:pt>
                <c:pt idx="265">
                  <c:v>7.2161828202998768E-2</c:v>
                </c:pt>
                <c:pt idx="266">
                  <c:v>2.9805981358743558E-2</c:v>
                </c:pt>
                <c:pt idx="267">
                  <c:v>9.0269178294404534E-2</c:v>
                </c:pt>
                <c:pt idx="268">
                  <c:v>9.372796075866964E-2</c:v>
                </c:pt>
                <c:pt idx="269">
                  <c:v>2.2940580297165003E-2</c:v>
                </c:pt>
                <c:pt idx="270">
                  <c:v>7.273070932773204E-2</c:v>
                </c:pt>
                <c:pt idx="271">
                  <c:v>2.963838469036344E-2</c:v>
                </c:pt>
                <c:pt idx="272">
                  <c:v>-2.08889777764701E-2</c:v>
                </c:pt>
                <c:pt idx="273">
                  <c:v>4.3916866777975808E-2</c:v>
                </c:pt>
                <c:pt idx="274">
                  <c:v>2.7285533109711241E-2</c:v>
                </c:pt>
                <c:pt idx="275">
                  <c:v>3.2800371800677929E-2</c:v>
                </c:pt>
                <c:pt idx="276">
                  <c:v>2.2694364451577784E-2</c:v>
                </c:pt>
                <c:pt idx="277">
                  <c:v>5.1384902578919672E-2</c:v>
                </c:pt>
                <c:pt idx="278">
                  <c:v>3.1708759967034948E-2</c:v>
                </c:pt>
                <c:pt idx="279">
                  <c:v>1.7353225581621244E-2</c:v>
                </c:pt>
                <c:pt idx="280">
                  <c:v>7.4704152854579944E-2</c:v>
                </c:pt>
                <c:pt idx="281">
                  <c:v>7.2312104084330683E-2</c:v>
                </c:pt>
                <c:pt idx="282">
                  <c:v>7.0473366407329874E-2</c:v>
                </c:pt>
                <c:pt idx="283">
                  <c:v>6.8715910019899254E-3</c:v>
                </c:pt>
                <c:pt idx="284">
                  <c:v>7.3639691232643176E-2</c:v>
                </c:pt>
                <c:pt idx="285">
                  <c:v>3.0951216095147151E-2</c:v>
                </c:pt>
                <c:pt idx="286">
                  <c:v>2.4940699795726058E-2</c:v>
                </c:pt>
                <c:pt idx="287">
                  <c:v>2.2256711791136599E-2</c:v>
                </c:pt>
                <c:pt idx="288">
                  <c:v>6.6565252497406108E-2</c:v>
                </c:pt>
                <c:pt idx="289">
                  <c:v>5.2580319544571819E-2</c:v>
                </c:pt>
                <c:pt idx="290">
                  <c:v>7.8842414270819242E-2</c:v>
                </c:pt>
                <c:pt idx="291">
                  <c:v>8.4974202796802303E-2</c:v>
                </c:pt>
                <c:pt idx="292">
                  <c:v>6.495883452279258E-2</c:v>
                </c:pt>
                <c:pt idx="293">
                  <c:v>2.9627660321780446E-2</c:v>
                </c:pt>
                <c:pt idx="294">
                  <c:v>1.5794188886379047E-2</c:v>
                </c:pt>
                <c:pt idx="295">
                  <c:v>5.3463570282992763E-2</c:v>
                </c:pt>
                <c:pt idx="296">
                  <c:v>4.471077707891942E-2</c:v>
                </c:pt>
                <c:pt idx="297">
                  <c:v>1.2785136708051335E-2</c:v>
                </c:pt>
                <c:pt idx="298">
                  <c:v>5.6866488999243008E-2</c:v>
                </c:pt>
                <c:pt idx="299">
                  <c:v>4.2108128350378721E-2</c:v>
                </c:pt>
                <c:pt idx="300">
                  <c:v>1.2448156538872858E-2</c:v>
                </c:pt>
                <c:pt idx="301">
                  <c:v>3.8974125929453277E-2</c:v>
                </c:pt>
                <c:pt idx="302">
                  <c:v>7.8203650493444521E-2</c:v>
                </c:pt>
                <c:pt idx="303">
                  <c:v>1.9627280172758679E-2</c:v>
                </c:pt>
                <c:pt idx="304">
                  <c:v>2.6275548313535853E-2</c:v>
                </c:pt>
                <c:pt idx="305">
                  <c:v>7.5249838506553757E-2</c:v>
                </c:pt>
                <c:pt idx="306">
                  <c:v>4.8705095485837555E-2</c:v>
                </c:pt>
                <c:pt idx="307">
                  <c:v>4.5924845541409236E-2</c:v>
                </c:pt>
                <c:pt idx="308">
                  <c:v>3.1920271789179069E-2</c:v>
                </c:pt>
                <c:pt idx="309">
                  <c:v>7.0477154166445427E-2</c:v>
                </c:pt>
                <c:pt idx="310">
                  <c:v>-2.4204728356046135E-2</c:v>
                </c:pt>
                <c:pt idx="311">
                  <c:v>6.8960622397100921E-2</c:v>
                </c:pt>
                <c:pt idx="312">
                  <c:v>4.3105910253270395E-2</c:v>
                </c:pt>
                <c:pt idx="313">
                  <c:v>-1.188923877921276E-2</c:v>
                </c:pt>
                <c:pt idx="314">
                  <c:v>8.2665301553584675E-2</c:v>
                </c:pt>
                <c:pt idx="315">
                  <c:v>7.911524149389923E-2</c:v>
                </c:pt>
                <c:pt idx="316">
                  <c:v>8.2420121257261517E-2</c:v>
                </c:pt>
                <c:pt idx="317">
                  <c:v>4.86276748281151E-2</c:v>
                </c:pt>
                <c:pt idx="318">
                  <c:v>6.1336960081950859E-2</c:v>
                </c:pt>
                <c:pt idx="319">
                  <c:v>3.1331121297388131E-2</c:v>
                </c:pt>
                <c:pt idx="320">
                  <c:v>2.0153947802912756E-2</c:v>
                </c:pt>
                <c:pt idx="321">
                  <c:v>4.4215542444045117E-2</c:v>
                </c:pt>
                <c:pt idx="322">
                  <c:v>6.9699752224738606E-2</c:v>
                </c:pt>
                <c:pt idx="323">
                  <c:v>-2.2317148508630185E-2</c:v>
                </c:pt>
                <c:pt idx="324">
                  <c:v>3.7449140382313978E-2</c:v>
                </c:pt>
                <c:pt idx="325">
                  <c:v>4.9510928427611886E-2</c:v>
                </c:pt>
                <c:pt idx="326">
                  <c:v>-1.464979213746536E-3</c:v>
                </c:pt>
                <c:pt idx="327">
                  <c:v>1.952061198497667E-2</c:v>
                </c:pt>
                <c:pt idx="328">
                  <c:v>3.6667033651447273E-2</c:v>
                </c:pt>
                <c:pt idx="329">
                  <c:v>8.0329582428288221E-2</c:v>
                </c:pt>
                <c:pt idx="330">
                  <c:v>4.2984951708707822E-2</c:v>
                </c:pt>
                <c:pt idx="331">
                  <c:v>2.8944346509446807E-2</c:v>
                </c:pt>
                <c:pt idx="332">
                  <c:v>1.9232953583190084E-2</c:v>
                </c:pt>
                <c:pt idx="333">
                  <c:v>4.5893110182286714E-2</c:v>
                </c:pt>
                <c:pt idx="334">
                  <c:v>-2.1188560834801626E-3</c:v>
                </c:pt>
                <c:pt idx="335">
                  <c:v>7.9929496690352778E-3</c:v>
                </c:pt>
                <c:pt idx="336">
                  <c:v>8.5128861139738797E-3</c:v>
                </c:pt>
                <c:pt idx="337">
                  <c:v>7.1654130523719967E-2</c:v>
                </c:pt>
                <c:pt idx="338">
                  <c:v>-8.4379903997950333E-3</c:v>
                </c:pt>
                <c:pt idx="339">
                  <c:v>-1.7462241143856617E-2</c:v>
                </c:pt>
                <c:pt idx="340">
                  <c:v>5.4051047224257139E-2</c:v>
                </c:pt>
                <c:pt idx="341">
                  <c:v>7.6817690214529638E-2</c:v>
                </c:pt>
                <c:pt idx="342">
                  <c:v>9.8280944326710612E-3</c:v>
                </c:pt>
                <c:pt idx="343">
                  <c:v>3.734619094516306E-2</c:v>
                </c:pt>
                <c:pt idx="344">
                  <c:v>6.8910890246747333E-2</c:v>
                </c:pt>
                <c:pt idx="345">
                  <c:v>2.8662492413731085E-2</c:v>
                </c:pt>
                <c:pt idx="346">
                  <c:v>1.0270413501964393E-2</c:v>
                </c:pt>
                <c:pt idx="347">
                  <c:v>2.6315132478080101E-2</c:v>
                </c:pt>
                <c:pt idx="348">
                  <c:v>4.9405603782637003E-2</c:v>
                </c:pt>
                <c:pt idx="349">
                  <c:v>6.4771629989714002E-3</c:v>
                </c:pt>
                <c:pt idx="350">
                  <c:v>4.1820813321853112E-3</c:v>
                </c:pt>
                <c:pt idx="351">
                  <c:v>6.2579653723086909E-2</c:v>
                </c:pt>
                <c:pt idx="352">
                  <c:v>2.8111068183395392E-2</c:v>
                </c:pt>
                <c:pt idx="353">
                  <c:v>1.6468794086126011E-2</c:v>
                </c:pt>
                <c:pt idx="354">
                  <c:v>4.9690714552223472E-2</c:v>
                </c:pt>
                <c:pt idx="355">
                  <c:v>5.4665654378116761E-2</c:v>
                </c:pt>
                <c:pt idx="356">
                  <c:v>4.1522714145581716E-2</c:v>
                </c:pt>
                <c:pt idx="357">
                  <c:v>2.4979343829008561E-2</c:v>
                </c:pt>
                <c:pt idx="358">
                  <c:v>6.5692987167196765E-2</c:v>
                </c:pt>
                <c:pt idx="359">
                  <c:v>3.597412177464189E-2</c:v>
                </c:pt>
                <c:pt idx="360">
                  <c:v>3.1180410986525266E-2</c:v>
                </c:pt>
                <c:pt idx="361">
                  <c:v>8.9691159352162254E-3</c:v>
                </c:pt>
                <c:pt idx="362">
                  <c:v>5.9576771790693019E-2</c:v>
                </c:pt>
                <c:pt idx="363">
                  <c:v>7.043122687265306E-2</c:v>
                </c:pt>
                <c:pt idx="364">
                  <c:v>2.0853044312070249E-2</c:v>
                </c:pt>
                <c:pt idx="365">
                  <c:v>6.1430932178714787E-2</c:v>
                </c:pt>
                <c:pt idx="366">
                  <c:v>5.730710314892367E-2</c:v>
                </c:pt>
                <c:pt idx="367">
                  <c:v>2.5936463343687426E-2</c:v>
                </c:pt>
                <c:pt idx="368">
                  <c:v>6.7057460465056548E-2</c:v>
                </c:pt>
                <c:pt idx="369">
                  <c:v>6.240924018738566E-2</c:v>
                </c:pt>
                <c:pt idx="370">
                  <c:v>7.4945303399764157E-2</c:v>
                </c:pt>
                <c:pt idx="371">
                  <c:v>4.4518926755932831E-2</c:v>
                </c:pt>
                <c:pt idx="372">
                  <c:v>6.0303822651907632E-2</c:v>
                </c:pt>
                <c:pt idx="373">
                  <c:v>3.8614422733690902E-2</c:v>
                </c:pt>
                <c:pt idx="374">
                  <c:v>4.093095724312866E-2</c:v>
                </c:pt>
                <c:pt idx="375">
                  <c:v>3.7516838204646338E-2</c:v>
                </c:pt>
                <c:pt idx="376">
                  <c:v>3.520838607569516E-2</c:v>
                </c:pt>
                <c:pt idx="377">
                  <c:v>2.6917827895674491E-2</c:v>
                </c:pt>
                <c:pt idx="378">
                  <c:v>5.249037891105679E-2</c:v>
                </c:pt>
                <c:pt idx="379">
                  <c:v>2.4036953569400554E-2</c:v>
                </c:pt>
                <c:pt idx="380">
                  <c:v>-2.9765364448561954E-3</c:v>
                </c:pt>
                <c:pt idx="381">
                  <c:v>6.4517583274806764E-2</c:v>
                </c:pt>
                <c:pt idx="382">
                  <c:v>6.7320300327209717E-2</c:v>
                </c:pt>
                <c:pt idx="383">
                  <c:v>7.4573393013974545E-2</c:v>
                </c:pt>
                <c:pt idx="384">
                  <c:v>3.2145902409491077E-2</c:v>
                </c:pt>
                <c:pt idx="385">
                  <c:v>4.6850642534076455E-2</c:v>
                </c:pt>
                <c:pt idx="386">
                  <c:v>3.1593460108232885E-2</c:v>
                </c:pt>
                <c:pt idx="387">
                  <c:v>4.3160050862710922E-2</c:v>
                </c:pt>
                <c:pt idx="388">
                  <c:v>1.3085242028747654E-2</c:v>
                </c:pt>
                <c:pt idx="389">
                  <c:v>5.272985186811692E-2</c:v>
                </c:pt>
                <c:pt idx="390">
                  <c:v>3.3610738989778337E-2</c:v>
                </c:pt>
                <c:pt idx="391">
                  <c:v>5.7316182615648116E-2</c:v>
                </c:pt>
                <c:pt idx="392">
                  <c:v>6.8102204970931723E-2</c:v>
                </c:pt>
                <c:pt idx="393">
                  <c:v>1.9130597957009849E-2</c:v>
                </c:pt>
                <c:pt idx="394">
                  <c:v>4.111594990791291E-2</c:v>
                </c:pt>
                <c:pt idx="395">
                  <c:v>1.8487534985297711E-2</c:v>
                </c:pt>
                <c:pt idx="396">
                  <c:v>5.1719800671412089E-2</c:v>
                </c:pt>
                <c:pt idx="397">
                  <c:v>1.8883014464613351E-2</c:v>
                </c:pt>
                <c:pt idx="398">
                  <c:v>6.3370683767838429E-2</c:v>
                </c:pt>
                <c:pt idx="399">
                  <c:v>4.6217735527076531E-2</c:v>
                </c:pt>
                <c:pt idx="400">
                  <c:v>7.5363055247524222E-3</c:v>
                </c:pt>
                <c:pt idx="401">
                  <c:v>1.0861236793608092E-2</c:v>
                </c:pt>
                <c:pt idx="402">
                  <c:v>5.7556913403208884E-2</c:v>
                </c:pt>
                <c:pt idx="403">
                  <c:v>3.8131124994364655E-2</c:v>
                </c:pt>
                <c:pt idx="404">
                  <c:v>8.2587631036158127E-3</c:v>
                </c:pt>
                <c:pt idx="405">
                  <c:v>3.122810591455322E-2</c:v>
                </c:pt>
                <c:pt idx="406">
                  <c:v>6.3443196251019726E-2</c:v>
                </c:pt>
                <c:pt idx="407">
                  <c:v>4.1616751459089552E-2</c:v>
                </c:pt>
                <c:pt idx="408">
                  <c:v>3.8170432290018458E-2</c:v>
                </c:pt>
                <c:pt idx="409">
                  <c:v>-1.2320697458756379E-2</c:v>
                </c:pt>
                <c:pt idx="410">
                  <c:v>3.3235060431891492E-2</c:v>
                </c:pt>
                <c:pt idx="411">
                  <c:v>4.0116274085302432E-2</c:v>
                </c:pt>
                <c:pt idx="412">
                  <c:v>1.4241376606640356E-2</c:v>
                </c:pt>
                <c:pt idx="413">
                  <c:v>3.510450072007211E-2</c:v>
                </c:pt>
                <c:pt idx="414">
                  <c:v>5.6299920741799153E-2</c:v>
                </c:pt>
                <c:pt idx="415">
                  <c:v>4.0222651597291721E-2</c:v>
                </c:pt>
                <c:pt idx="416">
                  <c:v>3.5825370655356278E-2</c:v>
                </c:pt>
                <c:pt idx="417">
                  <c:v>1.2122831240798528E-2</c:v>
                </c:pt>
                <c:pt idx="418">
                  <c:v>2.6189395137700494E-2</c:v>
                </c:pt>
                <c:pt idx="419">
                  <c:v>6.5988674385480686E-2</c:v>
                </c:pt>
                <c:pt idx="420">
                  <c:v>4.4408486648605625E-2</c:v>
                </c:pt>
                <c:pt idx="421">
                  <c:v>6.67371294032294E-2</c:v>
                </c:pt>
                <c:pt idx="422">
                  <c:v>3.9933000644185618E-2</c:v>
                </c:pt>
                <c:pt idx="423">
                  <c:v>6.4956032317805154E-2</c:v>
                </c:pt>
                <c:pt idx="424">
                  <c:v>4.4565797630263096E-2</c:v>
                </c:pt>
                <c:pt idx="425">
                  <c:v>3.1966188854351291E-2</c:v>
                </c:pt>
                <c:pt idx="426">
                  <c:v>5.1417614189872424E-2</c:v>
                </c:pt>
                <c:pt idx="427">
                  <c:v>5.8287823240129176E-2</c:v>
                </c:pt>
                <c:pt idx="428">
                  <c:v>4.2952338719544465E-2</c:v>
                </c:pt>
                <c:pt idx="429">
                  <c:v>3.1511992019074869E-2</c:v>
                </c:pt>
                <c:pt idx="430">
                  <c:v>3.8623920368518361E-2</c:v>
                </c:pt>
                <c:pt idx="431">
                  <c:v>1.2379097667716742E-2</c:v>
                </c:pt>
                <c:pt idx="432">
                  <c:v>3.4640975219015276E-2</c:v>
                </c:pt>
                <c:pt idx="433">
                  <c:v>3.2416120435704104E-2</c:v>
                </c:pt>
                <c:pt idx="434">
                  <c:v>3.2900618924299865E-2</c:v>
                </c:pt>
                <c:pt idx="435">
                  <c:v>4.9194500506653346E-2</c:v>
                </c:pt>
                <c:pt idx="436">
                  <c:v>5.60371855195212E-2</c:v>
                </c:pt>
                <c:pt idx="437">
                  <c:v>6.6327276495261753E-2</c:v>
                </c:pt>
                <c:pt idx="438">
                  <c:v>3.5843702577238602E-2</c:v>
                </c:pt>
                <c:pt idx="439">
                  <c:v>2.4974489425543086E-2</c:v>
                </c:pt>
                <c:pt idx="440">
                  <c:v>3.5491899600538487E-2</c:v>
                </c:pt>
                <c:pt idx="441">
                  <c:v>4.2183053726353318E-3</c:v>
                </c:pt>
                <c:pt idx="442">
                  <c:v>-3.466965382202418E-3</c:v>
                </c:pt>
                <c:pt idx="443">
                  <c:v>3.9831679142202939E-2</c:v>
                </c:pt>
                <c:pt idx="444">
                  <c:v>6.205034529284699E-2</c:v>
                </c:pt>
                <c:pt idx="445">
                  <c:v>5.2361536137033544E-2</c:v>
                </c:pt>
                <c:pt idx="446">
                  <c:v>6.4248761572417379E-2</c:v>
                </c:pt>
                <c:pt idx="447">
                  <c:v>3.7572365574971539E-2</c:v>
                </c:pt>
                <c:pt idx="448">
                  <c:v>5.4325113306975925E-2</c:v>
                </c:pt>
                <c:pt idx="449">
                  <c:v>3.1324942189520116E-2</c:v>
                </c:pt>
                <c:pt idx="450">
                  <c:v>4.5585200249974617E-2</c:v>
                </c:pt>
                <c:pt idx="451">
                  <c:v>5.4545214151955887E-2</c:v>
                </c:pt>
                <c:pt idx="452">
                  <c:v>6.4763057414428324E-2</c:v>
                </c:pt>
                <c:pt idx="453">
                  <c:v>5.2487771978332647E-2</c:v>
                </c:pt>
                <c:pt idx="454">
                  <c:v>1.9940435503286585E-2</c:v>
                </c:pt>
                <c:pt idx="455">
                  <c:v>1.6511339127458585E-2</c:v>
                </c:pt>
                <c:pt idx="456">
                  <c:v>5.9356516458606047E-2</c:v>
                </c:pt>
                <c:pt idx="457">
                  <c:v>5.0593090283185704E-2</c:v>
                </c:pt>
                <c:pt idx="458">
                  <c:v>1.9687970777953357E-2</c:v>
                </c:pt>
                <c:pt idx="459">
                  <c:v>5.6441498682578486E-2</c:v>
                </c:pt>
                <c:pt idx="460">
                  <c:v>6.1215061369168065E-2</c:v>
                </c:pt>
                <c:pt idx="461">
                  <c:v>2.5833573874356721E-2</c:v>
                </c:pt>
                <c:pt idx="462">
                  <c:v>2.7467200428364869E-2</c:v>
                </c:pt>
                <c:pt idx="463">
                  <c:v>2.8909350100462632E-3</c:v>
                </c:pt>
                <c:pt idx="464">
                  <c:v>3.0629797240546073E-2</c:v>
                </c:pt>
                <c:pt idx="465">
                  <c:v>4.4107747222538629E-2</c:v>
                </c:pt>
                <c:pt idx="466">
                  <c:v>5.3265571502441697E-2</c:v>
                </c:pt>
                <c:pt idx="467">
                  <c:v>1.1680211783038071E-2</c:v>
                </c:pt>
                <c:pt idx="468">
                  <c:v>3.9486812625995356E-2</c:v>
                </c:pt>
                <c:pt idx="469">
                  <c:v>4.840181040635453E-2</c:v>
                </c:pt>
                <c:pt idx="470">
                  <c:v>4.1933349953100406E-2</c:v>
                </c:pt>
                <c:pt idx="471">
                  <c:v>1.8183039653748595E-2</c:v>
                </c:pt>
                <c:pt idx="472">
                  <c:v>2.4286305744169102E-2</c:v>
                </c:pt>
                <c:pt idx="473">
                  <c:v>4.3613978884377638E-2</c:v>
                </c:pt>
                <c:pt idx="474">
                  <c:v>3.1134325328200867E-2</c:v>
                </c:pt>
                <c:pt idx="475">
                  <c:v>3.797738550449474E-2</c:v>
                </c:pt>
                <c:pt idx="476">
                  <c:v>5.0676364791547149E-2</c:v>
                </c:pt>
                <c:pt idx="477">
                  <c:v>4.2536378732597496E-2</c:v>
                </c:pt>
                <c:pt idx="478">
                  <c:v>5.7509170286561641E-2</c:v>
                </c:pt>
                <c:pt idx="479">
                  <c:v>5.0668739120876036E-2</c:v>
                </c:pt>
                <c:pt idx="480">
                  <c:v>6.0843049230810367E-2</c:v>
                </c:pt>
                <c:pt idx="481">
                  <c:v>3.6641555414898656E-2</c:v>
                </c:pt>
                <c:pt idx="482">
                  <c:v>2.8080743309857846E-3</c:v>
                </c:pt>
                <c:pt idx="483">
                  <c:v>2.4519661021846235E-2</c:v>
                </c:pt>
                <c:pt idx="484">
                  <c:v>2.1899683345786611E-2</c:v>
                </c:pt>
                <c:pt idx="485">
                  <c:v>5.5874532207839472E-2</c:v>
                </c:pt>
                <c:pt idx="486">
                  <c:v>3.59162919585191E-2</c:v>
                </c:pt>
                <c:pt idx="487">
                  <c:v>3.0187075708502868E-2</c:v>
                </c:pt>
                <c:pt idx="488">
                  <c:v>3.8196895137831151E-2</c:v>
                </c:pt>
                <c:pt idx="489">
                  <c:v>5.3834749624150982E-2</c:v>
                </c:pt>
                <c:pt idx="490">
                  <c:v>3.8206598417224763E-2</c:v>
                </c:pt>
                <c:pt idx="491">
                  <c:v>1.889316464372344E-2</c:v>
                </c:pt>
                <c:pt idx="492">
                  <c:v>5.2526546496757635E-2</c:v>
                </c:pt>
                <c:pt idx="493">
                  <c:v>3.8573423699628615E-2</c:v>
                </c:pt>
                <c:pt idx="494">
                  <c:v>5.2060503379080345E-2</c:v>
                </c:pt>
                <c:pt idx="495">
                  <c:v>1.3804239241633307E-2</c:v>
                </c:pt>
                <c:pt idx="496">
                  <c:v>5.7716080167015085E-2</c:v>
                </c:pt>
                <c:pt idx="497">
                  <c:v>2.9163688947009454E-2</c:v>
                </c:pt>
                <c:pt idx="498">
                  <c:v>4.379772836180363E-2</c:v>
                </c:pt>
                <c:pt idx="499">
                  <c:v>4.2813636310549005E-2</c:v>
                </c:pt>
                <c:pt idx="500">
                  <c:v>-5.7211186556388478E-3</c:v>
                </c:pt>
                <c:pt idx="501">
                  <c:v>2.1417697961356719E-2</c:v>
                </c:pt>
                <c:pt idx="502">
                  <c:v>3.4060618428357857E-2</c:v>
                </c:pt>
                <c:pt idx="503">
                  <c:v>4.1188650659762849E-2</c:v>
                </c:pt>
                <c:pt idx="504">
                  <c:v>5.1181541412716275E-2</c:v>
                </c:pt>
                <c:pt idx="505">
                  <c:v>3.5694617698178804E-2</c:v>
                </c:pt>
                <c:pt idx="506">
                  <c:v>6.1465955202800883E-2</c:v>
                </c:pt>
                <c:pt idx="507">
                  <c:v>6.0808816585835222E-2</c:v>
                </c:pt>
                <c:pt idx="508">
                  <c:v>3.0437564668462321E-2</c:v>
                </c:pt>
                <c:pt idx="509">
                  <c:v>1.9754992975314533E-2</c:v>
                </c:pt>
                <c:pt idx="510">
                  <c:v>2.7085430430484399E-2</c:v>
                </c:pt>
                <c:pt idx="511">
                  <c:v>4.9850097342477473E-2</c:v>
                </c:pt>
                <c:pt idx="512">
                  <c:v>4.5309734641343302E-2</c:v>
                </c:pt>
                <c:pt idx="513">
                  <c:v>4.271790070138861E-2</c:v>
                </c:pt>
                <c:pt idx="514">
                  <c:v>2.8414334952291714E-2</c:v>
                </c:pt>
                <c:pt idx="515">
                  <c:v>4.2500873474154419E-2</c:v>
                </c:pt>
                <c:pt idx="516">
                  <c:v>5.9432030230535518E-2</c:v>
                </c:pt>
                <c:pt idx="517">
                  <c:v>2.143199078418228E-2</c:v>
                </c:pt>
                <c:pt idx="518">
                  <c:v>4.7336144449990764E-2</c:v>
                </c:pt>
                <c:pt idx="519">
                  <c:v>5.752959956182447E-2</c:v>
                </c:pt>
                <c:pt idx="520">
                  <c:v>5.5165144776046407E-2</c:v>
                </c:pt>
                <c:pt idx="521">
                  <c:v>2.8417799226745814E-2</c:v>
                </c:pt>
                <c:pt idx="522">
                  <c:v>2.2853889167964141E-2</c:v>
                </c:pt>
                <c:pt idx="523">
                  <c:v>5.3493822373628055E-2</c:v>
                </c:pt>
                <c:pt idx="524">
                  <c:v>3.0895319362271197E-2</c:v>
                </c:pt>
                <c:pt idx="525">
                  <c:v>5.5532441092156708E-2</c:v>
                </c:pt>
                <c:pt idx="526">
                  <c:v>2.9570521623472176E-2</c:v>
                </c:pt>
                <c:pt idx="527">
                  <c:v>1.8805410392214953E-3</c:v>
                </c:pt>
                <c:pt idx="528">
                  <c:v>3.2997071397154701E-2</c:v>
                </c:pt>
                <c:pt idx="529">
                  <c:v>1.664114177465071E-2</c:v>
                </c:pt>
                <c:pt idx="530">
                  <c:v>2.9131937668480403E-2</c:v>
                </c:pt>
                <c:pt idx="531">
                  <c:v>1.7574699086785588E-3</c:v>
                </c:pt>
                <c:pt idx="532">
                  <c:v>4.5456860467291069E-2</c:v>
                </c:pt>
                <c:pt idx="533">
                  <c:v>2.0797910939398291E-2</c:v>
                </c:pt>
                <c:pt idx="534">
                  <c:v>4.698970827927574E-2</c:v>
                </c:pt>
                <c:pt idx="535">
                  <c:v>4.3925201201403259E-2</c:v>
                </c:pt>
                <c:pt idx="536">
                  <c:v>4.082816322068486E-2</c:v>
                </c:pt>
                <c:pt idx="537">
                  <c:v>5.3848970037558966E-2</c:v>
                </c:pt>
                <c:pt idx="538">
                  <c:v>2.5494284407936663E-2</c:v>
                </c:pt>
                <c:pt idx="539">
                  <c:v>1.4066050299689214E-2</c:v>
                </c:pt>
                <c:pt idx="540">
                  <c:v>3.5901808515832932E-2</c:v>
                </c:pt>
                <c:pt idx="541">
                  <c:v>4.1844494443758082E-2</c:v>
                </c:pt>
                <c:pt idx="542">
                  <c:v>4.5513601626085941E-2</c:v>
                </c:pt>
                <c:pt idx="543">
                  <c:v>2.2082654779535592E-2</c:v>
                </c:pt>
                <c:pt idx="544">
                  <c:v>4.7854175829566463E-2</c:v>
                </c:pt>
                <c:pt idx="545">
                  <c:v>4.7169867000705606E-2</c:v>
                </c:pt>
                <c:pt idx="546">
                  <c:v>3.5842017416341215E-2</c:v>
                </c:pt>
                <c:pt idx="547">
                  <c:v>1.8628743786317563E-2</c:v>
                </c:pt>
                <c:pt idx="548">
                  <c:v>1.6285557471422081E-2</c:v>
                </c:pt>
                <c:pt idx="549">
                  <c:v>4.1990133750309119E-2</c:v>
                </c:pt>
                <c:pt idx="550">
                  <c:v>4.6449985764660626E-2</c:v>
                </c:pt>
                <c:pt idx="551">
                  <c:v>3.3891959001407207E-2</c:v>
                </c:pt>
                <c:pt idx="552">
                  <c:v>2.7397270505354832E-2</c:v>
                </c:pt>
                <c:pt idx="553">
                  <c:v>5.2354104811941957E-2</c:v>
                </c:pt>
                <c:pt idx="554">
                  <c:v>4.526094440045831E-2</c:v>
                </c:pt>
                <c:pt idx="555">
                  <c:v>3.3860971809427688E-2</c:v>
                </c:pt>
                <c:pt idx="556">
                  <c:v>4.6291679381070559E-2</c:v>
                </c:pt>
                <c:pt idx="557">
                  <c:v>4.1620346713904299E-2</c:v>
                </c:pt>
                <c:pt idx="558">
                  <c:v>2.8257551920632208E-2</c:v>
                </c:pt>
                <c:pt idx="559">
                  <c:v>2.7479744738123733E-2</c:v>
                </c:pt>
                <c:pt idx="560">
                  <c:v>4.5813757698658863E-2</c:v>
                </c:pt>
                <c:pt idx="561">
                  <c:v>4.2311981452886088E-2</c:v>
                </c:pt>
                <c:pt idx="562">
                  <c:v>2.8676685243626453E-2</c:v>
                </c:pt>
                <c:pt idx="563">
                  <c:v>3.0032333284089517E-2</c:v>
                </c:pt>
                <c:pt idx="564">
                  <c:v>5.3295075064421236E-2</c:v>
                </c:pt>
                <c:pt idx="565">
                  <c:v>4.8541244478897329E-2</c:v>
                </c:pt>
                <c:pt idx="566">
                  <c:v>3.947387182845645E-2</c:v>
                </c:pt>
                <c:pt idx="567">
                  <c:v>5.1460379099543305E-2</c:v>
                </c:pt>
                <c:pt idx="568">
                  <c:v>3.7523820947636885E-2</c:v>
                </c:pt>
                <c:pt idx="569">
                  <c:v>5.2977432547892105E-2</c:v>
                </c:pt>
                <c:pt idx="570">
                  <c:v>5.0837184052467552E-2</c:v>
                </c:pt>
                <c:pt idx="571">
                  <c:v>3.2889378096418054E-3</c:v>
                </c:pt>
                <c:pt idx="572">
                  <c:v>3.3133543289018255E-2</c:v>
                </c:pt>
                <c:pt idx="573">
                  <c:v>3.5019612978577523E-2</c:v>
                </c:pt>
                <c:pt idx="574">
                  <c:v>3.6780254066288535E-2</c:v>
                </c:pt>
                <c:pt idx="575">
                  <c:v>3.7882536738665573E-3</c:v>
                </c:pt>
                <c:pt idx="576">
                  <c:v>4.7644248831098163E-2</c:v>
                </c:pt>
                <c:pt idx="577">
                  <c:v>5.4123027954617355E-2</c:v>
                </c:pt>
                <c:pt idx="578">
                  <c:v>4.4004829825539674E-2</c:v>
                </c:pt>
                <c:pt idx="579">
                  <c:v>2.6504759703230251E-2</c:v>
                </c:pt>
                <c:pt idx="580">
                  <c:v>9.6605420576127993E-3</c:v>
                </c:pt>
                <c:pt idx="581">
                  <c:v>4.7257024052579782E-2</c:v>
                </c:pt>
                <c:pt idx="582">
                  <c:v>4.9007746272056729E-2</c:v>
                </c:pt>
                <c:pt idx="583">
                  <c:v>3.9784082588280284E-2</c:v>
                </c:pt>
                <c:pt idx="584">
                  <c:v>5.6857001284733928E-2</c:v>
                </c:pt>
                <c:pt idx="585">
                  <c:v>4.0998433888572369E-2</c:v>
                </c:pt>
                <c:pt idx="586">
                  <c:v>5.2961033992886278E-2</c:v>
                </c:pt>
                <c:pt idx="587">
                  <c:v>5.388212477083279E-2</c:v>
                </c:pt>
                <c:pt idx="588">
                  <c:v>3.7753653398355493E-2</c:v>
                </c:pt>
                <c:pt idx="589">
                  <c:v>1.1424628507334072E-3</c:v>
                </c:pt>
                <c:pt idx="590">
                  <c:v>3.003895834648547E-2</c:v>
                </c:pt>
                <c:pt idx="591">
                  <c:v>5.0452079952470842E-2</c:v>
                </c:pt>
                <c:pt idx="592">
                  <c:v>2.820221611454992E-2</c:v>
                </c:pt>
                <c:pt idx="593">
                  <c:v>3.8613801627943575E-2</c:v>
                </c:pt>
                <c:pt idx="594">
                  <c:v>3.0734663816747824E-2</c:v>
                </c:pt>
                <c:pt idx="595">
                  <c:v>3.5756548395328186E-2</c:v>
                </c:pt>
                <c:pt idx="596">
                  <c:v>2.9653058419451556E-2</c:v>
                </c:pt>
                <c:pt idx="597">
                  <c:v>2.3785466500117015E-2</c:v>
                </c:pt>
                <c:pt idx="598">
                  <c:v>5.2347201617334083E-2</c:v>
                </c:pt>
                <c:pt idx="599">
                  <c:v>3.2158102307259309E-2</c:v>
                </c:pt>
                <c:pt idx="600">
                  <c:v>4.2848865951966797E-2</c:v>
                </c:pt>
                <c:pt idx="601">
                  <c:v>3.297036533389619E-2</c:v>
                </c:pt>
                <c:pt idx="602">
                  <c:v>4.4556035284148664E-2</c:v>
                </c:pt>
                <c:pt idx="603">
                  <c:v>2.2748037118405035E-2</c:v>
                </c:pt>
                <c:pt idx="604">
                  <c:v>3.8591557755303769E-2</c:v>
                </c:pt>
                <c:pt idx="605">
                  <c:v>1.5896187551985439E-2</c:v>
                </c:pt>
                <c:pt idx="606">
                  <c:v>3.905609225040807E-2</c:v>
                </c:pt>
                <c:pt idx="607">
                  <c:v>4.6593517847359746E-2</c:v>
                </c:pt>
                <c:pt idx="608">
                  <c:v>3.9875588839125675E-2</c:v>
                </c:pt>
                <c:pt idx="609">
                  <c:v>4.5467265499884002E-2</c:v>
                </c:pt>
                <c:pt idx="610">
                  <c:v>4.5941192419189883E-2</c:v>
                </c:pt>
                <c:pt idx="611">
                  <c:v>2.6662610228638674E-2</c:v>
                </c:pt>
                <c:pt idx="612">
                  <c:v>4.3615977625862612E-2</c:v>
                </c:pt>
                <c:pt idx="613">
                  <c:v>4.465413699284581E-2</c:v>
                </c:pt>
                <c:pt idx="614">
                  <c:v>4.8343098227933756E-2</c:v>
                </c:pt>
                <c:pt idx="615">
                  <c:v>1.2765875667634622E-2</c:v>
                </c:pt>
                <c:pt idx="616">
                  <c:v>4.2466696407230609E-2</c:v>
                </c:pt>
                <c:pt idx="617">
                  <c:v>3.5956607908298743E-2</c:v>
                </c:pt>
                <c:pt idx="618">
                  <c:v>3.577165812581426E-2</c:v>
                </c:pt>
                <c:pt idx="619">
                  <c:v>4.2169276369512065E-2</c:v>
                </c:pt>
                <c:pt idx="620">
                  <c:v>2.0677697031627716E-2</c:v>
                </c:pt>
                <c:pt idx="621">
                  <c:v>3.4455204699929472E-2</c:v>
                </c:pt>
                <c:pt idx="622">
                  <c:v>2.9152399881480308E-2</c:v>
                </c:pt>
                <c:pt idx="623">
                  <c:v>3.7815092076955006E-2</c:v>
                </c:pt>
                <c:pt idx="624">
                  <c:v>6.9615319796024321E-3</c:v>
                </c:pt>
                <c:pt idx="625">
                  <c:v>3.5338155232122054E-2</c:v>
                </c:pt>
                <c:pt idx="626">
                  <c:v>3.6812268421399404E-2</c:v>
                </c:pt>
                <c:pt idx="627">
                  <c:v>4.7504409648915613E-2</c:v>
                </c:pt>
                <c:pt idx="628">
                  <c:v>4.5305507388800459E-2</c:v>
                </c:pt>
                <c:pt idx="629">
                  <c:v>3.5152434079169452E-2</c:v>
                </c:pt>
                <c:pt idx="630">
                  <c:v>3.7561844664013189E-2</c:v>
                </c:pt>
                <c:pt idx="631">
                  <c:v>3.5528158882884298E-2</c:v>
                </c:pt>
                <c:pt idx="632">
                  <c:v>2.8207527359230041E-2</c:v>
                </c:pt>
                <c:pt idx="633">
                  <c:v>2.5998103257466879E-2</c:v>
                </c:pt>
                <c:pt idx="634">
                  <c:v>2.2771736452874395E-2</c:v>
                </c:pt>
                <c:pt idx="635">
                  <c:v>4.3172861972578733E-2</c:v>
                </c:pt>
                <c:pt idx="636">
                  <c:v>4.4876684779431977E-2</c:v>
                </c:pt>
                <c:pt idx="637">
                  <c:v>4.9698370502822262E-2</c:v>
                </c:pt>
                <c:pt idx="638">
                  <c:v>2.6378686297815163E-2</c:v>
                </c:pt>
                <c:pt idx="639">
                  <c:v>2.4765553393026458E-2</c:v>
                </c:pt>
                <c:pt idx="640">
                  <c:v>3.6713058867000312E-2</c:v>
                </c:pt>
                <c:pt idx="641">
                  <c:v>1.3415608386710035E-2</c:v>
                </c:pt>
                <c:pt idx="642">
                  <c:v>4.757724098733393E-2</c:v>
                </c:pt>
                <c:pt idx="643">
                  <c:v>3.2044491714824958E-2</c:v>
                </c:pt>
                <c:pt idx="644">
                  <c:v>3.8640179287626988E-2</c:v>
                </c:pt>
                <c:pt idx="645">
                  <c:v>4.7341574736902092E-2</c:v>
                </c:pt>
                <c:pt idx="646">
                  <c:v>4.5439149583447969E-2</c:v>
                </c:pt>
                <c:pt idx="647">
                  <c:v>4.0626318663769548E-2</c:v>
                </c:pt>
                <c:pt idx="648">
                  <c:v>2.9281318488995237E-2</c:v>
                </c:pt>
                <c:pt idx="649">
                  <c:v>4.4060389433669925E-2</c:v>
                </c:pt>
                <c:pt idx="650">
                  <c:v>4.5822145142158342E-2</c:v>
                </c:pt>
                <c:pt idx="651">
                  <c:v>3.2637362146769593E-2</c:v>
                </c:pt>
                <c:pt idx="652">
                  <c:v>3.802224388102713E-2</c:v>
                </c:pt>
                <c:pt idx="653">
                  <c:v>3.1477028599608964E-2</c:v>
                </c:pt>
                <c:pt idx="654">
                  <c:v>3.5508873106873479E-2</c:v>
                </c:pt>
                <c:pt idx="655">
                  <c:v>4.093250020379776E-2</c:v>
                </c:pt>
                <c:pt idx="656">
                  <c:v>4.918844464546384E-2</c:v>
                </c:pt>
                <c:pt idx="657">
                  <c:v>3.4632728619347394E-2</c:v>
                </c:pt>
                <c:pt idx="658">
                  <c:v>4.8657696866662895E-2</c:v>
                </c:pt>
                <c:pt idx="659">
                  <c:v>5.0500840969297953E-2</c:v>
                </c:pt>
                <c:pt idx="660">
                  <c:v>4.2341222103664568E-2</c:v>
                </c:pt>
                <c:pt idx="661">
                  <c:v>2.7407763566369914E-2</c:v>
                </c:pt>
                <c:pt idx="662">
                  <c:v>3.4878933663059747E-2</c:v>
                </c:pt>
                <c:pt idx="663">
                  <c:v>4.1686251855691817E-2</c:v>
                </c:pt>
                <c:pt idx="664">
                  <c:v>2.7903621839889561E-2</c:v>
                </c:pt>
                <c:pt idx="665">
                  <c:v>2.0219125911660196E-2</c:v>
                </c:pt>
                <c:pt idx="666">
                  <c:v>2.4975384072998728E-2</c:v>
                </c:pt>
                <c:pt idx="667">
                  <c:v>4.9330887671165988E-2</c:v>
                </c:pt>
                <c:pt idx="668">
                  <c:v>3.7353673392758531E-2</c:v>
                </c:pt>
                <c:pt idx="669">
                  <c:v>4.5548222705732971E-2</c:v>
                </c:pt>
                <c:pt idx="670">
                  <c:v>4.4086942183477723E-2</c:v>
                </c:pt>
                <c:pt idx="671">
                  <c:v>3.2957385284077989E-2</c:v>
                </c:pt>
                <c:pt idx="672">
                  <c:v>4.4840140298739048E-2</c:v>
                </c:pt>
                <c:pt idx="673">
                  <c:v>3.7737799533851445E-2</c:v>
                </c:pt>
                <c:pt idx="674">
                  <c:v>4.048176425151543E-2</c:v>
                </c:pt>
                <c:pt idx="675">
                  <c:v>3.7513485544430084E-2</c:v>
                </c:pt>
                <c:pt idx="676">
                  <c:v>2.026618437047395E-2</c:v>
                </c:pt>
                <c:pt idx="677">
                  <c:v>4.8630152579039611E-2</c:v>
                </c:pt>
                <c:pt idx="678">
                  <c:v>4.277883097918668E-2</c:v>
                </c:pt>
                <c:pt idx="679">
                  <c:v>4.5758823373342562E-2</c:v>
                </c:pt>
                <c:pt idx="680">
                  <c:v>4.8044870612007642E-2</c:v>
                </c:pt>
                <c:pt idx="681">
                  <c:v>2.9719664604777467E-2</c:v>
                </c:pt>
                <c:pt idx="682">
                  <c:v>3.4332539213287862E-2</c:v>
                </c:pt>
                <c:pt idx="683">
                  <c:v>4.0553503655221076E-2</c:v>
                </c:pt>
                <c:pt idx="684">
                  <c:v>2.0101628482645979E-2</c:v>
                </c:pt>
                <c:pt idx="685">
                  <c:v>3.0888918452458683E-2</c:v>
                </c:pt>
                <c:pt idx="686">
                  <c:v>2.4805264831853833E-2</c:v>
                </c:pt>
                <c:pt idx="687">
                  <c:v>4.234461851354681E-2</c:v>
                </c:pt>
                <c:pt idx="688">
                  <c:v>4.1831675336562173E-2</c:v>
                </c:pt>
                <c:pt idx="689">
                  <c:v>2.6787800356088017E-2</c:v>
                </c:pt>
                <c:pt idx="690">
                  <c:v>4.689882576783333E-2</c:v>
                </c:pt>
                <c:pt idx="691">
                  <c:v>3.9791199173310504E-2</c:v>
                </c:pt>
                <c:pt idx="692">
                  <c:v>4.8657043131866258E-2</c:v>
                </c:pt>
                <c:pt idx="693">
                  <c:v>4.4714912522092795E-2</c:v>
                </c:pt>
                <c:pt idx="694">
                  <c:v>2.6448313975651297E-2</c:v>
                </c:pt>
                <c:pt idx="695">
                  <c:v>4.6415296969170086E-2</c:v>
                </c:pt>
                <c:pt idx="696">
                  <c:v>3.7505882474166717E-2</c:v>
                </c:pt>
                <c:pt idx="697">
                  <c:v>2.7000372078621035E-2</c:v>
                </c:pt>
                <c:pt idx="698">
                  <c:v>3.1768975171109153E-2</c:v>
                </c:pt>
                <c:pt idx="699">
                  <c:v>2.4733224003775426E-2</c:v>
                </c:pt>
                <c:pt idx="700">
                  <c:v>4.0554370908852194E-2</c:v>
                </c:pt>
                <c:pt idx="701">
                  <c:v>3.516095394808632E-2</c:v>
                </c:pt>
                <c:pt idx="702">
                  <c:v>3.3319179423618853E-2</c:v>
                </c:pt>
                <c:pt idx="703">
                  <c:v>1.957537179597494E-2</c:v>
                </c:pt>
                <c:pt idx="704">
                  <c:v>4.7839615644830975E-2</c:v>
                </c:pt>
                <c:pt idx="705">
                  <c:v>4.1806963486767788E-2</c:v>
                </c:pt>
                <c:pt idx="706">
                  <c:v>3.0502112061754544E-2</c:v>
                </c:pt>
                <c:pt idx="707">
                  <c:v>3.8418450227733283E-2</c:v>
                </c:pt>
                <c:pt idx="708">
                  <c:v>4.1814711095268076E-2</c:v>
                </c:pt>
                <c:pt idx="709">
                  <c:v>4.4729610865891223E-2</c:v>
                </c:pt>
                <c:pt idx="710">
                  <c:v>3.593267122447466E-2</c:v>
                </c:pt>
                <c:pt idx="711">
                  <c:v>4.226279203041395E-2</c:v>
                </c:pt>
                <c:pt idx="712">
                  <c:v>3.9054744902136646E-2</c:v>
                </c:pt>
                <c:pt idx="713">
                  <c:v>3.2108074220525695E-2</c:v>
                </c:pt>
                <c:pt idx="714">
                  <c:v>2.7480018330804414E-2</c:v>
                </c:pt>
                <c:pt idx="715">
                  <c:v>4.7545736623035004E-2</c:v>
                </c:pt>
                <c:pt idx="716">
                  <c:v>3.3969317985630451E-2</c:v>
                </c:pt>
                <c:pt idx="717">
                  <c:v>3.8199165231000629E-2</c:v>
                </c:pt>
                <c:pt idx="718">
                  <c:v>4.4068613195342568E-2</c:v>
                </c:pt>
                <c:pt idx="719">
                  <c:v>2.7135583026264926E-2</c:v>
                </c:pt>
                <c:pt idx="720">
                  <c:v>3.6663913026889185E-2</c:v>
                </c:pt>
                <c:pt idx="721">
                  <c:v>3.5944636284969238E-2</c:v>
                </c:pt>
                <c:pt idx="722">
                  <c:v>3.1419559103292159E-2</c:v>
                </c:pt>
                <c:pt idx="723">
                  <c:v>4.417520480392105E-2</c:v>
                </c:pt>
                <c:pt idx="724">
                  <c:v>4.6148158631039903E-2</c:v>
                </c:pt>
                <c:pt idx="725">
                  <c:v>2.4172391537394672E-2</c:v>
                </c:pt>
                <c:pt idx="726">
                  <c:v>3.9444193908143604E-2</c:v>
                </c:pt>
                <c:pt idx="727">
                  <c:v>3.3568119947745015E-2</c:v>
                </c:pt>
                <c:pt idx="728">
                  <c:v>3.2168096705200405E-2</c:v>
                </c:pt>
                <c:pt idx="729">
                  <c:v>4.0051663812230041E-2</c:v>
                </c:pt>
                <c:pt idx="730">
                  <c:v>4.7745130873677155E-2</c:v>
                </c:pt>
                <c:pt idx="731">
                  <c:v>3.7680402050936014E-2</c:v>
                </c:pt>
                <c:pt idx="732">
                  <c:v>4.3792638636724716E-2</c:v>
                </c:pt>
                <c:pt idx="733">
                  <c:v>3.676626662012198E-2</c:v>
                </c:pt>
                <c:pt idx="734">
                  <c:v>4.017113515846156E-2</c:v>
                </c:pt>
                <c:pt idx="735">
                  <c:v>2.0265379336672995E-2</c:v>
                </c:pt>
                <c:pt idx="736">
                  <c:v>3.0271638269832892E-2</c:v>
                </c:pt>
                <c:pt idx="737">
                  <c:v>3.1636968873885445E-2</c:v>
                </c:pt>
                <c:pt idx="738">
                  <c:v>3.5647211023717859E-2</c:v>
                </c:pt>
                <c:pt idx="739">
                  <c:v>3.0069618433895832E-2</c:v>
                </c:pt>
                <c:pt idx="740">
                  <c:v>3.6328619489976226E-2</c:v>
                </c:pt>
                <c:pt idx="741">
                  <c:v>3.9485635318542642E-2</c:v>
                </c:pt>
                <c:pt idx="742">
                  <c:v>2.9468063713669907E-2</c:v>
                </c:pt>
                <c:pt idx="743">
                  <c:v>3.6870029010671636E-2</c:v>
                </c:pt>
                <c:pt idx="744">
                  <c:v>4.4093267834111563E-2</c:v>
                </c:pt>
                <c:pt idx="745">
                  <c:v>3.9361072719536733E-2</c:v>
                </c:pt>
                <c:pt idx="746">
                  <c:v>2.9418289255071998E-2</c:v>
                </c:pt>
                <c:pt idx="747">
                  <c:v>3.6012619919970665E-2</c:v>
                </c:pt>
                <c:pt idx="748">
                  <c:v>4.4702870091828932E-2</c:v>
                </c:pt>
                <c:pt idx="749">
                  <c:v>4.5579759763691906E-2</c:v>
                </c:pt>
                <c:pt idx="750">
                  <c:v>3.2194970472275541E-2</c:v>
                </c:pt>
                <c:pt idx="751">
                  <c:v>4.6575259091630024E-2</c:v>
                </c:pt>
                <c:pt idx="752">
                  <c:v>3.2373775236529054E-2</c:v>
                </c:pt>
                <c:pt idx="753">
                  <c:v>2.9140075291340606E-2</c:v>
                </c:pt>
                <c:pt idx="754">
                  <c:v>3.3227597416591488E-2</c:v>
                </c:pt>
                <c:pt idx="755">
                  <c:v>4.4914984798175059E-2</c:v>
                </c:pt>
                <c:pt idx="756">
                  <c:v>4.1741020121553951E-2</c:v>
                </c:pt>
                <c:pt idx="757">
                  <c:v>3.8990225964159367E-2</c:v>
                </c:pt>
                <c:pt idx="758">
                  <c:v>1.9731085573820945E-2</c:v>
                </c:pt>
                <c:pt idx="759">
                  <c:v>4.6403365526992549E-2</c:v>
                </c:pt>
                <c:pt idx="760">
                  <c:v>4.4922574227383862E-2</c:v>
                </c:pt>
                <c:pt idx="761">
                  <c:v>4.141356490056413E-2</c:v>
                </c:pt>
                <c:pt idx="762">
                  <c:v>3.9652944185162575E-2</c:v>
                </c:pt>
                <c:pt idx="763">
                  <c:v>3.0292979720756341E-2</c:v>
                </c:pt>
                <c:pt idx="764">
                  <c:v>3.7552353718618002E-2</c:v>
                </c:pt>
                <c:pt idx="765">
                  <c:v>2.7449988954878012E-2</c:v>
                </c:pt>
                <c:pt idx="766">
                  <c:v>3.7267062860036247E-2</c:v>
                </c:pt>
                <c:pt idx="767">
                  <c:v>1.9530093838247921E-2</c:v>
                </c:pt>
                <c:pt idx="768">
                  <c:v>3.9964242565426904E-2</c:v>
                </c:pt>
                <c:pt idx="769">
                  <c:v>3.9256490741126415E-2</c:v>
                </c:pt>
                <c:pt idx="770">
                  <c:v>4.4837269710336553E-2</c:v>
                </c:pt>
                <c:pt idx="771">
                  <c:v>3.1453684870044435E-2</c:v>
                </c:pt>
                <c:pt idx="772">
                  <c:v>3.7888359847341228E-2</c:v>
                </c:pt>
                <c:pt idx="773">
                  <c:v>2.8901026930267082E-2</c:v>
                </c:pt>
                <c:pt idx="774">
                  <c:v>4.0107654854391328E-2</c:v>
                </c:pt>
                <c:pt idx="775">
                  <c:v>4.6035800555763222E-2</c:v>
                </c:pt>
                <c:pt idx="776">
                  <c:v>3.5623623132617022E-2</c:v>
                </c:pt>
                <c:pt idx="777">
                  <c:v>4.4472006988548425E-2</c:v>
                </c:pt>
                <c:pt idx="778">
                  <c:v>4.7194645450655638E-2</c:v>
                </c:pt>
                <c:pt idx="779">
                  <c:v>2.6255378606998107E-2</c:v>
                </c:pt>
                <c:pt idx="780">
                  <c:v>4.1164189496799564E-2</c:v>
                </c:pt>
                <c:pt idx="781">
                  <c:v>4.1897584633791979E-2</c:v>
                </c:pt>
                <c:pt idx="782">
                  <c:v>4.5536139062909396E-2</c:v>
                </c:pt>
                <c:pt idx="783">
                  <c:v>4.2667532020304419E-2</c:v>
                </c:pt>
                <c:pt idx="784">
                  <c:v>3.8295500904038743E-2</c:v>
                </c:pt>
                <c:pt idx="785">
                  <c:v>2.969271221587207E-2</c:v>
                </c:pt>
                <c:pt idx="786">
                  <c:v>2.4445089861086618E-2</c:v>
                </c:pt>
                <c:pt idx="787">
                  <c:v>4.1675322244025224E-2</c:v>
                </c:pt>
                <c:pt idx="788">
                  <c:v>3.4797547279746099E-2</c:v>
                </c:pt>
                <c:pt idx="789">
                  <c:v>3.2318786583165393E-2</c:v>
                </c:pt>
                <c:pt idx="790">
                  <c:v>3.8548519133510796E-2</c:v>
                </c:pt>
                <c:pt idx="791">
                  <c:v>3.9317243345624558E-2</c:v>
                </c:pt>
                <c:pt idx="792">
                  <c:v>4.5084271376257146E-2</c:v>
                </c:pt>
                <c:pt idx="793">
                  <c:v>3.499780711690563E-2</c:v>
                </c:pt>
                <c:pt idx="794">
                  <c:v>2.9236268293062976E-2</c:v>
                </c:pt>
                <c:pt idx="795">
                  <c:v>3.8335692449547223E-2</c:v>
                </c:pt>
                <c:pt idx="796">
                  <c:v>4.0506621117148409E-2</c:v>
                </c:pt>
                <c:pt idx="797">
                  <c:v>3.5320360569973029E-2</c:v>
                </c:pt>
                <c:pt idx="798">
                  <c:v>4.3506013932698324E-2</c:v>
                </c:pt>
                <c:pt idx="799">
                  <c:v>2.165475281546388E-2</c:v>
                </c:pt>
                <c:pt idx="800">
                  <c:v>3.7999887251141964E-2</c:v>
                </c:pt>
                <c:pt idx="801">
                  <c:v>3.4285193277204917E-2</c:v>
                </c:pt>
                <c:pt idx="802">
                  <c:v>2.0339200966898185E-2</c:v>
                </c:pt>
                <c:pt idx="803">
                  <c:v>4.2419451195289642E-2</c:v>
                </c:pt>
                <c:pt idx="804">
                  <c:v>3.2776229677926219E-2</c:v>
                </c:pt>
                <c:pt idx="805">
                  <c:v>4.5690797290195637E-2</c:v>
                </c:pt>
                <c:pt idx="806">
                  <c:v>4.3812942182104943E-2</c:v>
                </c:pt>
                <c:pt idx="807">
                  <c:v>3.7601542456272938E-2</c:v>
                </c:pt>
                <c:pt idx="808">
                  <c:v>1.5395236594341598E-2</c:v>
                </c:pt>
                <c:pt idx="809">
                  <c:v>4.2830793503625807E-2</c:v>
                </c:pt>
                <c:pt idx="810">
                  <c:v>4.2573332636810415E-2</c:v>
                </c:pt>
                <c:pt idx="811">
                  <c:v>4.1615471242470455E-2</c:v>
                </c:pt>
                <c:pt idx="812">
                  <c:v>4.1573070743258868E-2</c:v>
                </c:pt>
                <c:pt idx="813">
                  <c:v>2.7667378965033795E-2</c:v>
                </c:pt>
                <c:pt idx="814">
                  <c:v>4.1887649692186425E-2</c:v>
                </c:pt>
                <c:pt idx="815">
                  <c:v>4.0247416603341669E-2</c:v>
                </c:pt>
                <c:pt idx="816">
                  <c:v>4.1513829670846394E-2</c:v>
                </c:pt>
                <c:pt idx="817">
                  <c:v>4.219586105110483E-2</c:v>
                </c:pt>
                <c:pt idx="818">
                  <c:v>4.0668561980244544E-2</c:v>
                </c:pt>
                <c:pt idx="819">
                  <c:v>3.7676440153155105E-2</c:v>
                </c:pt>
                <c:pt idx="820">
                  <c:v>3.067803648987116E-2</c:v>
                </c:pt>
                <c:pt idx="821">
                  <c:v>4.4199931252012416E-2</c:v>
                </c:pt>
                <c:pt idx="822">
                  <c:v>4.2675877263534771E-2</c:v>
                </c:pt>
                <c:pt idx="823">
                  <c:v>4.0208240782404717E-2</c:v>
                </c:pt>
                <c:pt idx="824">
                  <c:v>3.057396939884905E-2</c:v>
                </c:pt>
                <c:pt idx="825">
                  <c:v>2.8323889688873082E-2</c:v>
                </c:pt>
                <c:pt idx="826">
                  <c:v>4.487509893100218E-2</c:v>
                </c:pt>
                <c:pt idx="827">
                  <c:v>3.9621250354197758E-2</c:v>
                </c:pt>
                <c:pt idx="828">
                  <c:v>4.3556582651965853E-2</c:v>
                </c:pt>
                <c:pt idx="829">
                  <c:v>2.1365536602818584E-2</c:v>
                </c:pt>
                <c:pt idx="830">
                  <c:v>1.780219675998089E-2</c:v>
                </c:pt>
                <c:pt idx="831">
                  <c:v>2.1514559029521037E-2</c:v>
                </c:pt>
                <c:pt idx="832">
                  <c:v>3.5463889150988262E-2</c:v>
                </c:pt>
                <c:pt idx="833">
                  <c:v>2.0197303290635397E-2</c:v>
                </c:pt>
                <c:pt idx="834">
                  <c:v>3.9766426958803752E-2</c:v>
                </c:pt>
                <c:pt idx="835">
                  <c:v>2.5585022381350207E-2</c:v>
                </c:pt>
                <c:pt idx="836">
                  <c:v>3.6891279679442647E-2</c:v>
                </c:pt>
                <c:pt idx="837">
                  <c:v>3.221466328784197E-2</c:v>
                </c:pt>
                <c:pt idx="838">
                  <c:v>2.5154434143534545E-2</c:v>
                </c:pt>
                <c:pt idx="839">
                  <c:v>3.8594378115454325E-2</c:v>
                </c:pt>
                <c:pt idx="840">
                  <c:v>3.1556841716433678E-2</c:v>
                </c:pt>
                <c:pt idx="841">
                  <c:v>1.6149413456568937E-2</c:v>
                </c:pt>
                <c:pt idx="842">
                  <c:v>3.3071461984760679E-2</c:v>
                </c:pt>
                <c:pt idx="843">
                  <c:v>2.9664015133990498E-2</c:v>
                </c:pt>
                <c:pt idx="844">
                  <c:v>3.6367192004899823E-2</c:v>
                </c:pt>
                <c:pt idx="845">
                  <c:v>2.2121649603808934E-2</c:v>
                </c:pt>
                <c:pt idx="846">
                  <c:v>3.585041125319989E-2</c:v>
                </c:pt>
                <c:pt idx="847">
                  <c:v>3.6503599814942063E-2</c:v>
                </c:pt>
                <c:pt idx="848">
                  <c:v>3.9078415094455213E-2</c:v>
                </c:pt>
                <c:pt idx="849">
                  <c:v>4.0740489298791496E-2</c:v>
                </c:pt>
                <c:pt idx="850">
                  <c:v>3.7371948822899438E-2</c:v>
                </c:pt>
                <c:pt idx="851">
                  <c:v>3.6721683851825761E-2</c:v>
                </c:pt>
                <c:pt idx="852">
                  <c:v>3.9147838842061855E-2</c:v>
                </c:pt>
                <c:pt idx="853">
                  <c:v>3.4114323919087475E-2</c:v>
                </c:pt>
                <c:pt idx="854">
                  <c:v>3.2311775925729334E-2</c:v>
                </c:pt>
                <c:pt idx="855">
                  <c:v>3.7394144847801715E-2</c:v>
                </c:pt>
                <c:pt idx="856">
                  <c:v>4.2007090707603154E-2</c:v>
                </c:pt>
                <c:pt idx="857">
                  <c:v>2.2787046436065921E-2</c:v>
                </c:pt>
                <c:pt idx="858">
                  <c:v>3.9179762196417334E-2</c:v>
                </c:pt>
                <c:pt idx="859">
                  <c:v>2.7284658872395343E-2</c:v>
                </c:pt>
                <c:pt idx="860">
                  <c:v>3.3301683533346643E-2</c:v>
                </c:pt>
                <c:pt idx="861">
                  <c:v>4.0853569337544388E-2</c:v>
                </c:pt>
                <c:pt idx="862">
                  <c:v>3.7042750097396465E-2</c:v>
                </c:pt>
                <c:pt idx="863">
                  <c:v>2.3547667519916868E-2</c:v>
                </c:pt>
                <c:pt idx="864">
                  <c:v>3.1318191641297795E-2</c:v>
                </c:pt>
                <c:pt idx="865">
                  <c:v>3.1504347648414179E-2</c:v>
                </c:pt>
                <c:pt idx="866">
                  <c:v>4.1830501378802017E-2</c:v>
                </c:pt>
                <c:pt idx="867">
                  <c:v>3.8371544385181124E-2</c:v>
                </c:pt>
                <c:pt idx="868">
                  <c:v>3.5282601070185549E-2</c:v>
                </c:pt>
                <c:pt idx="869">
                  <c:v>3.294145977513907E-2</c:v>
                </c:pt>
                <c:pt idx="870">
                  <c:v>3.5415771480776688E-2</c:v>
                </c:pt>
                <c:pt idx="871">
                  <c:v>4.0299357805220599E-2</c:v>
                </c:pt>
                <c:pt idx="872">
                  <c:v>2.3501393417978973E-2</c:v>
                </c:pt>
                <c:pt idx="873">
                  <c:v>2.3836947718135399E-2</c:v>
                </c:pt>
                <c:pt idx="874">
                  <c:v>2.5792580114461831E-2</c:v>
                </c:pt>
                <c:pt idx="875">
                  <c:v>2.8122668341982186E-2</c:v>
                </c:pt>
                <c:pt idx="876">
                  <c:v>3.3994528402909729E-2</c:v>
                </c:pt>
                <c:pt idx="877">
                  <c:v>3.1710885983762392E-2</c:v>
                </c:pt>
                <c:pt idx="878">
                  <c:v>4.0586400651124864E-2</c:v>
                </c:pt>
                <c:pt idx="879">
                  <c:v>3.4952934857293817E-2</c:v>
                </c:pt>
                <c:pt idx="880">
                  <c:v>3.7388153362576275E-2</c:v>
                </c:pt>
                <c:pt idx="881">
                  <c:v>3.911177274498448E-2</c:v>
                </c:pt>
                <c:pt idx="882">
                  <c:v>2.6100410555209782E-2</c:v>
                </c:pt>
                <c:pt idx="883">
                  <c:v>3.4443755390899868E-2</c:v>
                </c:pt>
                <c:pt idx="884">
                  <c:v>3.6289345540829618E-2</c:v>
                </c:pt>
                <c:pt idx="885">
                  <c:v>2.4921878315966723E-2</c:v>
                </c:pt>
                <c:pt idx="886">
                  <c:v>3.9147507844104833E-2</c:v>
                </c:pt>
                <c:pt idx="887">
                  <c:v>2.7931057662558042E-2</c:v>
                </c:pt>
                <c:pt idx="888">
                  <c:v>3.5959480779722997E-2</c:v>
                </c:pt>
                <c:pt idx="889">
                  <c:v>3.0360396161678856E-2</c:v>
                </c:pt>
                <c:pt idx="890">
                  <c:v>3.7862567141545247E-2</c:v>
                </c:pt>
                <c:pt idx="891">
                  <c:v>2.973638675224613E-2</c:v>
                </c:pt>
                <c:pt idx="892">
                  <c:v>3.1052991700475607E-2</c:v>
                </c:pt>
                <c:pt idx="893">
                  <c:v>3.5131279006541165E-2</c:v>
                </c:pt>
                <c:pt idx="894">
                  <c:v>4.1188340337067052E-2</c:v>
                </c:pt>
                <c:pt idx="895">
                  <c:v>3.7898407510699124E-2</c:v>
                </c:pt>
                <c:pt idx="896">
                  <c:v>3.5890070660811429E-2</c:v>
                </c:pt>
                <c:pt idx="897">
                  <c:v>2.4543066292193622E-2</c:v>
                </c:pt>
                <c:pt idx="898">
                  <c:v>3.7324880541887075E-2</c:v>
                </c:pt>
                <c:pt idx="899">
                  <c:v>2.6537589573254795E-2</c:v>
                </c:pt>
                <c:pt idx="900">
                  <c:v>2.2780806597070762E-2</c:v>
                </c:pt>
                <c:pt idx="901">
                  <c:v>3.5800969779429488E-2</c:v>
                </c:pt>
                <c:pt idx="902">
                  <c:v>3.9127703601676861E-2</c:v>
                </c:pt>
                <c:pt idx="903">
                  <c:v>3.6357559834405459E-2</c:v>
                </c:pt>
                <c:pt idx="904">
                  <c:v>3.9566634671787129E-2</c:v>
                </c:pt>
                <c:pt idx="905">
                  <c:v>3.5382340941208006E-2</c:v>
                </c:pt>
                <c:pt idx="906">
                  <c:v>2.7194365208038841E-2</c:v>
                </c:pt>
                <c:pt idx="907">
                  <c:v>2.9642200501144925E-2</c:v>
                </c:pt>
                <c:pt idx="908">
                  <c:v>4.1455904063553949E-2</c:v>
                </c:pt>
                <c:pt idx="909">
                  <c:v>3.4608551075739041E-2</c:v>
                </c:pt>
                <c:pt idx="910">
                  <c:v>4.0820521844363751E-2</c:v>
                </c:pt>
                <c:pt idx="911">
                  <c:v>3.6894499138735812E-2</c:v>
                </c:pt>
                <c:pt idx="912">
                  <c:v>3.9450615574369449E-2</c:v>
                </c:pt>
                <c:pt idx="913">
                  <c:v>3.0961657551904394E-2</c:v>
                </c:pt>
                <c:pt idx="914">
                  <c:v>3.3042290870137651E-2</c:v>
                </c:pt>
                <c:pt idx="915">
                  <c:v>3.0122524939682017E-2</c:v>
                </c:pt>
                <c:pt idx="916">
                  <c:v>2.9411344022808504E-2</c:v>
                </c:pt>
                <c:pt idx="917">
                  <c:v>3.3260230986640701E-2</c:v>
                </c:pt>
                <c:pt idx="918">
                  <c:v>3.3755265545352929E-2</c:v>
                </c:pt>
                <c:pt idx="919">
                  <c:v>4.0169501548221326E-2</c:v>
                </c:pt>
                <c:pt idx="920">
                  <c:v>2.8394313499912241E-2</c:v>
                </c:pt>
                <c:pt idx="921">
                  <c:v>3.8293856334151437E-2</c:v>
                </c:pt>
                <c:pt idx="922">
                  <c:v>3.8704872934184717E-2</c:v>
                </c:pt>
                <c:pt idx="923">
                  <c:v>3.3049399689993111E-2</c:v>
                </c:pt>
                <c:pt idx="924">
                  <c:v>3.7660417324399877E-2</c:v>
                </c:pt>
                <c:pt idx="925">
                  <c:v>3.3014667523752886E-2</c:v>
                </c:pt>
                <c:pt idx="926">
                  <c:v>2.74586072670817E-2</c:v>
                </c:pt>
                <c:pt idx="927">
                  <c:v>3.9968048867206826E-2</c:v>
                </c:pt>
                <c:pt idx="928">
                  <c:v>3.2361892574883824E-2</c:v>
                </c:pt>
                <c:pt idx="929">
                  <c:v>2.4035149793749822E-2</c:v>
                </c:pt>
                <c:pt idx="930">
                  <c:v>3.9879067402003393E-2</c:v>
                </c:pt>
                <c:pt idx="931">
                  <c:v>3.3966914185138496E-2</c:v>
                </c:pt>
                <c:pt idx="932">
                  <c:v>2.4221348495705654E-2</c:v>
                </c:pt>
                <c:pt idx="933">
                  <c:v>3.7975558822634314E-2</c:v>
                </c:pt>
                <c:pt idx="934">
                  <c:v>3.2265648133884384E-2</c:v>
                </c:pt>
                <c:pt idx="935">
                  <c:v>3.8413194808090814E-2</c:v>
                </c:pt>
                <c:pt idx="936">
                  <c:v>3.3666762304129835E-2</c:v>
                </c:pt>
                <c:pt idx="937">
                  <c:v>3.10093752274226E-2</c:v>
                </c:pt>
                <c:pt idx="938">
                  <c:v>2.3608951656622273E-2</c:v>
                </c:pt>
                <c:pt idx="939">
                  <c:v>3.2677003376284562E-2</c:v>
                </c:pt>
                <c:pt idx="940">
                  <c:v>1.9625955368725783E-2</c:v>
                </c:pt>
                <c:pt idx="941">
                  <c:v>3.8713962185567663E-2</c:v>
                </c:pt>
                <c:pt idx="942">
                  <c:v>3.4465253589828902E-2</c:v>
                </c:pt>
                <c:pt idx="943">
                  <c:v>3.6063328169425542E-2</c:v>
                </c:pt>
                <c:pt idx="944">
                  <c:v>3.3874823927103469E-2</c:v>
                </c:pt>
                <c:pt idx="945">
                  <c:v>3.0757174383678684E-2</c:v>
                </c:pt>
                <c:pt idx="946">
                  <c:v>2.705395301008174E-2</c:v>
                </c:pt>
                <c:pt idx="947">
                  <c:v>3.5165581524743798E-2</c:v>
                </c:pt>
                <c:pt idx="948">
                  <c:v>2.9318684182709227E-2</c:v>
                </c:pt>
                <c:pt idx="949">
                  <c:v>3.2848748720762516E-2</c:v>
                </c:pt>
                <c:pt idx="950">
                  <c:v>3.4770004178441311E-2</c:v>
                </c:pt>
                <c:pt idx="951">
                  <c:v>3.5204952557343634E-2</c:v>
                </c:pt>
                <c:pt idx="952">
                  <c:v>3.1739691788735203E-2</c:v>
                </c:pt>
                <c:pt idx="953">
                  <c:v>3.4696269724900454E-2</c:v>
                </c:pt>
                <c:pt idx="954">
                  <c:v>3.3361910620647584E-2</c:v>
                </c:pt>
                <c:pt idx="955">
                  <c:v>3.6073792380387791E-2</c:v>
                </c:pt>
                <c:pt idx="956">
                  <c:v>3.6854017799824418E-2</c:v>
                </c:pt>
                <c:pt idx="957">
                  <c:v>2.8866420714566087E-2</c:v>
                </c:pt>
                <c:pt idx="958">
                  <c:v>1.9521536957877835E-2</c:v>
                </c:pt>
                <c:pt idx="959">
                  <c:v>3.1687988885278684E-2</c:v>
                </c:pt>
                <c:pt idx="960">
                  <c:v>3.2656579692453822E-2</c:v>
                </c:pt>
                <c:pt idx="961">
                  <c:v>2.5868378879358146E-2</c:v>
                </c:pt>
                <c:pt idx="962">
                  <c:v>3.5305983276465606E-2</c:v>
                </c:pt>
                <c:pt idx="963">
                  <c:v>2.6256239198629509E-2</c:v>
                </c:pt>
                <c:pt idx="964">
                  <c:v>3.1013146950212098E-2</c:v>
                </c:pt>
                <c:pt idx="965">
                  <c:v>2.8329617708814023E-2</c:v>
                </c:pt>
                <c:pt idx="966">
                  <c:v>3.2075386798480855E-2</c:v>
                </c:pt>
                <c:pt idx="967">
                  <c:v>3.4134949531806798E-2</c:v>
                </c:pt>
                <c:pt idx="968">
                  <c:v>3.5459934189243314E-2</c:v>
                </c:pt>
                <c:pt idx="969">
                  <c:v>2.9271723092049361E-2</c:v>
                </c:pt>
                <c:pt idx="970">
                  <c:v>3.5106215800461131E-2</c:v>
                </c:pt>
                <c:pt idx="971">
                  <c:v>3.543498378367059E-2</c:v>
                </c:pt>
                <c:pt idx="972">
                  <c:v>2.3426902141484109E-2</c:v>
                </c:pt>
                <c:pt idx="973">
                  <c:v>2.7485311092443565E-2</c:v>
                </c:pt>
                <c:pt idx="974">
                  <c:v>2.4892340609929835E-2</c:v>
                </c:pt>
                <c:pt idx="975">
                  <c:v>2.7706136539791044E-2</c:v>
                </c:pt>
                <c:pt idx="976">
                  <c:v>3.3064880894161139E-2</c:v>
                </c:pt>
                <c:pt idx="977">
                  <c:v>3.2102261512053261E-2</c:v>
                </c:pt>
                <c:pt idx="978">
                  <c:v>2.8787831403983114E-2</c:v>
                </c:pt>
                <c:pt idx="979">
                  <c:v>2.9153982650783002E-2</c:v>
                </c:pt>
                <c:pt idx="980">
                  <c:v>2.9691354531527971E-2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FC-4A4A-BCA9-0106C8965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9119"/>
        <c:axId val="3514975"/>
      </c:scatterChart>
      <c:valAx>
        <c:axId val="356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aseline="0"/>
                  <a:t>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4975"/>
        <c:crosses val="autoZero"/>
        <c:crossBetween val="midCat"/>
      </c:valAx>
      <c:valAx>
        <c:axId val="351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Expected Return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143050</xdr:colOff>
      <xdr:row>20</xdr:row>
      <xdr:rowOff>29823</xdr:rowOff>
    </xdr:from>
    <xdr:to>
      <xdr:col>38</xdr:col>
      <xdr:colOff>249450</xdr:colOff>
      <xdr:row>47</xdr:row>
      <xdr:rowOff>160487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AF6AB41-52CA-D144-A1F7-EE86E2229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03"/>
  <sheetViews>
    <sheetView tabSelected="1" topLeftCell="S1" zoomScale="89" workbookViewId="0">
      <selection activeCell="AU33" sqref="AU33"/>
    </sheetView>
  </sheetViews>
  <sheetFormatPr baseColWidth="10" defaultColWidth="8.83203125" defaultRowHeight="15" x14ac:dyDescent="0.2"/>
  <cols>
    <col min="1" max="1" width="17.6640625" style="3" bestFit="1" customWidth="1"/>
    <col min="7" max="7" width="6.83203125" style="7" customWidth="1"/>
    <col min="13" max="17" width="8.83203125" style="25"/>
    <col min="18" max="18" width="20" bestFit="1" customWidth="1"/>
    <col min="19" max="19" width="18.1640625" bestFit="1" customWidth="1"/>
    <col min="21" max="24" width="9" bestFit="1" customWidth="1"/>
    <col min="30" max="30" width="9" bestFit="1" customWidth="1"/>
    <col min="31" max="31" width="10" style="9" bestFit="1" customWidth="1"/>
    <col min="32" max="32" width="9.5" style="9" bestFit="1" customWidth="1"/>
    <col min="33" max="37" width="9" bestFit="1" customWidth="1"/>
    <col min="40" max="40" width="10.1640625" bestFit="1" customWidth="1"/>
    <col min="41" max="41" width="9.6640625" bestFit="1" customWidth="1"/>
  </cols>
  <sheetData>
    <row r="1" spans="1:41" ht="16" x14ac:dyDescent="0.2">
      <c r="A1" s="2" t="s">
        <v>2</v>
      </c>
      <c r="B1" s="1" t="s">
        <v>18</v>
      </c>
      <c r="C1" s="1" t="s">
        <v>0</v>
      </c>
      <c r="D1" s="1" t="s">
        <v>19</v>
      </c>
      <c r="E1" s="1" t="s">
        <v>1</v>
      </c>
      <c r="F1" s="1" t="s">
        <v>20</v>
      </c>
      <c r="G1" s="1" t="s">
        <v>7</v>
      </c>
      <c r="H1" s="1" t="s">
        <v>18</v>
      </c>
      <c r="I1" s="1" t="s">
        <v>0</v>
      </c>
      <c r="J1" s="1" t="s">
        <v>19</v>
      </c>
      <c r="K1" s="1" t="s">
        <v>1</v>
      </c>
      <c r="L1" s="1" t="s">
        <v>20</v>
      </c>
      <c r="M1" s="23" t="s">
        <v>18</v>
      </c>
      <c r="N1" s="23" t="s">
        <v>0</v>
      </c>
      <c r="O1" s="23" t="s">
        <v>19</v>
      </c>
      <c r="P1" s="23" t="s">
        <v>1</v>
      </c>
      <c r="Q1" s="23" t="s">
        <v>20</v>
      </c>
      <c r="R1" s="5"/>
      <c r="S1" s="1" t="s">
        <v>18</v>
      </c>
      <c r="T1" s="1" t="s">
        <v>0</v>
      </c>
      <c r="U1" s="1" t="s">
        <v>19</v>
      </c>
      <c r="V1" s="1" t="s">
        <v>1</v>
      </c>
      <c r="W1" s="1" t="s">
        <v>20</v>
      </c>
      <c r="X1" s="4" t="s">
        <v>7</v>
      </c>
      <c r="AA1" s="16"/>
      <c r="AB1" s="16"/>
      <c r="AC1" s="16"/>
    </row>
    <row r="2" spans="1:41" ht="17" x14ac:dyDescent="0.25">
      <c r="A2" s="2">
        <v>42035</v>
      </c>
      <c r="B2">
        <v>7.7859554290771484</v>
      </c>
      <c r="C2">
        <v>75.444908142089844</v>
      </c>
      <c r="D2">
        <v>63.114284515380859</v>
      </c>
      <c r="E2">
        <v>0.46072202920913702</v>
      </c>
      <c r="F2">
        <v>13.57333278656006</v>
      </c>
      <c r="H2" s="19" t="s">
        <v>24</v>
      </c>
      <c r="I2" s="19"/>
      <c r="J2" s="19"/>
      <c r="K2" s="19"/>
      <c r="L2" s="19"/>
      <c r="M2" s="19" t="s">
        <v>21</v>
      </c>
      <c r="N2" s="26"/>
      <c r="O2" s="26"/>
      <c r="P2" s="26"/>
      <c r="Q2" s="26"/>
      <c r="R2" s="11" t="s">
        <v>3</v>
      </c>
      <c r="S2" s="6">
        <f>AVERAGE(H3:H128)</f>
        <v>3.3449274582628738E-2</v>
      </c>
      <c r="T2" s="6">
        <f>AVERAGE(I3:I128)</f>
        <v>2.3550535834462365E-2</v>
      </c>
      <c r="U2" s="6">
        <f>AVERAGE(J3:J128)</f>
        <v>3.066553892993977E-2</v>
      </c>
      <c r="V2" s="6">
        <f>AVERAGE(K3:K128)</f>
        <v>5.7151750402473805E-2</v>
      </c>
      <c r="W2" s="6">
        <f>AVERAGE(L3:L128)</f>
        <v>3.9549846956524692E-2</v>
      </c>
      <c r="X2" s="9">
        <f>AVERAGE(G3:G128)</f>
        <v>1.9265079365079353E-2</v>
      </c>
      <c r="AA2" s="16"/>
      <c r="AB2" s="17"/>
      <c r="AC2" s="16"/>
      <c r="AE2" s="14" t="s">
        <v>14</v>
      </c>
      <c r="AF2" t="s">
        <v>13</v>
      </c>
      <c r="AG2" s="1" t="s">
        <v>18</v>
      </c>
      <c r="AH2" s="1" t="s">
        <v>0</v>
      </c>
      <c r="AI2" s="1" t="s">
        <v>19</v>
      </c>
      <c r="AJ2" s="1" t="s">
        <v>1</v>
      </c>
      <c r="AK2" s="1" t="s">
        <v>20</v>
      </c>
      <c r="AN2" s="9" t="s">
        <v>22</v>
      </c>
      <c r="AO2" s="9" t="s">
        <v>23</v>
      </c>
    </row>
    <row r="3" spans="1:41" x14ac:dyDescent="0.2">
      <c r="A3" s="2">
        <v>42063</v>
      </c>
      <c r="B3">
        <v>9.6582698822021484</v>
      </c>
      <c r="C3">
        <v>78.48614501953125</v>
      </c>
      <c r="D3">
        <v>67.844284057617188</v>
      </c>
      <c r="E3">
        <v>0.5293506383895874</v>
      </c>
      <c r="F3">
        <v>13.55599975585938</v>
      </c>
      <c r="G3" s="10">
        <v>2.0000000000000001E-4</v>
      </c>
      <c r="H3" s="9">
        <f>B3/B2-1</f>
        <v>0.2404733073776304</v>
      </c>
      <c r="I3" s="9">
        <f t="shared" ref="I3:L3" si="0">C3/C2-1</f>
        <v>4.0310697598221701E-2</v>
      </c>
      <c r="J3" s="9">
        <f t="shared" si="0"/>
        <v>7.4943407479865165E-2</v>
      </c>
      <c r="K3" s="9">
        <f t="shared" si="0"/>
        <v>0.14895881861402716</v>
      </c>
      <c r="L3" s="9">
        <f t="shared" si="0"/>
        <v>-1.2769915077778249E-3</v>
      </c>
      <c r="M3" s="24">
        <f>H3-$S$2</f>
        <v>0.20702403279500164</v>
      </c>
      <c r="N3" s="24">
        <f>I3-$T$2</f>
        <v>1.6760161763759336E-2</v>
      </c>
      <c r="O3" s="24">
        <f>J3-$U$2</f>
        <v>4.4277868549925395E-2</v>
      </c>
      <c r="P3" s="24">
        <f>K3-$V$2</f>
        <v>9.180706821155335E-2</v>
      </c>
      <c r="Q3" s="24">
        <f>L3-$W$2</f>
        <v>-4.0826838464302517E-2</v>
      </c>
      <c r="R3" s="11" t="s">
        <v>4</v>
      </c>
      <c r="S3" s="5">
        <f>COUNT(H3:H128)</f>
        <v>126</v>
      </c>
      <c r="T3" s="5">
        <f>COUNT(I3:I128)</f>
        <v>126</v>
      </c>
      <c r="U3" s="5">
        <f>COUNT(J3:J128)</f>
        <v>126</v>
      </c>
      <c r="V3" s="5">
        <f>COUNT(K3:K128)</f>
        <v>126</v>
      </c>
      <c r="W3" s="5">
        <f>COUNT(L3:L128)</f>
        <v>126</v>
      </c>
      <c r="X3">
        <v>126</v>
      </c>
      <c r="AB3" s="9"/>
      <c r="AC3" s="20"/>
      <c r="AD3" s="21"/>
      <c r="AE3" s="22" cm="1">
        <f t="array" aca="1" ref="AE3" ca="1">SQRT(MMULT(MMULT(AG3:AK3,var_covar),TRANSPOSE(AG3:AK3)))</f>
        <v>0.10469105839965893</v>
      </c>
      <c r="AF3" s="22">
        <f ca="1">SUMPRODUCT(AG3:AK3,$S$2:$W$2)</f>
        <v>3.7154875964253285E-2</v>
      </c>
      <c r="AG3" cm="1">
        <f t="array" aca="1" ref="AG3:AK1002" ca="1">_xlfn.LET(_xlpm.Z,_xlfn.NORM.S.INV(_xlfn.RANDARRAY(1000,5)), _xlpm.Z / MMULT(_xlpm.Z, _xlfn.SEQUENCE(5,1,1,0)))</f>
        <v>1.0620332387452476</v>
      </c>
      <c r="AH3">
        <f ca="1"/>
        <v>1.1903462543493863E-2</v>
      </c>
      <c r="AI3">
        <f ca="1"/>
        <v>-0.2166863234130689</v>
      </c>
      <c r="AJ3">
        <f ca="1"/>
        <v>0.13347299680995928</v>
      </c>
      <c r="AK3">
        <f ca="1"/>
        <v>9.2766253143680578E-3</v>
      </c>
      <c r="AN3" s="9">
        <v>2.9286853347959831</v>
      </c>
      <c r="AO3" s="9">
        <v>0.3420037710136119</v>
      </c>
    </row>
    <row r="4" spans="1:41" x14ac:dyDescent="0.2">
      <c r="A4" s="2">
        <v>42094</v>
      </c>
      <c r="B4">
        <v>9.6098365783691406</v>
      </c>
      <c r="C4">
        <v>81.716239929199219</v>
      </c>
      <c r="D4">
        <v>59.527141571044922</v>
      </c>
      <c r="E4">
        <v>0.50416886806488037</v>
      </c>
      <c r="F4">
        <v>12.58466720581055</v>
      </c>
      <c r="G4" s="10">
        <v>2.9999999999999997E-4</v>
      </c>
      <c r="H4" s="9">
        <f t="shared" ref="H4:H67" si="1">B4/B3-1</f>
        <v>-5.0146977071181542E-3</v>
      </c>
      <c r="I4" s="9">
        <f t="shared" ref="I4:I67" si="2">C4/C3-1</f>
        <v>4.1154969566465027E-2</v>
      </c>
      <c r="J4" s="9">
        <f t="shared" ref="J4:J67" si="3">D4/D3-1</f>
        <v>-0.1225916464754625</v>
      </c>
      <c r="K4" s="9">
        <f t="shared" ref="K4:K67" si="4">E4/E3-1</f>
        <v>-4.7571058762328255E-2</v>
      </c>
      <c r="L4" s="9">
        <f t="shared" ref="L4:L67" si="5">F4/F3-1</f>
        <v>-7.1653331922567065E-2</v>
      </c>
      <c r="M4" s="24">
        <f t="shared" ref="M4:M67" si="6">H4-$S$2</f>
        <v>-3.8463972289746892E-2</v>
      </c>
      <c r="N4" s="24">
        <f t="shared" ref="N4:N67" si="7">I4-$T$2</f>
        <v>1.7604433732002663E-2</v>
      </c>
      <c r="O4" s="24">
        <f t="shared" ref="O4:O67" si="8">J4-$U$2</f>
        <v>-0.15325718540540229</v>
      </c>
      <c r="P4" s="24">
        <f t="shared" ref="P4:P67" si="9">K4-$V$2</f>
        <v>-0.10472280916480206</v>
      </c>
      <c r="Q4" s="24">
        <f t="shared" ref="Q4:Q67" si="10">L4-$W$2</f>
        <v>-0.11120317887909176</v>
      </c>
      <c r="R4" s="11" t="s">
        <v>5</v>
      </c>
      <c r="S4" s="6">
        <f>STDEV(H3:H128)</f>
        <v>9.5239316377827732E-2</v>
      </c>
      <c r="T4" s="6">
        <f>STDEV(I3:I128)</f>
        <v>9.8816834481350396E-2</v>
      </c>
      <c r="U4" s="6">
        <f>STDEV(J3:J128)</f>
        <v>0.11884396749347866</v>
      </c>
      <c r="V4" s="6">
        <f>STDEV(K3:K128)</f>
        <v>0.13448457777276462</v>
      </c>
      <c r="W4" s="6">
        <f>STDEV(L3:L128)</f>
        <v>0.17938510491108112</v>
      </c>
      <c r="AB4" s="9"/>
      <c r="AC4" s="20"/>
      <c r="AE4" s="22" cm="1">
        <f t="array" aca="1" ref="AE4" ca="1">SQRT(MMULT(MMULT(AG4:AK4,var_covar),TRANSPOSE(AG4:AK4)))</f>
        <v>0.41280870335114683</v>
      </c>
      <c r="AF4" s="22">
        <f t="shared" ref="AF4:AF67" ca="1" si="11">SUMPRODUCT(AG4:AK4,$S$2:$W$2)</f>
        <v>-3.8511467314762057E-3</v>
      </c>
      <c r="AG4">
        <f ca="1"/>
        <v>1.7822137873073232</v>
      </c>
      <c r="AH4">
        <f ca="1"/>
        <v>2.8633178674907378</v>
      </c>
      <c r="AI4">
        <f ca="1"/>
        <v>-2.0110242421758127</v>
      </c>
      <c r="AJ4">
        <f ca="1"/>
        <v>-0.26042154588158445</v>
      </c>
      <c r="AK4">
        <f ca="1"/>
        <v>-1.3740858667406637</v>
      </c>
      <c r="AN4" s="9">
        <v>2.5761973486945173</v>
      </c>
      <c r="AO4" s="9">
        <v>-0.42295671838741239</v>
      </c>
    </row>
    <row r="5" spans="1:41" ht="17" x14ac:dyDescent="0.2">
      <c r="A5" s="2">
        <v>42124</v>
      </c>
      <c r="B5">
        <v>8.8715839385986328</v>
      </c>
      <c r="C5">
        <v>78.287376403808594</v>
      </c>
      <c r="D5">
        <v>79.5</v>
      </c>
      <c r="E5">
        <v>0.53476113080978394</v>
      </c>
      <c r="F5">
        <v>15.069999694824221</v>
      </c>
      <c r="G5" s="10">
        <v>2.0000000000000001E-4</v>
      </c>
      <c r="H5" s="9">
        <f t="shared" si="1"/>
        <v>-7.6822600857984091E-2</v>
      </c>
      <c r="I5" s="9">
        <f t="shared" si="2"/>
        <v>-4.1960613072278719E-2</v>
      </c>
      <c r="J5" s="9">
        <f t="shared" si="3"/>
        <v>0.33552523944254431</v>
      </c>
      <c r="K5" s="9">
        <f t="shared" si="4"/>
        <v>6.0678603306713264E-2</v>
      </c>
      <c r="L5" s="9">
        <f t="shared" si="5"/>
        <v>0.19748893223542296</v>
      </c>
      <c r="M5" s="24">
        <f t="shared" si="6"/>
        <v>-0.11027187544061283</v>
      </c>
      <c r="N5" s="24">
        <f t="shared" si="7"/>
        <v>-6.551114890674109E-2</v>
      </c>
      <c r="O5" s="24">
        <f t="shared" si="8"/>
        <v>0.30485970051260453</v>
      </c>
      <c r="P5" s="24">
        <f t="shared" si="9"/>
        <v>3.5268529042394581E-3</v>
      </c>
      <c r="Q5" s="24">
        <f t="shared" si="10"/>
        <v>0.15793908527889827</v>
      </c>
      <c r="R5" s="11" t="s">
        <v>6</v>
      </c>
      <c r="S5" s="6">
        <f>S4^2</f>
        <v>9.0705273841159648E-3</v>
      </c>
      <c r="T5" s="6">
        <f t="shared" ref="T5:W5" si="12">T4^2</f>
        <v>9.7647667769146015E-3</v>
      </c>
      <c r="U5" s="6">
        <f t="shared" si="12"/>
        <v>1.4123888609591011E-2</v>
      </c>
      <c r="V5" s="6">
        <f t="shared" si="12"/>
        <v>1.8086101658718778E-2</v>
      </c>
      <c r="W5" s="6">
        <f t="shared" si="12"/>
        <v>3.2179015863959576E-2</v>
      </c>
      <c r="AB5" s="9"/>
      <c r="AC5" s="20"/>
      <c r="AE5" s="22" cm="1">
        <f t="array" aca="1" ref="AE5" ca="1">SQRT(MMULT(MMULT(AG5:AK5,var_covar),TRANSPOSE(AG5:AK5)))</f>
        <v>0.26444814447190013</v>
      </c>
      <c r="AF5" s="22">
        <f t="shared" ca="1" si="11"/>
        <v>4.5044943602897382E-2</v>
      </c>
      <c r="AG5">
        <f ca="1"/>
        <v>-0.89422533493500844</v>
      </c>
      <c r="AH5">
        <f ca="1"/>
        <v>0.20499712701386807</v>
      </c>
      <c r="AI5">
        <f ca="1"/>
        <v>1.5864186315917868</v>
      </c>
      <c r="AJ5">
        <f ca="1"/>
        <v>0.98931657714759891</v>
      </c>
      <c r="AK5">
        <f ca="1"/>
        <v>-0.88650700081824518</v>
      </c>
      <c r="AN5" s="9">
        <v>2.4518890465436423</v>
      </c>
      <c r="AO5" s="9">
        <v>-0.16828693264128708</v>
      </c>
    </row>
    <row r="6" spans="1:41" x14ac:dyDescent="0.2">
      <c r="A6" s="2">
        <v>42155</v>
      </c>
      <c r="B6">
        <v>11.23901271820068</v>
      </c>
      <c r="C6">
        <v>78.704818725585938</v>
      </c>
      <c r="D6">
        <v>89.15142822265625</v>
      </c>
      <c r="E6">
        <v>0.53307509422302246</v>
      </c>
      <c r="F6">
        <v>16.719999313354489</v>
      </c>
      <c r="G6" s="10">
        <v>2.0000000000000001E-4</v>
      </c>
      <c r="H6" s="9">
        <f t="shared" si="1"/>
        <v>0.26685525335580706</v>
      </c>
      <c r="I6" s="9">
        <f t="shared" si="2"/>
        <v>5.3321792216431962E-3</v>
      </c>
      <c r="J6" s="9">
        <f t="shared" si="3"/>
        <v>0.12140161286360063</v>
      </c>
      <c r="K6" s="9">
        <f t="shared" si="4"/>
        <v>-3.1528779666695206E-3</v>
      </c>
      <c r="L6" s="9">
        <f t="shared" si="5"/>
        <v>0.10948902799891624</v>
      </c>
      <c r="M6" s="24">
        <f t="shared" si="6"/>
        <v>0.23340597877317831</v>
      </c>
      <c r="N6" s="24">
        <f t="shared" si="7"/>
        <v>-1.8218356612819168E-2</v>
      </c>
      <c r="O6" s="24">
        <f t="shared" si="8"/>
        <v>9.0736073933660857E-2</v>
      </c>
      <c r="P6" s="24">
        <f t="shared" si="9"/>
        <v>-6.0304628369143326E-2</v>
      </c>
      <c r="Q6" s="24">
        <f t="shared" si="10"/>
        <v>6.9939181042391552E-2</v>
      </c>
      <c r="R6" s="5"/>
      <c r="S6" s="5"/>
      <c r="T6" s="5"/>
      <c r="U6" s="5"/>
      <c r="AB6" s="9"/>
      <c r="AC6" s="20"/>
      <c r="AE6" s="22" cm="1">
        <f t="array" aca="1" ref="AE6" ca="1">SQRT(MMULT(MMULT(AG6:AK6,var_covar),TRANSPOSE(AG6:AK6)))</f>
        <v>0.29244900977780092</v>
      </c>
      <c r="AF6" s="22">
        <f t="shared" ca="1" si="11"/>
        <v>2.6620351426255781E-3</v>
      </c>
      <c r="AG6">
        <f ca="1"/>
        <v>-1.5163562229381966</v>
      </c>
      <c r="AH6">
        <f ca="1"/>
        <v>2.2576319221745145</v>
      </c>
      <c r="AI6">
        <f ca="1"/>
        <v>-0.23187337580860926</v>
      </c>
      <c r="AJ6">
        <f ca="1"/>
        <v>-0.68617190780005199</v>
      </c>
      <c r="AK6">
        <f ca="1"/>
        <v>1.1767695843723436</v>
      </c>
      <c r="AN6" s="9">
        <v>2.3056507317999286</v>
      </c>
      <c r="AO6" s="9">
        <v>0.4306755196999395</v>
      </c>
    </row>
    <row r="7" spans="1:41" x14ac:dyDescent="0.2">
      <c r="A7" s="2">
        <v>42185</v>
      </c>
      <c r="B7">
        <v>10.08983325958252</v>
      </c>
      <c r="C7">
        <v>85.244491577148438</v>
      </c>
      <c r="D7">
        <v>93.84857177734375</v>
      </c>
      <c r="E7">
        <v>0.48665875196456909</v>
      </c>
      <c r="F7">
        <v>17.884000778198239</v>
      </c>
      <c r="G7" s="10">
        <v>2.0000000000000001E-4</v>
      </c>
      <c r="H7" s="9">
        <f t="shared" si="1"/>
        <v>-0.10224914656045869</v>
      </c>
      <c r="I7" s="9">
        <f t="shared" si="2"/>
        <v>8.309113669855317E-2</v>
      </c>
      <c r="J7" s="9">
        <f t="shared" si="3"/>
        <v>5.2687249641770739E-2</v>
      </c>
      <c r="K7" s="9">
        <f t="shared" si="4"/>
        <v>-8.7072802240192759E-2</v>
      </c>
      <c r="L7" s="9">
        <f t="shared" si="5"/>
        <v>6.9617315349651099E-2</v>
      </c>
      <c r="M7" s="24">
        <f t="shared" si="6"/>
        <v>-0.13569842114308744</v>
      </c>
      <c r="N7" s="24">
        <f t="shared" si="7"/>
        <v>5.9540600864090805E-2</v>
      </c>
      <c r="O7" s="24">
        <f t="shared" si="8"/>
        <v>2.2021710711830969E-2</v>
      </c>
      <c r="P7" s="24">
        <f t="shared" si="9"/>
        <v>-0.14422455264266656</v>
      </c>
      <c r="Q7" s="24">
        <f t="shared" si="10"/>
        <v>3.0067468393126406E-2</v>
      </c>
      <c r="R7" s="12" t="s">
        <v>11</v>
      </c>
      <c r="S7" s="13" t="s">
        <v>10</v>
      </c>
      <c r="U7" s="5"/>
      <c r="AB7" s="9"/>
      <c r="AC7" s="20"/>
      <c r="AE7" s="22" cm="1">
        <f t="array" aca="1" ref="AE7" ca="1">SQRT(MMULT(MMULT(AG7:AK7,var_covar),TRANSPOSE(AG7:AK7)))</f>
        <v>0.11538471437552576</v>
      </c>
      <c r="AF7" s="22">
        <f t="shared" ca="1" si="11"/>
        <v>1.734692497603274E-2</v>
      </c>
      <c r="AG7">
        <f ca="1"/>
        <v>6.0367885365556831E-3</v>
      </c>
      <c r="AH7">
        <f ca="1"/>
        <v>0.4447312504049889</v>
      </c>
      <c r="AI7">
        <f ca="1"/>
        <v>0.70500231485385245</v>
      </c>
      <c r="AJ7">
        <f ca="1"/>
        <v>-0.49922116528771338</v>
      </c>
      <c r="AK7">
        <f ca="1"/>
        <v>0.34345081149231632</v>
      </c>
      <c r="AN7" s="9">
        <v>2.2597891772022201</v>
      </c>
      <c r="AO7" s="9">
        <v>-0.1350814331635275</v>
      </c>
    </row>
    <row r="8" spans="1:41" x14ac:dyDescent="0.2">
      <c r="A8" s="2">
        <v>42216</v>
      </c>
      <c r="B8">
        <v>9.5253801345825195</v>
      </c>
      <c r="C8">
        <v>93.433998107910156</v>
      </c>
      <c r="D8">
        <v>114.30999755859381</v>
      </c>
      <c r="E8">
        <v>0.4827868640422821</v>
      </c>
      <c r="F8">
        <v>17.74333381652832</v>
      </c>
      <c r="G8" s="10">
        <v>2.9999999999999997E-4</v>
      </c>
      <c r="H8" s="9">
        <f t="shared" si="1"/>
        <v>-5.5942760447892148E-2</v>
      </c>
      <c r="I8" s="9">
        <f t="shared" si="2"/>
        <v>9.6070800344324914E-2</v>
      </c>
      <c r="J8" s="9">
        <f t="shared" si="3"/>
        <v>0.2180259687893269</v>
      </c>
      <c r="K8" s="9">
        <f t="shared" si="4"/>
        <v>-7.9560634770395877E-3</v>
      </c>
      <c r="L8" s="9">
        <f t="shared" si="5"/>
        <v>-7.8655197690105094E-3</v>
      </c>
      <c r="M8" s="24">
        <f t="shared" si="6"/>
        <v>-8.9392035030520886E-2</v>
      </c>
      <c r="N8" s="24">
        <f t="shared" si="7"/>
        <v>7.2520264509862542E-2</v>
      </c>
      <c r="O8" s="24">
        <f t="shared" si="8"/>
        <v>0.18736042985938711</v>
      </c>
      <c r="P8" s="24">
        <f t="shared" si="9"/>
        <v>-6.5107813879513393E-2</v>
      </c>
      <c r="Q8" s="24">
        <f t="shared" si="10"/>
        <v>-4.7415366725535202E-2</v>
      </c>
      <c r="R8" s="5"/>
      <c r="S8" s="1" t="s">
        <v>18</v>
      </c>
      <c r="T8" s="1" t="s">
        <v>0</v>
      </c>
      <c r="U8" s="1" t="s">
        <v>19</v>
      </c>
      <c r="V8" s="1" t="s">
        <v>1</v>
      </c>
      <c r="W8" s="1" t="s">
        <v>20</v>
      </c>
      <c r="AB8" s="9"/>
      <c r="AC8" s="20"/>
      <c r="AE8" s="22" cm="1">
        <f t="array" aca="1" ref="AE8" ca="1">SQRT(MMULT(MMULT(AG8:AK8,var_covar),TRANSPOSE(AG8:AK8)))</f>
        <v>9.7787970764437737E-2</v>
      </c>
      <c r="AF8" s="22">
        <f t="shared" ca="1" si="11"/>
        <v>2.9305347393375893E-2</v>
      </c>
      <c r="AG8">
        <f ca="1"/>
        <v>0.16581529875524012</v>
      </c>
      <c r="AH8">
        <f ca="1"/>
        <v>0.651078958435508</v>
      </c>
      <c r="AI8">
        <f ca="1"/>
        <v>-0.12476859103326617</v>
      </c>
      <c r="AJ8">
        <f ca="1"/>
        <v>4.2836784154454514E-3</v>
      </c>
      <c r="AK8">
        <f ca="1"/>
        <v>0.30359065542707259</v>
      </c>
      <c r="AN8" s="9">
        <v>2.214932443036755</v>
      </c>
      <c r="AO8" s="9">
        <v>-0.13112543630404794</v>
      </c>
    </row>
    <row r="9" spans="1:41" x14ac:dyDescent="0.2">
      <c r="A9" s="2">
        <v>42247</v>
      </c>
      <c r="B9">
        <v>9.5885562896728516</v>
      </c>
      <c r="C9">
        <v>88.882064819335938</v>
      </c>
      <c r="D9">
        <v>115.0299987792969</v>
      </c>
      <c r="E9">
        <v>0.54401224851608276</v>
      </c>
      <c r="F9">
        <v>16.604000091552731</v>
      </c>
      <c r="G9" s="10">
        <v>7.000000000000001E-4</v>
      </c>
      <c r="H9" s="9">
        <f t="shared" si="1"/>
        <v>6.6324025075878978E-3</v>
      </c>
      <c r="I9" s="9">
        <f t="shared" si="2"/>
        <v>-4.8718168768899672E-2</v>
      </c>
      <c r="J9" s="9">
        <f t="shared" si="3"/>
        <v>6.2986723478324347E-3</v>
      </c>
      <c r="K9" s="9">
        <f t="shared" si="4"/>
        <v>0.12681659140675916</v>
      </c>
      <c r="L9" s="9">
        <f t="shared" si="5"/>
        <v>-6.4211930900734959E-2</v>
      </c>
      <c r="M9" s="24">
        <f t="shared" si="6"/>
        <v>-2.681687207504084E-2</v>
      </c>
      <c r="N9" s="24">
        <f t="shared" si="7"/>
        <v>-7.2268704603362044E-2</v>
      </c>
      <c r="O9" s="24">
        <f t="shared" si="8"/>
        <v>-2.4366866582107335E-2</v>
      </c>
      <c r="P9" s="24">
        <f t="shared" si="9"/>
        <v>6.9664841004285355E-2</v>
      </c>
      <c r="Q9" s="24">
        <f t="shared" si="10"/>
        <v>-0.10376177785725965</v>
      </c>
      <c r="R9" s="1" t="s">
        <v>18</v>
      </c>
      <c r="S9" s="5" cm="1">
        <f t="array" ref="S9:W13">MMULT(TRANSPOSE(MeanDeviation),MeanDeviation)/(N-1)</f>
        <v>9.0705273841159718E-3</v>
      </c>
      <c r="T9" s="5">
        <v>3.5528022919089357E-3</v>
      </c>
      <c r="U9" s="5">
        <v>3.5516442564733331E-3</v>
      </c>
      <c r="V9">
        <v>5.7953982452279363E-3</v>
      </c>
      <c r="W9">
        <v>5.3885773057037898E-3</v>
      </c>
      <c r="AB9" s="9"/>
      <c r="AC9" s="20"/>
      <c r="AE9" s="22" cm="1">
        <f t="array" aca="1" ref="AE9" ca="1">SQRT(MMULT(MMULT(AG9:AK9,var_covar),TRANSPOSE(AG9:AK9)))</f>
        <v>8.8348204539620501E-2</v>
      </c>
      <c r="AF9" s="22">
        <f t="shared" ca="1" si="11"/>
        <v>3.2279159135920603E-2</v>
      </c>
      <c r="AG9">
        <f ca="1"/>
        <v>0.35380882057012564</v>
      </c>
      <c r="AH9">
        <f ca="1"/>
        <v>0.25954014940662518</v>
      </c>
      <c r="AI9">
        <f ca="1"/>
        <v>0.10275484303308602</v>
      </c>
      <c r="AJ9">
        <f ca="1"/>
        <v>-2.6634749238786319E-3</v>
      </c>
      <c r="AK9">
        <f ca="1"/>
        <v>0.28655966191404192</v>
      </c>
      <c r="AN9" s="9">
        <v>2.1150466889590906</v>
      </c>
      <c r="AO9" s="9">
        <v>-6.6824521789721758E-2</v>
      </c>
    </row>
    <row r="10" spans="1:41" x14ac:dyDescent="0.2">
      <c r="A10" s="2">
        <v>42277</v>
      </c>
      <c r="B10">
        <v>9.5154838562011719</v>
      </c>
      <c r="C10">
        <v>89.349189758300781</v>
      </c>
      <c r="D10">
        <v>103.2600021362305</v>
      </c>
      <c r="E10">
        <v>0.59903591871261597</v>
      </c>
      <c r="F10">
        <v>16.559999465942379</v>
      </c>
      <c r="G10" s="10">
        <v>2.0000000000000001E-4</v>
      </c>
      <c r="H10" s="9">
        <f t="shared" si="1"/>
        <v>-7.620796214168446E-3</v>
      </c>
      <c r="I10" s="9">
        <f t="shared" si="2"/>
        <v>5.2555590367340255E-3</v>
      </c>
      <c r="J10" s="9">
        <f t="shared" si="3"/>
        <v>-0.10232110552003915</v>
      </c>
      <c r="K10" s="9">
        <f t="shared" si="4"/>
        <v>0.10114417523984587</v>
      </c>
      <c r="L10" s="9">
        <f t="shared" si="5"/>
        <v>-2.6500015278088096E-3</v>
      </c>
      <c r="M10" s="24">
        <f t="shared" si="6"/>
        <v>-4.1070070796797184E-2</v>
      </c>
      <c r="N10" s="24">
        <f t="shared" si="7"/>
        <v>-1.8294976797728339E-2</v>
      </c>
      <c r="O10" s="24">
        <f t="shared" si="8"/>
        <v>-0.13298664444997893</v>
      </c>
      <c r="P10" s="24">
        <f t="shared" si="9"/>
        <v>4.3992424837372063E-2</v>
      </c>
      <c r="Q10" s="24">
        <f t="shared" si="10"/>
        <v>-4.2199848484333502E-2</v>
      </c>
      <c r="R10" s="1" t="s">
        <v>0</v>
      </c>
      <c r="S10" s="5">
        <v>3.5528022919089357E-3</v>
      </c>
      <c r="T10" s="5">
        <v>9.7647667769146049E-3</v>
      </c>
      <c r="U10" s="5">
        <v>3.5163445059719694E-3</v>
      </c>
      <c r="V10">
        <v>5.7674466876801245E-3</v>
      </c>
      <c r="W10">
        <v>4.6260350023326789E-3</v>
      </c>
      <c r="AB10" s="9"/>
      <c r="AC10" s="20"/>
      <c r="AE10" s="22" cm="1">
        <f t="array" aca="1" ref="AE10" ca="1">SQRT(MMULT(MMULT(AG10:AK10,var_covar),TRANSPOSE(AG10:AK10)))</f>
        <v>0.35164944470257514</v>
      </c>
      <c r="AF10" s="22">
        <f t="shared" ca="1" si="11"/>
        <v>4.2561539295348408E-2</v>
      </c>
      <c r="AG10">
        <f ca="1"/>
        <v>-0.74018557418150821</v>
      </c>
      <c r="AH10">
        <f ca="1"/>
        <v>0.54703396942404425</v>
      </c>
      <c r="AI10">
        <f ca="1"/>
        <v>1.6151589974720286</v>
      </c>
      <c r="AJ10">
        <f ca="1"/>
        <v>1.2270191946195359</v>
      </c>
      <c r="AK10">
        <f ca="1"/>
        <v>-1.6490265873341006</v>
      </c>
      <c r="AN10" s="9">
        <v>2.0873389290982942</v>
      </c>
      <c r="AO10" s="9">
        <v>-0.39662336700057838</v>
      </c>
    </row>
    <row r="11" spans="1:41" x14ac:dyDescent="0.2">
      <c r="A11" s="2">
        <v>42308</v>
      </c>
      <c r="B11">
        <v>9.401768684387207</v>
      </c>
      <c r="C11">
        <v>101.3452453613281</v>
      </c>
      <c r="D11">
        <v>108.379997253418</v>
      </c>
      <c r="E11">
        <v>0.6894378662109375</v>
      </c>
      <c r="F11">
        <v>13.795332908630369</v>
      </c>
      <c r="G11" s="10">
        <v>2.0000000000000001E-4</v>
      </c>
      <c r="H11" s="9">
        <f t="shared" si="1"/>
        <v>-1.195054014408925E-2</v>
      </c>
      <c r="I11" s="9">
        <f t="shared" si="2"/>
        <v>0.13426037365842869</v>
      </c>
      <c r="J11" s="9">
        <f t="shared" si="3"/>
        <v>4.958352712827474E-2</v>
      </c>
      <c r="K11" s="9">
        <f t="shared" si="4"/>
        <v>0.15091239886350016</v>
      </c>
      <c r="L11" s="9">
        <f t="shared" si="5"/>
        <v>-0.16694846898986182</v>
      </c>
      <c r="M11" s="24">
        <f t="shared" si="6"/>
        <v>-4.5399814726717988E-2</v>
      </c>
      <c r="N11" s="24">
        <f t="shared" si="7"/>
        <v>0.11070983782396632</v>
      </c>
      <c r="O11" s="24">
        <f t="shared" si="8"/>
        <v>1.891798819833497E-2</v>
      </c>
      <c r="P11" s="24">
        <f t="shared" si="9"/>
        <v>9.3760648461026358E-2</v>
      </c>
      <c r="Q11" s="24">
        <f t="shared" si="10"/>
        <v>-0.20649831594638651</v>
      </c>
      <c r="R11" s="1" t="s">
        <v>19</v>
      </c>
      <c r="S11" s="5">
        <v>3.5516442564733331E-3</v>
      </c>
      <c r="T11" s="5">
        <v>3.5163445059719694E-3</v>
      </c>
      <c r="U11" s="5">
        <v>1.4123888609591006E-2</v>
      </c>
      <c r="V11">
        <v>7.9246926132459233E-3</v>
      </c>
      <c r="W11">
        <v>6.3849771396028198E-3</v>
      </c>
      <c r="AB11" s="9"/>
      <c r="AC11" s="20"/>
      <c r="AE11" s="22" cm="1">
        <f t="array" aca="1" ref="AE11" ca="1">SQRT(MMULT(MMULT(AG11:AK11,var_covar),TRANSPOSE(AG11:AK11)))</f>
        <v>0.13211293781780764</v>
      </c>
      <c r="AF11" s="22">
        <f t="shared" ca="1" si="11"/>
        <v>3.6934895996879588E-2</v>
      </c>
      <c r="AG11">
        <f ca="1"/>
        <v>0.19183463637019049</v>
      </c>
      <c r="AH11">
        <f ca="1"/>
        <v>0.73357369440932418</v>
      </c>
      <c r="AI11">
        <f ca="1"/>
        <v>-0.6212854575614557</v>
      </c>
      <c r="AJ11">
        <f ca="1"/>
        <v>0.27112593410181851</v>
      </c>
      <c r="AK11">
        <f ca="1"/>
        <v>0.42475119268012257</v>
      </c>
      <c r="AN11" s="9">
        <v>1.9455618033095676</v>
      </c>
      <c r="AO11" s="9">
        <v>-0.28568148555359207</v>
      </c>
    </row>
    <row r="12" spans="1:41" x14ac:dyDescent="0.2">
      <c r="A12" s="2">
        <v>42338</v>
      </c>
      <c r="B12">
        <v>9.9607000350952148</v>
      </c>
      <c r="C12">
        <v>103.6013259887695</v>
      </c>
      <c r="D12">
        <v>123.3300018310547</v>
      </c>
      <c r="E12">
        <v>0.77084833383560181</v>
      </c>
      <c r="F12">
        <v>15.350666999816889</v>
      </c>
      <c r="G12" s="10">
        <v>1.1999999999999999E-3</v>
      </c>
      <c r="H12" s="9">
        <f t="shared" si="1"/>
        <v>5.9449596078255063E-2</v>
      </c>
      <c r="I12" s="9">
        <f t="shared" si="2"/>
        <v>2.2261336675418297E-2</v>
      </c>
      <c r="J12" s="9">
        <f t="shared" si="3"/>
        <v>0.13794062517532701</v>
      </c>
      <c r="K12" s="9">
        <f t="shared" si="4"/>
        <v>0.1180823851061239</v>
      </c>
      <c r="L12" s="9">
        <f t="shared" si="5"/>
        <v>0.11274349821695862</v>
      </c>
      <c r="M12" s="24">
        <f t="shared" si="6"/>
        <v>2.6000321495626325E-2</v>
      </c>
      <c r="N12" s="24">
        <f t="shared" si="7"/>
        <v>-1.2891991590440674E-3</v>
      </c>
      <c r="O12" s="24">
        <f t="shared" si="8"/>
        <v>0.10727508624538724</v>
      </c>
      <c r="P12" s="24">
        <f t="shared" si="9"/>
        <v>6.0930634703650094E-2</v>
      </c>
      <c r="Q12" s="24">
        <f t="shared" si="10"/>
        <v>7.3193651260433923E-2</v>
      </c>
      <c r="R12" s="1" t="s">
        <v>1</v>
      </c>
      <c r="S12">
        <v>5.7953982452279363E-3</v>
      </c>
      <c r="T12">
        <v>5.7674466876801245E-3</v>
      </c>
      <c r="U12">
        <v>7.9246926132459233E-3</v>
      </c>
      <c r="V12">
        <v>1.8086101658718771E-2</v>
      </c>
      <c r="W12">
        <v>7.4333164005033784E-3</v>
      </c>
      <c r="AB12" s="9"/>
      <c r="AC12" s="20"/>
      <c r="AE12" s="22" cm="1">
        <f t="array" aca="1" ref="AE12" ca="1">SQRT(MMULT(MMULT(AG12:AK12,var_covar),TRANSPOSE(AG12:AK12)))</f>
        <v>0.38901399059238784</v>
      </c>
      <c r="AF12" s="22">
        <f t="shared" ca="1" si="11"/>
        <v>6.713975631640412E-2</v>
      </c>
      <c r="AG12">
        <f ca="1"/>
        <v>-1.4063306298167662</v>
      </c>
      <c r="AH12">
        <f ca="1"/>
        <v>-1.1172948204305142</v>
      </c>
      <c r="AI12">
        <f ca="1"/>
        <v>2.7467051818961354</v>
      </c>
      <c r="AJ12">
        <f ca="1"/>
        <v>1.4508155380194583</v>
      </c>
      <c r="AK12">
        <f ca="1"/>
        <v>-0.67389526966831292</v>
      </c>
      <c r="AN12" s="9">
        <v>1.9439678306422383</v>
      </c>
      <c r="AO12" s="9">
        <v>-0.12824639857598108</v>
      </c>
    </row>
    <row r="13" spans="1:41" x14ac:dyDescent="0.2">
      <c r="A13" s="2">
        <v>42369</v>
      </c>
      <c r="B13">
        <v>11.08313655853271</v>
      </c>
      <c r="C13">
        <v>104.0187530517578</v>
      </c>
      <c r="D13">
        <v>114.379997253418</v>
      </c>
      <c r="E13">
        <v>0.80402421951293945</v>
      </c>
      <c r="F13">
        <v>16.000667572021481</v>
      </c>
      <c r="G13" s="10">
        <v>2.3E-3</v>
      </c>
      <c r="H13" s="9">
        <f t="shared" si="1"/>
        <v>0.11268650993230778</v>
      </c>
      <c r="I13" s="9">
        <f t="shared" si="2"/>
        <v>4.0291671849213007E-3</v>
      </c>
      <c r="J13" s="9">
        <f t="shared" si="3"/>
        <v>-7.2569564945737963E-2</v>
      </c>
      <c r="K13" s="9">
        <f t="shared" si="4"/>
        <v>4.3038149297489392E-2</v>
      </c>
      <c r="L13" s="9">
        <f t="shared" si="5"/>
        <v>4.2343474209449283E-2</v>
      </c>
      <c r="M13" s="24">
        <f t="shared" si="6"/>
        <v>7.9237235349679039E-2</v>
      </c>
      <c r="N13" s="24">
        <f t="shared" si="7"/>
        <v>-1.9521368649541064E-2</v>
      </c>
      <c r="O13" s="24">
        <f t="shared" si="8"/>
        <v>-0.10323510387567773</v>
      </c>
      <c r="P13" s="24">
        <f t="shared" si="9"/>
        <v>-1.4113601104984413E-2</v>
      </c>
      <c r="Q13" s="24">
        <f t="shared" si="10"/>
        <v>2.7936272529245909E-3</v>
      </c>
      <c r="R13" s="1" t="s">
        <v>20</v>
      </c>
      <c r="S13">
        <v>5.3885773057037898E-3</v>
      </c>
      <c r="T13">
        <v>4.6260350023326789E-3</v>
      </c>
      <c r="U13">
        <v>6.3849771396028198E-3</v>
      </c>
      <c r="V13">
        <v>7.4333164005033784E-3</v>
      </c>
      <c r="W13">
        <v>3.2179015863959576E-2</v>
      </c>
      <c r="AB13" s="9"/>
      <c r="AC13" s="20"/>
      <c r="AE13" s="22" cm="1">
        <f t="array" aca="1" ref="AE13" ca="1">SQRT(MMULT(MMULT(AG13:AK13,var_covar),TRANSPOSE(AG13:AK13)))</f>
        <v>0.11579066935190863</v>
      </c>
      <c r="AF13" s="22">
        <f t="shared" ca="1" si="11"/>
        <v>1.9467100548328373E-2</v>
      </c>
      <c r="AG13">
        <f ca="1"/>
        <v>0.12651932271109492</v>
      </c>
      <c r="AH13">
        <f ca="1"/>
        <v>0.45314602540614152</v>
      </c>
      <c r="AI13">
        <f ca="1"/>
        <v>0.42412965233727568</v>
      </c>
      <c r="AJ13">
        <f ca="1"/>
        <v>-0.47112992239699708</v>
      </c>
      <c r="AK13">
        <f ca="1"/>
        <v>0.46733492194248499</v>
      </c>
      <c r="AN13" s="9">
        <v>1.867605018003561</v>
      </c>
      <c r="AO13" s="9">
        <v>9.0957331277860654E-2</v>
      </c>
    </row>
    <row r="14" spans="1:41" x14ac:dyDescent="0.2">
      <c r="A14" s="2">
        <v>42400</v>
      </c>
      <c r="B14">
        <v>10.241068840026861</v>
      </c>
      <c r="C14">
        <v>111.5225067138672</v>
      </c>
      <c r="D14">
        <v>91.839996337890625</v>
      </c>
      <c r="E14">
        <v>0.71449840068817139</v>
      </c>
      <c r="F14">
        <v>12.74666690826416</v>
      </c>
      <c r="G14" s="10">
        <v>2.5999999999999999E-3</v>
      </c>
      <c r="H14" s="9">
        <f t="shared" si="1"/>
        <v>-7.5977383663792919E-2</v>
      </c>
      <c r="I14" s="9">
        <f t="shared" si="2"/>
        <v>7.2138469669749572E-2</v>
      </c>
      <c r="J14" s="9">
        <f t="shared" si="3"/>
        <v>-0.19706243623689035</v>
      </c>
      <c r="K14" s="9">
        <f t="shared" si="4"/>
        <v>-0.11134716672963019</v>
      </c>
      <c r="L14" s="9">
        <f t="shared" si="5"/>
        <v>-0.20336655637088641</v>
      </c>
      <c r="M14" s="24">
        <f t="shared" si="6"/>
        <v>-0.10942665824642166</v>
      </c>
      <c r="N14" s="24">
        <f t="shared" si="7"/>
        <v>4.8587933835287207E-2</v>
      </c>
      <c r="O14" s="24">
        <f t="shared" si="8"/>
        <v>-0.22772797516683013</v>
      </c>
      <c r="P14" s="24">
        <f t="shared" si="9"/>
        <v>-0.16849891713210399</v>
      </c>
      <c r="Q14" s="24">
        <f t="shared" si="10"/>
        <v>-0.2429164033274111</v>
      </c>
      <c r="AB14" s="9"/>
      <c r="AC14" s="20"/>
      <c r="AE14" s="22" cm="1">
        <f t="array" aca="1" ref="AE14" ca="1">SQRT(MMULT(MMULT(AG14:AK14,var_covar),TRANSPOSE(AG14:AK14)))</f>
        <v>0.10685950945459793</v>
      </c>
      <c r="AF14" s="22">
        <f t="shared" ca="1" si="11"/>
        <v>3.2311648756030764E-2</v>
      </c>
      <c r="AG14">
        <f ca="1"/>
        <v>5.1392492693114279E-2</v>
      </c>
      <c r="AH14">
        <f ca="1"/>
        <v>0.91132891059421262</v>
      </c>
      <c r="AI14">
        <f ca="1"/>
        <v>-0.27340916749498545</v>
      </c>
      <c r="AJ14">
        <f ca="1"/>
        <v>0.29695134679696106</v>
      </c>
      <c r="AK14">
        <f ca="1"/>
        <v>1.3736417410697668E-2</v>
      </c>
      <c r="AN14" s="9">
        <v>1.8176018631999284</v>
      </c>
      <c r="AO14" s="9">
        <v>0.26558318867850583</v>
      </c>
    </row>
    <row r="15" spans="1:41" x14ac:dyDescent="0.2">
      <c r="A15" s="2">
        <v>42429</v>
      </c>
      <c r="B15">
        <v>10.26098728179932</v>
      </c>
      <c r="C15">
        <v>106.2649002075195</v>
      </c>
      <c r="D15">
        <v>93.410003662109375</v>
      </c>
      <c r="E15">
        <v>0.76499378681182861</v>
      </c>
      <c r="F15">
        <v>12.795332908630369</v>
      </c>
      <c r="G15" s="10">
        <v>3.0999999999999999E-3</v>
      </c>
      <c r="H15" s="9">
        <f t="shared" si="1"/>
        <v>1.9449573168190959E-3</v>
      </c>
      <c r="I15" s="9">
        <f t="shared" si="2"/>
        <v>-4.7143905398729258E-2</v>
      </c>
      <c r="J15" s="9">
        <f t="shared" si="3"/>
        <v>1.709502816662245E-2</v>
      </c>
      <c r="K15" s="9">
        <f t="shared" si="4"/>
        <v>7.067249706230605E-2</v>
      </c>
      <c r="L15" s="9">
        <f t="shared" si="5"/>
        <v>3.817939286909322E-3</v>
      </c>
      <c r="M15" s="24">
        <f t="shared" si="6"/>
        <v>-3.1504317265809642E-2</v>
      </c>
      <c r="N15" s="24">
        <f t="shared" si="7"/>
        <v>-7.0694441233191629E-2</v>
      </c>
      <c r="O15" s="24">
        <f t="shared" si="8"/>
        <v>-1.357051076331732E-2</v>
      </c>
      <c r="P15" s="24">
        <f t="shared" si="9"/>
        <v>1.3520746659832245E-2</v>
      </c>
      <c r="Q15" s="24">
        <f t="shared" si="10"/>
        <v>-3.573190766961537E-2</v>
      </c>
      <c r="AB15" s="9"/>
      <c r="AC15" s="20"/>
      <c r="AE15" s="22" cm="1">
        <f t="array" aca="1" ref="AE15" ca="1">SQRT(MMULT(MMULT(AG15:AK15,var_covar),TRANSPOSE(AG15:AK15)))</f>
        <v>0.12092589717542389</v>
      </c>
      <c r="AF15" s="22">
        <f t="shared" ca="1" si="11"/>
        <v>2.9429488710247437E-2</v>
      </c>
      <c r="AG15">
        <f ca="1"/>
        <v>0.19409688088411889</v>
      </c>
      <c r="AH15">
        <f ca="1"/>
        <v>-6.6037288764859661E-2</v>
      </c>
      <c r="AI15">
        <f ca="1"/>
        <v>1.0438833197462307</v>
      </c>
      <c r="AJ15">
        <f ca="1"/>
        <v>-4.0826627146879603E-2</v>
      </c>
      <c r="AK15">
        <f ca="1"/>
        <v>-0.13111628471861034</v>
      </c>
      <c r="AN15" s="9">
        <v>1.7780924601437627</v>
      </c>
      <c r="AO15" s="9">
        <v>0.14801048217598856</v>
      </c>
    </row>
    <row r="16" spans="1:41" x14ac:dyDescent="0.2">
      <c r="A16" s="2">
        <v>42460</v>
      </c>
      <c r="B16">
        <v>11.833409309387211</v>
      </c>
      <c r="C16">
        <v>113.40090179443359</v>
      </c>
      <c r="D16">
        <v>102.23000335693359</v>
      </c>
      <c r="E16">
        <v>0.87232249975204468</v>
      </c>
      <c r="F16">
        <v>15.31799983978271</v>
      </c>
      <c r="G16" s="10">
        <v>2.8999999999999998E-3</v>
      </c>
      <c r="H16" s="9">
        <f t="shared" si="1"/>
        <v>0.15324276157880168</v>
      </c>
      <c r="I16" s="9">
        <f t="shared" si="2"/>
        <v>6.7152950531911726E-2</v>
      </c>
      <c r="J16" s="9">
        <f t="shared" si="3"/>
        <v>9.4422431742200441E-2</v>
      </c>
      <c r="K16" s="9">
        <f t="shared" si="4"/>
        <v>0.14030011065516867</v>
      </c>
      <c r="L16" s="9">
        <f t="shared" si="5"/>
        <v>0.19715524005247387</v>
      </c>
      <c r="M16" s="24">
        <f t="shared" si="6"/>
        <v>0.11979348699617294</v>
      </c>
      <c r="N16" s="24">
        <f t="shared" si="7"/>
        <v>4.3602414697449361E-2</v>
      </c>
      <c r="O16" s="24">
        <f t="shared" si="8"/>
        <v>6.3756892812260671E-2</v>
      </c>
      <c r="P16" s="24">
        <f t="shared" si="9"/>
        <v>8.314836025269487E-2</v>
      </c>
      <c r="Q16" s="24">
        <f t="shared" si="10"/>
        <v>0.15760539309594918</v>
      </c>
      <c r="AB16" s="9"/>
      <c r="AC16" s="20"/>
      <c r="AE16" s="22" cm="1">
        <f t="array" aca="1" ref="AE16" ca="1">SQRT(MMULT(MMULT(AG16:AK16,var_covar),TRANSPOSE(AG16:AK16)))</f>
        <v>0.13775662367124153</v>
      </c>
      <c r="AF16" s="22">
        <f t="shared" ca="1" si="11"/>
        <v>4.3260773842476313E-2</v>
      </c>
      <c r="AG16">
        <f ca="1"/>
        <v>7.2952708811653305E-2</v>
      </c>
      <c r="AH16">
        <f ca="1"/>
        <v>-6.8242038782601572E-2</v>
      </c>
      <c r="AI16">
        <f ca="1"/>
        <v>0.10392159026095814</v>
      </c>
      <c r="AJ16">
        <f ca="1"/>
        <v>0.22653379428977302</v>
      </c>
      <c r="AK16">
        <f ca="1"/>
        <v>0.66483394542021712</v>
      </c>
      <c r="AN16" s="9">
        <v>1.7707602828723967</v>
      </c>
      <c r="AO16" s="9">
        <v>-0.32015324292580505</v>
      </c>
    </row>
    <row r="17" spans="1:41" ht="17" x14ac:dyDescent="0.2">
      <c r="A17" s="2">
        <v>42490</v>
      </c>
      <c r="B17">
        <v>11.200199127197269</v>
      </c>
      <c r="C17">
        <v>116.85959625244141</v>
      </c>
      <c r="D17">
        <v>90.029998779296875</v>
      </c>
      <c r="E17">
        <v>0.86987411975860596</v>
      </c>
      <c r="F17">
        <v>16.050666809082031</v>
      </c>
      <c r="G17" s="10">
        <v>2.3E-3</v>
      </c>
      <c r="H17" s="9">
        <f t="shared" si="1"/>
        <v>-5.3510376057695264E-2</v>
      </c>
      <c r="I17" s="9">
        <f t="shared" si="2"/>
        <v>3.0499708585012275E-2</v>
      </c>
      <c r="J17" s="9">
        <f t="shared" si="3"/>
        <v>-0.11933878682406662</v>
      </c>
      <c r="K17" s="9">
        <f t="shared" si="4"/>
        <v>-2.8067371804976204E-3</v>
      </c>
      <c r="L17" s="9">
        <f t="shared" si="5"/>
        <v>4.783045939173447E-2</v>
      </c>
      <c r="M17" s="24">
        <f t="shared" si="6"/>
        <v>-8.6959650640324002E-2</v>
      </c>
      <c r="N17" s="24">
        <f t="shared" si="7"/>
        <v>6.9491727505499104E-3</v>
      </c>
      <c r="O17" s="24">
        <f t="shared" si="8"/>
        <v>-0.15000432575400641</v>
      </c>
      <c r="P17" s="24">
        <f t="shared" si="9"/>
        <v>-5.9958487582971426E-2</v>
      </c>
      <c r="Q17" s="24">
        <f t="shared" si="10"/>
        <v>8.2806124352097776E-3</v>
      </c>
      <c r="R17" s="12" t="s">
        <v>9</v>
      </c>
      <c r="S17" s="13" t="s">
        <v>8</v>
      </c>
      <c r="U17" s="5"/>
      <c r="AB17" s="9"/>
      <c r="AC17" s="20"/>
      <c r="AE17" s="22" cm="1">
        <f t="array" aca="1" ref="AE17" ca="1">SQRT(MMULT(MMULT(AG17:AK17,var_covar),TRANSPOSE(AG17:AK17)))</f>
        <v>0.3494614234796522</v>
      </c>
      <c r="AF17" s="22">
        <f t="shared" ca="1" si="11"/>
        <v>6.9278565574738452E-2</v>
      </c>
      <c r="AG17">
        <f ca="1"/>
        <v>2.0851759571075545</v>
      </c>
      <c r="AH17">
        <f ca="1"/>
        <v>-2.8604891221011011</v>
      </c>
      <c r="AI17">
        <f ca="1"/>
        <v>0.58604241513998678</v>
      </c>
      <c r="AJ17">
        <f ca="1"/>
        <v>0.10738675903077408</v>
      </c>
      <c r="AK17">
        <f ca="1"/>
        <v>1.081883990822786</v>
      </c>
      <c r="AN17" s="9">
        <v>1.7658706905862178</v>
      </c>
      <c r="AO17" s="9">
        <v>-2.0856564317931758E-3</v>
      </c>
    </row>
    <row r="18" spans="1:41" x14ac:dyDescent="0.2">
      <c r="A18" s="2">
        <v>42521</v>
      </c>
      <c r="B18">
        <v>11.861837387084959</v>
      </c>
      <c r="C18">
        <v>118.08205413818359</v>
      </c>
      <c r="D18">
        <v>102.5699996948242</v>
      </c>
      <c r="E18">
        <v>1.143837094306946</v>
      </c>
      <c r="F18">
        <v>14.88199996948242</v>
      </c>
      <c r="G18" s="10">
        <v>2.7000000000000001E-3</v>
      </c>
      <c r="H18" s="9">
        <f t="shared" si="1"/>
        <v>5.9073794347195507E-2</v>
      </c>
      <c r="I18" s="9">
        <f t="shared" si="2"/>
        <v>1.0460911426575681E-2</v>
      </c>
      <c r="J18" s="9">
        <f t="shared" si="3"/>
        <v>0.13928691642291802</v>
      </c>
      <c r="K18" s="9">
        <f t="shared" si="4"/>
        <v>0.31494554019421339</v>
      </c>
      <c r="L18" s="9">
        <f t="shared" si="5"/>
        <v>-7.2811108317215711E-2</v>
      </c>
      <c r="M18" s="24">
        <f t="shared" si="6"/>
        <v>2.5624519764566769E-2</v>
      </c>
      <c r="N18" s="24">
        <f t="shared" si="7"/>
        <v>-1.3089624407886684E-2</v>
      </c>
      <c r="O18" s="24">
        <f t="shared" si="8"/>
        <v>0.10862137749297825</v>
      </c>
      <c r="P18" s="24">
        <f t="shared" si="9"/>
        <v>0.25779378979173961</v>
      </c>
      <c r="Q18" s="24">
        <f t="shared" si="10"/>
        <v>-0.1123609552737404</v>
      </c>
      <c r="R18" s="5"/>
      <c r="S18" s="1" t="s">
        <v>18</v>
      </c>
      <c r="T18" s="1" t="s">
        <v>0</v>
      </c>
      <c r="U18" s="1" t="s">
        <v>19</v>
      </c>
      <c r="V18" s="1" t="s">
        <v>1</v>
      </c>
      <c r="W18" s="1" t="s">
        <v>20</v>
      </c>
      <c r="AB18" s="9"/>
      <c r="AC18" s="20"/>
      <c r="AE18" s="22" cm="1">
        <f t="array" aca="1" ref="AE18" ca="1">SQRT(MMULT(MMULT(AG18:AK18,var_covar),TRANSPOSE(AG18:AK18)))</f>
        <v>0.15028993944844229</v>
      </c>
      <c r="AF18" s="22">
        <f t="shared" ca="1" si="11"/>
        <v>2.4103215956273263E-2</v>
      </c>
      <c r="AG18">
        <f ca="1"/>
        <v>1.6959956484622467</v>
      </c>
      <c r="AH18">
        <f ca="1"/>
        <v>-0.19519732960346142</v>
      </c>
      <c r="AI18">
        <f ca="1"/>
        <v>-0.15531109104100616</v>
      </c>
      <c r="AJ18">
        <f ca="1"/>
        <v>-0.54556265518430047</v>
      </c>
      <c r="AK18">
        <f ca="1"/>
        <v>0.2000754273665212</v>
      </c>
      <c r="AN18" s="9">
        <v>1.7609101634682072</v>
      </c>
      <c r="AO18" s="9">
        <v>-5.104696627727906E-2</v>
      </c>
    </row>
    <row r="19" spans="1:41" x14ac:dyDescent="0.2">
      <c r="A19" s="2">
        <v>42551</v>
      </c>
      <c r="B19">
        <v>11.941756248474119</v>
      </c>
      <c r="C19">
        <v>113.57981872558589</v>
      </c>
      <c r="D19">
        <v>91.480003356933594</v>
      </c>
      <c r="E19">
        <v>1.15392541885376</v>
      </c>
      <c r="F19">
        <v>14.15200042724609</v>
      </c>
      <c r="G19" s="10">
        <v>2.7000000000000001E-3</v>
      </c>
      <c r="H19" s="9">
        <f t="shared" si="1"/>
        <v>6.7374774060025011E-3</v>
      </c>
      <c r="I19" s="9">
        <f t="shared" si="2"/>
        <v>-3.8128024156228069E-2</v>
      </c>
      <c r="J19" s="9">
        <f t="shared" si="3"/>
        <v>-0.10812124764440478</v>
      </c>
      <c r="K19" s="9">
        <f t="shared" si="4"/>
        <v>8.8197214420000503E-3</v>
      </c>
      <c r="L19" s="9">
        <f t="shared" si="5"/>
        <v>-4.9052516041747984E-2</v>
      </c>
      <c r="M19" s="24">
        <f t="shared" si="6"/>
        <v>-2.6711797176626237E-2</v>
      </c>
      <c r="N19" s="24">
        <f t="shared" si="7"/>
        <v>-6.1678559990690433E-2</v>
      </c>
      <c r="O19" s="24">
        <f t="shared" si="8"/>
        <v>-0.13878678657434457</v>
      </c>
      <c r="P19" s="24">
        <f t="shared" si="9"/>
        <v>-4.8332028960473755E-2</v>
      </c>
      <c r="Q19" s="24">
        <f t="shared" si="10"/>
        <v>-8.8602362998272677E-2</v>
      </c>
      <c r="R19" s="1" t="s">
        <v>18</v>
      </c>
      <c r="S19" s="5" cm="1">
        <f t="array" ref="S19:W23">var_covar/MMULT(TRANSPOSE(stddev),stddev)</f>
        <v>1.0000000000000007</v>
      </c>
      <c r="T19" s="5">
        <v>0.37750597811464592</v>
      </c>
      <c r="U19" s="5">
        <v>0.3137877952530726</v>
      </c>
      <c r="V19">
        <v>0.45247494065416949</v>
      </c>
      <c r="W19">
        <v>0.31540710294504287</v>
      </c>
      <c r="AB19" s="9"/>
      <c r="AC19" s="20"/>
      <c r="AE19" s="22" cm="1">
        <f t="array" aca="1" ref="AE19" ca="1">SQRT(MMULT(MMULT(AG19:AK19,var_covar),TRANSPOSE(AG19:AK19)))</f>
        <v>9.9689427404048903E-2</v>
      </c>
      <c r="AF19" s="22">
        <f t="shared" ca="1" si="11"/>
        <v>2.1126305039328823E-2</v>
      </c>
      <c r="AG19">
        <f ca="1"/>
        <v>7.7901280819888561E-3</v>
      </c>
      <c r="AH19">
        <f ca="1"/>
        <v>0.51756039583967761</v>
      </c>
      <c r="AI19">
        <f ca="1"/>
        <v>0.75662143002134719</v>
      </c>
      <c r="AJ19">
        <f ca="1"/>
        <v>-0.19164688898941545</v>
      </c>
      <c r="AK19">
        <f ca="1"/>
        <v>-9.0325064953598239E-2</v>
      </c>
      <c r="AN19" s="9">
        <v>1.7537738290669247</v>
      </c>
      <c r="AO19" s="9">
        <v>5.2892996807895998E-2</v>
      </c>
    </row>
    <row r="20" spans="1:41" x14ac:dyDescent="0.2">
      <c r="A20" s="2">
        <v>42582</v>
      </c>
      <c r="B20">
        <v>12.48666477203369</v>
      </c>
      <c r="C20">
        <v>123.1806259155273</v>
      </c>
      <c r="D20">
        <v>91.25</v>
      </c>
      <c r="E20">
        <v>1.401598453521729</v>
      </c>
      <c r="F20">
        <v>15.65266704559326</v>
      </c>
      <c r="G20" s="10">
        <v>3.0000000000000001E-3</v>
      </c>
      <c r="H20" s="9">
        <f t="shared" si="1"/>
        <v>4.5630518009375454E-2</v>
      </c>
      <c r="I20" s="9">
        <f t="shared" si="2"/>
        <v>8.4529164579293825E-2</v>
      </c>
      <c r="J20" s="9">
        <f t="shared" si="3"/>
        <v>-2.5142473600069382E-3</v>
      </c>
      <c r="K20" s="9">
        <f t="shared" si="4"/>
        <v>0.21463521872496094</v>
      </c>
      <c r="L20" s="9">
        <f t="shared" si="5"/>
        <v>0.10603918690237002</v>
      </c>
      <c r="M20" s="24">
        <f t="shared" si="6"/>
        <v>1.2181243426746716E-2</v>
      </c>
      <c r="N20" s="24">
        <f t="shared" si="7"/>
        <v>6.097862874483146E-2</v>
      </c>
      <c r="O20" s="24">
        <f t="shared" si="8"/>
        <v>-3.3179786289946708E-2</v>
      </c>
      <c r="P20" s="24">
        <f t="shared" si="9"/>
        <v>0.15748346832248714</v>
      </c>
      <c r="Q20" s="24">
        <f t="shared" si="10"/>
        <v>6.6489339945845327E-2</v>
      </c>
      <c r="R20" s="1" t="s">
        <v>0</v>
      </c>
      <c r="S20" s="5">
        <v>0.37750597811464592</v>
      </c>
      <c r="T20" s="5">
        <v>1.0000000000000004</v>
      </c>
      <c r="U20" s="5">
        <v>0.29942174574084779</v>
      </c>
      <c r="V20">
        <v>0.43399044451764862</v>
      </c>
      <c r="W20">
        <v>0.26097060841064035</v>
      </c>
      <c r="AB20" s="9"/>
      <c r="AC20" s="20"/>
      <c r="AE20" s="22" cm="1">
        <f t="array" aca="1" ref="AE20" ca="1">SQRT(MMULT(MMULT(AG20:AK20,var_covar),TRANSPOSE(AG20:AK20)))</f>
        <v>0.14995466394288653</v>
      </c>
      <c r="AF20" s="22">
        <f t="shared" ca="1" si="11"/>
        <v>4.7335764353524074E-2</v>
      </c>
      <c r="AG20">
        <f ca="1"/>
        <v>1.3182668440966805</v>
      </c>
      <c r="AH20">
        <f ca="1"/>
        <v>-0.5212030982396646</v>
      </c>
      <c r="AI20">
        <f ca="1"/>
        <v>-0.39726811618929819</v>
      </c>
      <c r="AJ20">
        <f ca="1"/>
        <v>0.22496185482393563</v>
      </c>
      <c r="AK20">
        <f ca="1"/>
        <v>0.37524251550834675</v>
      </c>
      <c r="AN20" s="9">
        <v>1.7166020448426924</v>
      </c>
      <c r="AO20" s="9">
        <v>-5.6680878848242133E-2</v>
      </c>
    </row>
    <row r="21" spans="1:41" x14ac:dyDescent="0.2">
      <c r="A21" s="2">
        <v>42613</v>
      </c>
      <c r="B21">
        <v>13.599814414978029</v>
      </c>
      <c r="C21">
        <v>125.34726715087891</v>
      </c>
      <c r="D21">
        <v>97.449996948242188</v>
      </c>
      <c r="E21">
        <v>1.5056749582290649</v>
      </c>
      <c r="F21">
        <v>14.133999824523929</v>
      </c>
      <c r="G21" s="10">
        <v>3.0000000000000001E-3</v>
      </c>
      <c r="H21" s="9">
        <f t="shared" si="1"/>
        <v>8.9147075161131406E-2</v>
      </c>
      <c r="I21" s="9">
        <f t="shared" si="2"/>
        <v>1.7589139682058441E-2</v>
      </c>
      <c r="J21" s="9">
        <f t="shared" si="3"/>
        <v>6.7945172035530854E-2</v>
      </c>
      <c r="K21" s="9">
        <f t="shared" si="4"/>
        <v>7.4255579011112571E-2</v>
      </c>
      <c r="L21" s="9">
        <f t="shared" si="5"/>
        <v>-9.7022904572475754E-2</v>
      </c>
      <c r="M21" s="24">
        <f t="shared" si="6"/>
        <v>5.5697800578502668E-2</v>
      </c>
      <c r="N21" s="24">
        <f t="shared" si="7"/>
        <v>-5.9613961524039236E-3</v>
      </c>
      <c r="O21" s="24">
        <f t="shared" si="8"/>
        <v>3.7279633105591084E-2</v>
      </c>
      <c r="P21" s="24">
        <f t="shared" si="9"/>
        <v>1.7103828608638766E-2</v>
      </c>
      <c r="Q21" s="24">
        <f t="shared" si="10"/>
        <v>-0.13657275152900045</v>
      </c>
      <c r="R21" s="1" t="s">
        <v>19</v>
      </c>
      <c r="S21" s="5">
        <v>0.3137877952530726</v>
      </c>
      <c r="T21" s="5">
        <v>0.29942174574084779</v>
      </c>
      <c r="U21" s="5">
        <v>0.99999999999999967</v>
      </c>
      <c r="V21">
        <v>0.49582999984586873</v>
      </c>
      <c r="W21">
        <v>0.29949930978090483</v>
      </c>
      <c r="AB21" s="9"/>
      <c r="AC21" s="20"/>
      <c r="AE21" s="22" cm="1">
        <f t="array" aca="1" ref="AE21" ca="1">SQRT(MMULT(MMULT(AG21:AK21,var_covar),TRANSPOSE(AG21:AK21)))</f>
        <v>0.13254152182854062</v>
      </c>
      <c r="AF21" s="22">
        <f t="shared" ca="1" si="11"/>
        <v>4.1162219063778815E-2</v>
      </c>
      <c r="AG21">
        <f ca="1"/>
        <v>-0.30099413761813765</v>
      </c>
      <c r="AH21">
        <f ca="1"/>
        <v>0.45273934334905064</v>
      </c>
      <c r="AI21">
        <f ca="1"/>
        <v>-7.4328110216254531E-2</v>
      </c>
      <c r="AJ21">
        <f ca="1"/>
        <v>0.36128475487713824</v>
      </c>
      <c r="AK21">
        <f ca="1"/>
        <v>0.56129814960820323</v>
      </c>
      <c r="AN21" s="9">
        <v>1.681664899674072</v>
      </c>
      <c r="AO21" s="9">
        <v>-8.6177163339690555E-2</v>
      </c>
    </row>
    <row r="22" spans="1:41" x14ac:dyDescent="0.2">
      <c r="A22" s="2">
        <v>42643</v>
      </c>
      <c r="B22">
        <v>13.299174308776861</v>
      </c>
      <c r="C22">
        <v>127.4840927124023</v>
      </c>
      <c r="D22">
        <v>98.550003051757812</v>
      </c>
      <c r="E22">
        <v>1.685017943382263</v>
      </c>
      <c r="F22">
        <v>13.60200023651123</v>
      </c>
      <c r="G22" s="10">
        <v>2.8999999999999998E-3</v>
      </c>
      <c r="H22" s="9">
        <f t="shared" si="1"/>
        <v>-2.2106191822004684E-2</v>
      </c>
      <c r="I22" s="9">
        <f t="shared" si="2"/>
        <v>1.704724490683418E-2</v>
      </c>
      <c r="J22" s="9">
        <f t="shared" si="3"/>
        <v>1.1287902903679647E-2</v>
      </c>
      <c r="K22" s="9">
        <f t="shared" si="4"/>
        <v>0.11911135545757934</v>
      </c>
      <c r="L22" s="9">
        <f t="shared" si="5"/>
        <v>-3.7639705293446069E-2</v>
      </c>
      <c r="M22" s="24">
        <f t="shared" si="6"/>
        <v>-5.5555466404633422E-2</v>
      </c>
      <c r="N22" s="24">
        <f t="shared" si="7"/>
        <v>-6.5032909276281844E-3</v>
      </c>
      <c r="O22" s="24">
        <f t="shared" si="8"/>
        <v>-1.9377636026260123E-2</v>
      </c>
      <c r="P22" s="24">
        <f t="shared" si="9"/>
        <v>6.1959605055105532E-2</v>
      </c>
      <c r="Q22" s="24">
        <f t="shared" si="10"/>
        <v>-7.7189552249970761E-2</v>
      </c>
      <c r="R22" s="1" t="s">
        <v>1</v>
      </c>
      <c r="S22">
        <v>0.45247494065416949</v>
      </c>
      <c r="T22">
        <v>0.43399044451764862</v>
      </c>
      <c r="U22">
        <v>0.49582999984586873</v>
      </c>
      <c r="V22">
        <v>0.99999999999999967</v>
      </c>
      <c r="W22">
        <v>0.30812274361173186</v>
      </c>
      <c r="AB22" s="9"/>
      <c r="AC22" s="20"/>
      <c r="AE22" s="22" cm="1">
        <f t="array" aca="1" ref="AE22" ca="1">SQRT(MMULT(MMULT(AG22:AK22,var_covar),TRANSPOSE(AG22:AK22)))</f>
        <v>0.2571528592586485</v>
      </c>
      <c r="AF22" s="22">
        <f t="shared" ca="1" si="11"/>
        <v>4.3352677027253546E-2</v>
      </c>
      <c r="AG22">
        <f ca="1"/>
        <v>-0.1156956172114235</v>
      </c>
      <c r="AH22">
        <f ca="1"/>
        <v>-0.366930922876257</v>
      </c>
      <c r="AI22">
        <f ca="1"/>
        <v>0.1006722359752986</v>
      </c>
      <c r="AJ22">
        <f ca="1"/>
        <v>-0.1067622182143927</v>
      </c>
      <c r="AK22">
        <f ca="1"/>
        <v>1.4887165223267744</v>
      </c>
      <c r="AN22" s="9">
        <v>1.6010055100607503</v>
      </c>
      <c r="AO22" s="9">
        <v>-0.19153833140066323</v>
      </c>
    </row>
    <row r="23" spans="1:41" x14ac:dyDescent="0.2">
      <c r="A23" s="2">
        <v>42674</v>
      </c>
      <c r="B23">
        <v>13.16608238220215</v>
      </c>
      <c r="C23">
        <v>130.18743896484381</v>
      </c>
      <c r="D23">
        <v>124.870002746582</v>
      </c>
      <c r="E23">
        <v>1.749939918518066</v>
      </c>
      <c r="F23">
        <v>13.18200016021729</v>
      </c>
      <c r="G23" s="10">
        <v>3.3E-3</v>
      </c>
      <c r="H23" s="9">
        <f t="shared" si="1"/>
        <v>-1.0007533060671037E-2</v>
      </c>
      <c r="I23" s="9">
        <f t="shared" si="2"/>
        <v>2.1205361350769669E-2</v>
      </c>
      <c r="J23" s="9">
        <f t="shared" si="3"/>
        <v>0.26707254063707242</v>
      </c>
      <c r="K23" s="9">
        <f t="shared" si="4"/>
        <v>3.8528951807770051E-2</v>
      </c>
      <c r="L23" s="9">
        <f t="shared" si="5"/>
        <v>-3.0877817158578846E-2</v>
      </c>
      <c r="M23" s="24">
        <f t="shared" si="6"/>
        <v>-4.3456807643299775E-2</v>
      </c>
      <c r="N23" s="24">
        <f t="shared" si="7"/>
        <v>-2.3451744836926955E-3</v>
      </c>
      <c r="O23" s="24">
        <f t="shared" si="8"/>
        <v>0.23640700170713264</v>
      </c>
      <c r="P23" s="24">
        <f t="shared" si="9"/>
        <v>-1.8622798594703754E-2</v>
      </c>
      <c r="Q23" s="24">
        <f t="shared" si="10"/>
        <v>-7.0427664115103539E-2</v>
      </c>
      <c r="R23" s="1" t="s">
        <v>20</v>
      </c>
      <c r="S23">
        <v>0.31540710294504287</v>
      </c>
      <c r="T23">
        <v>0.26097060841064035</v>
      </c>
      <c r="U23">
        <v>0.29949930978090483</v>
      </c>
      <c r="V23">
        <v>0.30812274361173186</v>
      </c>
      <c r="W23">
        <v>1</v>
      </c>
      <c r="AB23" s="9"/>
      <c r="AC23" s="20"/>
      <c r="AE23" s="22" cm="1">
        <f t="array" aca="1" ref="AE23" ca="1">SQRT(MMULT(MMULT(AG23:AK23,var_covar),TRANSPOSE(AG23:AK23)))</f>
        <v>0.1352195715539935</v>
      </c>
      <c r="AF23" s="22">
        <f t="shared" ca="1" si="11"/>
        <v>4.5872965756854414E-2</v>
      </c>
      <c r="AG23">
        <f ca="1"/>
        <v>0.19342625215670131</v>
      </c>
      <c r="AH23">
        <f ca="1"/>
        <v>0.12266222180762472</v>
      </c>
      <c r="AI23">
        <f ca="1"/>
        <v>-0.30414487653412237</v>
      </c>
      <c r="AJ23">
        <f ca="1"/>
        <v>0.38424957580178615</v>
      </c>
      <c r="AK23">
        <f ca="1"/>
        <v>0.60380682676801023</v>
      </c>
      <c r="AN23" s="9">
        <v>1.5883301899843725</v>
      </c>
      <c r="AO23" s="9">
        <v>7.6298400689145396E-2</v>
      </c>
    </row>
    <row r="24" spans="1:41" x14ac:dyDescent="0.2">
      <c r="A24" s="2">
        <v>42704</v>
      </c>
      <c r="B24">
        <v>13.182320594787599</v>
      </c>
      <c r="C24">
        <v>117.69444274902339</v>
      </c>
      <c r="D24">
        <v>117</v>
      </c>
      <c r="E24">
        <v>2.2673473358154301</v>
      </c>
      <c r="F24">
        <v>12.62666702270508</v>
      </c>
      <c r="G24" s="10">
        <v>4.5000000000000005E-3</v>
      </c>
      <c r="H24" s="9">
        <f t="shared" si="1"/>
        <v>1.2333366991079675E-3</v>
      </c>
      <c r="I24" s="9">
        <f t="shared" si="2"/>
        <v>-9.596160977706969E-2</v>
      </c>
      <c r="J24" s="9">
        <f t="shared" si="3"/>
        <v>-6.3025567177681707E-2</v>
      </c>
      <c r="K24" s="9">
        <f t="shared" si="4"/>
        <v>0.2956715323892547</v>
      </c>
      <c r="L24" s="9">
        <f t="shared" si="5"/>
        <v>-4.2128139186963565E-2</v>
      </c>
      <c r="M24" s="24">
        <f t="shared" si="6"/>
        <v>-3.221593788352077E-2</v>
      </c>
      <c r="N24" s="24">
        <f t="shared" si="7"/>
        <v>-0.11951214561153206</v>
      </c>
      <c r="O24" s="24">
        <f t="shared" si="8"/>
        <v>-9.3691106107621477E-2</v>
      </c>
      <c r="P24" s="24">
        <f t="shared" si="9"/>
        <v>0.23851978198678089</v>
      </c>
      <c r="Q24" s="24">
        <f t="shared" si="10"/>
        <v>-8.1677986143488257E-2</v>
      </c>
      <c r="AB24" s="9"/>
      <c r="AC24" s="20"/>
      <c r="AE24" s="22" cm="1">
        <f t="array" aca="1" ref="AE24" ca="1">SQRT(MMULT(MMULT(AG24:AK24,var_covar),TRANSPOSE(AG24:AK24)))</f>
        <v>0.14621479144459371</v>
      </c>
      <c r="AF24" s="22">
        <f t="shared" ca="1" si="11"/>
        <v>1.7976488682745283E-2</v>
      </c>
      <c r="AG24">
        <f ca="1"/>
        <v>7.527225861939453E-2</v>
      </c>
      <c r="AH24">
        <f ca="1"/>
        <v>0.18267535226407838</v>
      </c>
      <c r="AI24">
        <f ca="1"/>
        <v>0.78314712573422152</v>
      </c>
      <c r="AJ24">
        <f ca="1"/>
        <v>-0.6382124726713988</v>
      </c>
      <c r="AK24">
        <f ca="1"/>
        <v>0.59711773605370422</v>
      </c>
      <c r="AN24" s="9">
        <v>1.4604278514371716</v>
      </c>
      <c r="AO24" s="9">
        <v>0.30686115709378636</v>
      </c>
    </row>
    <row r="25" spans="1:41" x14ac:dyDescent="0.2">
      <c r="A25" s="2">
        <v>42735</v>
      </c>
      <c r="B25">
        <v>13.667893409729</v>
      </c>
      <c r="C25">
        <v>114.34510803222661</v>
      </c>
      <c r="D25">
        <v>123.8000030517578</v>
      </c>
      <c r="E25">
        <v>2.6288399696350102</v>
      </c>
      <c r="F25">
        <v>14.24600028991699</v>
      </c>
      <c r="G25" s="10">
        <v>5.1000000000000004E-3</v>
      </c>
      <c r="H25" s="9">
        <f t="shared" si="1"/>
        <v>3.6835154436571704E-2</v>
      </c>
      <c r="I25" s="9">
        <f t="shared" si="2"/>
        <v>-2.8457883299885744E-2</v>
      </c>
      <c r="J25" s="9">
        <f t="shared" si="3"/>
        <v>5.811968420305802E-2</v>
      </c>
      <c r="K25" s="9">
        <f t="shared" si="4"/>
        <v>0.15943416701507385</v>
      </c>
      <c r="L25" s="9">
        <f t="shared" si="5"/>
        <v>0.12824708724004918</v>
      </c>
      <c r="M25" s="24">
        <f t="shared" si="6"/>
        <v>3.3858798539429663E-3</v>
      </c>
      <c r="N25" s="24">
        <f t="shared" si="7"/>
        <v>-5.2008419134348109E-2</v>
      </c>
      <c r="O25" s="24">
        <f t="shared" si="8"/>
        <v>2.7454145273118249E-2</v>
      </c>
      <c r="P25" s="24">
        <f t="shared" si="9"/>
        <v>0.10228241661260004</v>
      </c>
      <c r="Q25" s="24">
        <f t="shared" si="10"/>
        <v>8.8697240283524492E-2</v>
      </c>
      <c r="S25" s="1" t="s">
        <v>18</v>
      </c>
      <c r="T25" s="1" t="s">
        <v>0</v>
      </c>
      <c r="U25" s="1" t="s">
        <v>19</v>
      </c>
      <c r="V25" s="1" t="s">
        <v>1</v>
      </c>
      <c r="W25" s="1" t="s">
        <v>20</v>
      </c>
      <c r="AB25" s="9"/>
      <c r="AC25" s="20"/>
      <c r="AE25" s="22" cm="1">
        <f t="array" aca="1" ref="AE25" ca="1">SQRT(MMULT(MMULT(AG25:AK25,var_covar),TRANSPOSE(AG25:AK25)))</f>
        <v>0.77995594284958425</v>
      </c>
      <c r="AF25" s="22">
        <f t="shared" ca="1" si="11"/>
        <v>0.1379753762248202</v>
      </c>
      <c r="AG25">
        <f ca="1"/>
        <v>4.2245683465868646</v>
      </c>
      <c r="AH25">
        <f ca="1"/>
        <v>-0.65167391198963398</v>
      </c>
      <c r="AI25">
        <f ca="1"/>
        <v>-6.6464372228070685</v>
      </c>
      <c r="AJ25">
        <f ca="1"/>
        <v>3.1088958730131648</v>
      </c>
      <c r="AK25">
        <f ca="1"/>
        <v>0.96464691519667323</v>
      </c>
      <c r="AN25" s="9">
        <v>1.4365608818355133</v>
      </c>
      <c r="AO25" s="9">
        <v>0.17407529502202063</v>
      </c>
    </row>
    <row r="26" spans="1:41" x14ac:dyDescent="0.2">
      <c r="A26" s="2">
        <v>42766</v>
      </c>
      <c r="B26">
        <v>15.51356410980225</v>
      </c>
      <c r="C26">
        <v>129.52154541015619</v>
      </c>
      <c r="D26">
        <v>140.71000671386719</v>
      </c>
      <c r="E26">
        <v>2.688933372497559</v>
      </c>
      <c r="F26">
        <v>16.795333862304691</v>
      </c>
      <c r="G26" s="10">
        <v>5.1000000000000004E-3</v>
      </c>
      <c r="H26" s="9">
        <f t="shared" si="1"/>
        <v>0.13503695447020925</v>
      </c>
      <c r="I26" s="9">
        <f t="shared" si="2"/>
        <v>0.13272485057823658</v>
      </c>
      <c r="J26" s="9">
        <f t="shared" si="3"/>
        <v>0.13659130246579809</v>
      </c>
      <c r="K26" s="9">
        <f t="shared" si="4"/>
        <v>2.2859285295670606E-2</v>
      </c>
      <c r="L26" s="9">
        <f t="shared" si="5"/>
        <v>0.17895082974216026</v>
      </c>
      <c r="M26" s="24">
        <f t="shared" si="6"/>
        <v>0.10158767988758051</v>
      </c>
      <c r="N26" s="24">
        <f t="shared" si="7"/>
        <v>0.1091743147437742</v>
      </c>
      <c r="O26" s="24">
        <f t="shared" si="8"/>
        <v>0.10592576353585832</v>
      </c>
      <c r="P26" s="24">
        <f t="shared" si="9"/>
        <v>-3.4292465106803199E-2</v>
      </c>
      <c r="Q26" s="24">
        <f t="shared" si="10"/>
        <v>0.13940098278563556</v>
      </c>
      <c r="R26" s="18" t="s">
        <v>12</v>
      </c>
      <c r="S26">
        <v>0.2</v>
      </c>
      <c r="T26">
        <v>0.2</v>
      </c>
      <c r="U26">
        <v>0.2</v>
      </c>
      <c r="V26">
        <v>0.2</v>
      </c>
      <c r="W26">
        <v>0.2</v>
      </c>
      <c r="AB26" s="9"/>
      <c r="AC26" s="20"/>
      <c r="AE26" s="22" cm="1">
        <f t="array" aca="1" ref="AE26" ca="1">SQRT(MMULT(MMULT(AG26:AK26,var_covar),TRANSPOSE(AG26:AK26)))</f>
        <v>0.18157160798775315</v>
      </c>
      <c r="AF26" s="22">
        <f t="shared" ca="1" si="11"/>
        <v>4.0510467165213608E-2</v>
      </c>
      <c r="AG26">
        <f ca="1"/>
        <v>-0.96942704242333644</v>
      </c>
      <c r="AH26">
        <f ca="1"/>
        <v>0.35405215208412372</v>
      </c>
      <c r="AI26">
        <f ca="1"/>
        <v>0.54804107101791211</v>
      </c>
      <c r="AJ26">
        <f ca="1"/>
        <v>0.31701779373354677</v>
      </c>
      <c r="AK26">
        <f ca="1"/>
        <v>0.7503160255877539</v>
      </c>
      <c r="AN26" s="9">
        <v>1.3903405700934461</v>
      </c>
      <c r="AO26" s="9">
        <v>5.9160618594307657E-2</v>
      </c>
    </row>
    <row r="27" spans="1:41" ht="17" x14ac:dyDescent="0.25">
      <c r="A27" s="2">
        <v>42794</v>
      </c>
      <c r="B27">
        <v>16.402387619018551</v>
      </c>
      <c r="C27">
        <v>134.70954895019531</v>
      </c>
      <c r="D27">
        <v>142.1300048828125</v>
      </c>
      <c r="E27">
        <v>2.4992938041687012</v>
      </c>
      <c r="F27">
        <v>16.666000366210941</v>
      </c>
      <c r="G27" s="10">
        <v>5.1999999999999998E-3</v>
      </c>
      <c r="H27" s="9">
        <f t="shared" si="1"/>
        <v>5.7293314606841284E-2</v>
      </c>
      <c r="I27" s="9">
        <f t="shared" si="2"/>
        <v>4.0055139271309992E-2</v>
      </c>
      <c r="J27" s="9">
        <f t="shared" si="3"/>
        <v>1.0091664424640934E-2</v>
      </c>
      <c r="K27" s="9">
        <f t="shared" si="4"/>
        <v>-7.0525945443086657E-2</v>
      </c>
      <c r="L27" s="9">
        <f t="shared" si="5"/>
        <v>-7.7005611888445458E-3</v>
      </c>
      <c r="M27" s="24">
        <f t="shared" si="6"/>
        <v>2.3844040024212546E-2</v>
      </c>
      <c r="N27" s="24">
        <f t="shared" si="7"/>
        <v>1.6504603436847627E-2</v>
      </c>
      <c r="O27" s="24">
        <f t="shared" si="8"/>
        <v>-2.0573874505298836E-2</v>
      </c>
      <c r="P27" s="24">
        <f t="shared" si="9"/>
        <v>-0.12767769584556046</v>
      </c>
      <c r="Q27" s="24">
        <f t="shared" si="10"/>
        <v>-4.7250408145369238E-2</v>
      </c>
      <c r="R27" t="s">
        <v>13</v>
      </c>
      <c r="S27" s="9">
        <f>SUMPRODUCT(S26:W26,$S$2:$W$2)</f>
        <v>3.6873389341205876E-2</v>
      </c>
      <c r="AB27" s="9"/>
      <c r="AC27" s="20"/>
      <c r="AE27" s="22" cm="1">
        <f t="array" aca="1" ref="AE27" ca="1">SQRT(MMULT(MMULT(AG27:AK27,var_covar),TRANSPOSE(AG27:AK27)))</f>
        <v>0.10325530150238582</v>
      </c>
      <c r="AF27" s="22">
        <f t="shared" ca="1" si="11"/>
        <v>4.593091006569857E-2</v>
      </c>
      <c r="AG27">
        <f ca="1"/>
        <v>6.7601970533661015E-2</v>
      </c>
      <c r="AH27">
        <f ca="1"/>
        <v>0.19375936453071585</v>
      </c>
      <c r="AI27">
        <f ca="1"/>
        <v>7.0949913845203647E-2</v>
      </c>
      <c r="AJ27">
        <f ca="1"/>
        <v>0.59788028609229027</v>
      </c>
      <c r="AK27">
        <f ca="1"/>
        <v>6.9808464998129177E-2</v>
      </c>
      <c r="AN27" s="9">
        <v>1.352361877653254</v>
      </c>
      <c r="AO27" s="9">
        <v>-8.1936470669036893E-2</v>
      </c>
    </row>
    <row r="28" spans="1:41" ht="17" x14ac:dyDescent="0.25">
      <c r="A28" s="2">
        <v>42825</v>
      </c>
      <c r="B28">
        <v>17.026813507080082</v>
      </c>
      <c r="C28">
        <v>141.17967224121091</v>
      </c>
      <c r="D28">
        <v>147.80999755859381</v>
      </c>
      <c r="E28">
        <v>2.6861615180969238</v>
      </c>
      <c r="F28">
        <v>18.5533332824707</v>
      </c>
      <c r="G28" s="10">
        <v>7.4000000000000003E-3</v>
      </c>
      <c r="H28" s="9">
        <f t="shared" si="1"/>
        <v>3.8069206908481368E-2</v>
      </c>
      <c r="I28" s="9">
        <f t="shared" si="2"/>
        <v>4.8030175599561353E-2</v>
      </c>
      <c r="J28" s="9">
        <f t="shared" si="3"/>
        <v>3.9963360871369202E-2</v>
      </c>
      <c r="K28" s="9">
        <f t="shared" si="4"/>
        <v>7.4768205969436785E-2</v>
      </c>
      <c r="L28" s="9">
        <f t="shared" si="5"/>
        <v>0.11324450226739358</v>
      </c>
      <c r="M28" s="24">
        <f t="shared" si="6"/>
        <v>4.6199323258526298E-3</v>
      </c>
      <c r="N28" s="24">
        <f t="shared" si="7"/>
        <v>2.4479639765098989E-2</v>
      </c>
      <c r="O28" s="24">
        <f t="shared" si="8"/>
        <v>9.2978219414294322E-3</v>
      </c>
      <c r="P28" s="24">
        <f t="shared" si="9"/>
        <v>1.761645556696298E-2</v>
      </c>
      <c r="Q28" s="24">
        <f t="shared" si="10"/>
        <v>7.3694655310868884E-2</v>
      </c>
      <c r="R28" s="14" t="s">
        <v>14</v>
      </c>
      <c r="S28" s="9" cm="1">
        <f t="array" ref="S28">SQRT(MMULT(MMULT(S26:W26,var_covar),TRANSPOSE(S26:W26)))</f>
        <v>8.7431520446713429E-2</v>
      </c>
      <c r="AB28" s="9"/>
      <c r="AC28" s="20"/>
      <c r="AE28" s="22" cm="1">
        <f t="array" aca="1" ref="AE28" ca="1">SQRT(MMULT(MMULT(AG28:AK28,var_covar),TRANSPOSE(AG28:AK28)))</f>
        <v>9.8957256617817457E-2</v>
      </c>
      <c r="AF28" s="22">
        <f t="shared" ca="1" si="11"/>
        <v>3.8904087946039709E-2</v>
      </c>
      <c r="AG28">
        <f ca="1"/>
        <v>-8.4267403842065519E-2</v>
      </c>
      <c r="AH28">
        <f ca="1"/>
        <v>0.33762979670515952</v>
      </c>
      <c r="AI28">
        <f ca="1"/>
        <v>0.1681630800149298</v>
      </c>
      <c r="AJ28">
        <f ca="1"/>
        <v>0.32587489042570833</v>
      </c>
      <c r="AK28">
        <f ca="1"/>
        <v>0.25259963669626789</v>
      </c>
      <c r="AN28" s="9">
        <v>1.3301248899567912</v>
      </c>
      <c r="AO28" s="9">
        <v>0.28622673580455421</v>
      </c>
    </row>
    <row r="29" spans="1:41" ht="17" x14ac:dyDescent="0.25">
      <c r="A29" s="2">
        <v>42855</v>
      </c>
      <c r="B29">
        <v>17.248550415039059</v>
      </c>
      <c r="C29">
        <v>149.32942199707031</v>
      </c>
      <c r="D29">
        <v>152.19999694824219</v>
      </c>
      <c r="E29">
        <v>2.5719878673553471</v>
      </c>
      <c r="F29">
        <v>20.9379997253418</v>
      </c>
      <c r="G29" s="10">
        <v>8.0000000000000002E-3</v>
      </c>
      <c r="H29" s="9">
        <f t="shared" si="1"/>
        <v>1.3022807107552659E-2</v>
      </c>
      <c r="I29" s="9">
        <f t="shared" si="2"/>
        <v>5.7726084970187719E-2</v>
      </c>
      <c r="J29" s="9">
        <f t="shared" si="3"/>
        <v>2.970028727527807E-2</v>
      </c>
      <c r="K29" s="9">
        <f t="shared" si="4"/>
        <v>-4.2504387756424178E-2</v>
      </c>
      <c r="L29" s="9">
        <f t="shared" si="5"/>
        <v>0.128530351207788</v>
      </c>
      <c r="M29" s="24">
        <f t="shared" si="6"/>
        <v>-2.0426467475076079E-2</v>
      </c>
      <c r="N29" s="24">
        <f t="shared" si="7"/>
        <v>3.4175549135725354E-2</v>
      </c>
      <c r="O29" s="24">
        <f t="shared" si="8"/>
        <v>-9.6525165466170015E-4</v>
      </c>
      <c r="P29" s="24">
        <f t="shared" si="9"/>
        <v>-9.9656138158897983E-2</v>
      </c>
      <c r="Q29" s="24">
        <f t="shared" si="10"/>
        <v>8.8980504251263304E-2</v>
      </c>
      <c r="R29" t="s">
        <v>15</v>
      </c>
      <c r="S29" s="15">
        <f>(S27-$X$2)/S28</f>
        <v>0.20139544509989615</v>
      </c>
      <c r="AB29" s="9"/>
      <c r="AC29" s="20"/>
      <c r="AE29" s="22" cm="1">
        <f t="array" aca="1" ref="AE29" ca="1">SQRT(MMULT(MMULT(AG29:AK29,var_covar),TRANSPOSE(AG29:AK29)))</f>
        <v>9.6436884901959785E-2</v>
      </c>
      <c r="AF29" s="22">
        <f t="shared" ca="1" si="11"/>
        <v>3.4526401398189639E-2</v>
      </c>
      <c r="AG29">
        <f ca="1"/>
        <v>0.78146240460132699</v>
      </c>
      <c r="AH29">
        <f ca="1"/>
        <v>-7.2921286843241007E-2</v>
      </c>
      <c r="AI29">
        <f ca="1"/>
        <v>0.37601498082150991</v>
      </c>
      <c r="AJ29">
        <f ca="1"/>
        <v>0.10895781589223713</v>
      </c>
      <c r="AK29">
        <f ca="1"/>
        <v>-0.19351391447183305</v>
      </c>
      <c r="AN29" s="9">
        <v>1.3219504962744759</v>
      </c>
      <c r="AO29" s="9">
        <v>-9.5987926694225317E-2</v>
      </c>
    </row>
    <row r="30" spans="1:41" x14ac:dyDescent="0.2">
      <c r="A30" s="2">
        <v>42886</v>
      </c>
      <c r="B30">
        <v>18.70694732666016</v>
      </c>
      <c r="C30">
        <v>150.5320129394531</v>
      </c>
      <c r="D30">
        <v>163.07000732421881</v>
      </c>
      <c r="E30">
        <v>3.5596022605896001</v>
      </c>
      <c r="F30">
        <v>22.733999252319339</v>
      </c>
      <c r="G30" s="10">
        <v>8.8999999999999999E-3</v>
      </c>
      <c r="H30" s="9">
        <f t="shared" si="1"/>
        <v>8.4551853722705905E-2</v>
      </c>
      <c r="I30" s="9">
        <f t="shared" si="2"/>
        <v>8.0532752775697158E-3</v>
      </c>
      <c r="J30" s="9">
        <f t="shared" si="3"/>
        <v>7.1419254887850725E-2</v>
      </c>
      <c r="K30" s="9">
        <f t="shared" si="4"/>
        <v>0.38398874495849378</v>
      </c>
      <c r="L30" s="9">
        <f t="shared" si="5"/>
        <v>8.5777034603921276E-2</v>
      </c>
      <c r="M30" s="24">
        <f t="shared" si="6"/>
        <v>5.1102579140077167E-2</v>
      </c>
      <c r="N30" s="24">
        <f t="shared" si="7"/>
        <v>-1.5497260556892649E-2</v>
      </c>
      <c r="O30" s="24">
        <f t="shared" si="8"/>
        <v>4.0753715957910955E-2</v>
      </c>
      <c r="P30" s="24">
        <f t="shared" si="9"/>
        <v>0.32683699455602</v>
      </c>
      <c r="Q30" s="24">
        <f t="shared" si="10"/>
        <v>4.6227187647396584E-2</v>
      </c>
      <c r="AB30" s="9"/>
      <c r="AC30" s="20"/>
      <c r="AE30" s="22" cm="1">
        <f t="array" aca="1" ref="AE30" ca="1">SQRT(MMULT(MMULT(AG30:AK30,var_covar),TRANSPOSE(AG30:AK30)))</f>
        <v>0.19454191087069922</v>
      </c>
      <c r="AF30" s="22">
        <f t="shared" ca="1" si="11"/>
        <v>5.0887949310485278E-2</v>
      </c>
      <c r="AG30">
        <f ca="1"/>
        <v>1.2978179222344943</v>
      </c>
      <c r="AH30">
        <f ca="1"/>
        <v>1.9985553107322255E-2</v>
      </c>
      <c r="AI30">
        <f ca="1"/>
        <v>-0.44339123366506894</v>
      </c>
      <c r="AJ30">
        <f ca="1"/>
        <v>0.88831672953145557</v>
      </c>
      <c r="AK30">
        <f ca="1"/>
        <v>-0.76272897120820338</v>
      </c>
      <c r="AN30" s="9">
        <v>1.3160220634527591</v>
      </c>
      <c r="AO30" s="9">
        <v>-0.260870096744799</v>
      </c>
    </row>
    <row r="31" spans="1:41" x14ac:dyDescent="0.2">
      <c r="A31" s="2">
        <v>42916</v>
      </c>
      <c r="B31">
        <v>18.204671859741211</v>
      </c>
      <c r="C31">
        <v>150.054931640625</v>
      </c>
      <c r="D31">
        <v>149.4100036621094</v>
      </c>
      <c r="E31">
        <v>3.5685350894927979</v>
      </c>
      <c r="F31">
        <v>24.107332229614261</v>
      </c>
      <c r="G31" s="10">
        <v>9.7999999999999997E-3</v>
      </c>
      <c r="H31" s="9">
        <f t="shared" si="1"/>
        <v>-2.6849675585664978E-2</v>
      </c>
      <c r="I31" s="9">
        <f t="shared" si="2"/>
        <v>-3.1693012636454521E-3</v>
      </c>
      <c r="J31" s="9">
        <f t="shared" si="3"/>
        <v>-8.3767725814535177E-2</v>
      </c>
      <c r="K31" s="9">
        <f t="shared" si="4"/>
        <v>2.5095019750094316E-3</v>
      </c>
      <c r="L31" s="9">
        <f t="shared" si="5"/>
        <v>6.0408771991791621E-2</v>
      </c>
      <c r="M31" s="24">
        <f t="shared" si="6"/>
        <v>-6.0298950168293716E-2</v>
      </c>
      <c r="N31" s="24">
        <f t="shared" si="7"/>
        <v>-2.6719837098107817E-2</v>
      </c>
      <c r="O31" s="24">
        <f t="shared" si="8"/>
        <v>-0.11443326474447495</v>
      </c>
      <c r="P31" s="24">
        <f t="shared" si="9"/>
        <v>-5.4642248427464374E-2</v>
      </c>
      <c r="Q31" s="24">
        <f t="shared" si="10"/>
        <v>2.0858925035266929E-2</v>
      </c>
      <c r="AB31" s="9"/>
      <c r="AC31" s="20"/>
      <c r="AE31" s="22" cm="1">
        <f t="array" aca="1" ref="AE31" ca="1">SQRT(MMULT(MMULT(AG31:AK31,var_covar),TRANSPOSE(AG31:AK31)))</f>
        <v>0.19995460870040171</v>
      </c>
      <c r="AF31" s="22">
        <f t="shared" ca="1" si="11"/>
        <v>5.321128933232578E-2</v>
      </c>
      <c r="AG31">
        <f ca="1"/>
        <v>-0.26409873512928378</v>
      </c>
      <c r="AH31">
        <f ca="1"/>
        <v>-0.37303238523670867</v>
      </c>
      <c r="AI31">
        <f ca="1"/>
        <v>0.17856467082916</v>
      </c>
      <c r="AJ31">
        <f ca="1"/>
        <v>0.43566034208420867</v>
      </c>
      <c r="AK31">
        <f ca="1"/>
        <v>1.0229061074526238</v>
      </c>
      <c r="AN31" s="9">
        <v>1.2891126879586581</v>
      </c>
      <c r="AO31" s="9">
        <v>-7.9347953021987078E-2</v>
      </c>
    </row>
    <row r="32" spans="1:41" x14ac:dyDescent="0.2">
      <c r="A32" s="2">
        <v>42947</v>
      </c>
      <c r="B32">
        <v>19.349870681762699</v>
      </c>
      <c r="C32">
        <v>168.2130126953125</v>
      </c>
      <c r="D32">
        <v>181.6600036621094</v>
      </c>
      <c r="E32">
        <v>4.0116395950317383</v>
      </c>
      <c r="F32">
        <v>21.564666748046879</v>
      </c>
      <c r="G32" s="10">
        <v>1.0700000000000001E-2</v>
      </c>
      <c r="H32" s="9">
        <f t="shared" si="1"/>
        <v>6.2906864284329345E-2</v>
      </c>
      <c r="I32" s="9">
        <f t="shared" si="2"/>
        <v>0.1210095586739881</v>
      </c>
      <c r="J32" s="9">
        <f t="shared" si="3"/>
        <v>0.21584900080006264</v>
      </c>
      <c r="K32" s="9">
        <f t="shared" si="4"/>
        <v>0.12416986086072646</v>
      </c>
      <c r="L32" s="9">
        <f t="shared" si="5"/>
        <v>-0.10547270255162811</v>
      </c>
      <c r="M32" s="24">
        <f t="shared" si="6"/>
        <v>2.9457589701700607E-2</v>
      </c>
      <c r="N32" s="24">
        <f t="shared" si="7"/>
        <v>9.7459022839525733E-2</v>
      </c>
      <c r="O32" s="24">
        <f t="shared" si="8"/>
        <v>0.18518346187012286</v>
      </c>
      <c r="P32" s="24">
        <f t="shared" si="9"/>
        <v>6.701811045825265E-2</v>
      </c>
      <c r="Q32" s="24">
        <f t="shared" si="10"/>
        <v>-0.1450225495081528</v>
      </c>
      <c r="S32" s="5"/>
      <c r="T32" s="5"/>
      <c r="U32" s="5"/>
      <c r="V32" s="5"/>
      <c r="W32" s="5"/>
      <c r="AB32" s="9"/>
      <c r="AC32" s="20"/>
      <c r="AE32" s="22" cm="1">
        <f t="array" aca="1" ref="AE32" ca="1">SQRT(MMULT(MMULT(AG32:AK32,var_covar),TRANSPOSE(AG32:AK32)))</f>
        <v>9.2687955791188159E-2</v>
      </c>
      <c r="AF32" s="22">
        <f t="shared" ca="1" si="11"/>
        <v>3.76700384167723E-2</v>
      </c>
      <c r="AG32">
        <f ca="1"/>
        <v>0.82657175659822302</v>
      </c>
      <c r="AH32">
        <f ca="1"/>
        <v>6.0023326892573468E-2</v>
      </c>
      <c r="AI32">
        <f ca="1"/>
        <v>-5.4328335004679935E-2</v>
      </c>
      <c r="AJ32">
        <f ca="1"/>
        <v>0.2068193655052479</v>
      </c>
      <c r="AK32">
        <f ca="1"/>
        <v>-3.9086113991364364E-2</v>
      </c>
      <c r="AN32" s="9">
        <v>1.2525431121710719</v>
      </c>
      <c r="AO32" s="9">
        <v>-4.4729328184860612E-2</v>
      </c>
    </row>
    <row r="33" spans="1:41" x14ac:dyDescent="0.2">
      <c r="A33" s="2">
        <v>42978</v>
      </c>
      <c r="B33">
        <v>19.77426910400391</v>
      </c>
      <c r="C33">
        <v>170.91633605957031</v>
      </c>
      <c r="D33">
        <v>174.71000671386719</v>
      </c>
      <c r="E33">
        <v>4.1827092170715332</v>
      </c>
      <c r="F33">
        <v>23.726667404174801</v>
      </c>
      <c r="G33" s="10">
        <v>1.01E-2</v>
      </c>
      <c r="H33" s="9">
        <f t="shared" si="1"/>
        <v>2.1932881579472596E-2</v>
      </c>
      <c r="I33" s="9">
        <f t="shared" si="2"/>
        <v>1.6070833765722936E-2</v>
      </c>
      <c r="J33" s="9">
        <f t="shared" si="3"/>
        <v>-3.8258267137158741E-2</v>
      </c>
      <c r="K33" s="9">
        <f t="shared" si="4"/>
        <v>4.2643317772528277E-2</v>
      </c>
      <c r="L33" s="9">
        <f t="shared" si="5"/>
        <v>0.10025662262199053</v>
      </c>
      <c r="M33" s="24">
        <f t="shared" si="6"/>
        <v>-1.1516393003156142E-2</v>
      </c>
      <c r="N33" s="24">
        <f t="shared" si="7"/>
        <v>-7.4797020687394286E-3</v>
      </c>
      <c r="O33" s="24">
        <f t="shared" si="8"/>
        <v>-6.8923806067098511E-2</v>
      </c>
      <c r="P33" s="24">
        <f t="shared" si="9"/>
        <v>-1.4508432629945528E-2</v>
      </c>
      <c r="Q33" s="24">
        <f t="shared" si="10"/>
        <v>6.070677566546584E-2</v>
      </c>
      <c r="S33" s="1" t="s">
        <v>18</v>
      </c>
      <c r="T33" s="1" t="s">
        <v>0</v>
      </c>
      <c r="U33" s="1" t="s">
        <v>19</v>
      </c>
      <c r="V33" s="1" t="s">
        <v>1</v>
      </c>
      <c r="W33" s="1" t="s">
        <v>20</v>
      </c>
      <c r="AB33" s="9"/>
      <c r="AC33" s="20"/>
      <c r="AE33" s="22" cm="1">
        <f t="array" aca="1" ref="AE33" ca="1">SQRT(MMULT(MMULT(AG33:AK33,var_covar),TRANSPOSE(AG33:AK33)))</f>
        <v>0.24481172653946112</v>
      </c>
      <c r="AF33" s="22">
        <f t="shared" ca="1" si="11"/>
        <v>5.0734007431879488E-2</v>
      </c>
      <c r="AG33">
        <f ca="1"/>
        <v>-0.84936511609337384</v>
      </c>
      <c r="AH33">
        <f ca="1"/>
        <v>1.3442590571992323</v>
      </c>
      <c r="AI33">
        <f ca="1"/>
        <v>-0.19661074258921563</v>
      </c>
      <c r="AJ33">
        <f ca="1"/>
        <v>1.4636494103128495</v>
      </c>
      <c r="AK33">
        <f ca="1"/>
        <v>-0.76193260882949243</v>
      </c>
      <c r="AN33" s="9">
        <v>1.2102620448518526</v>
      </c>
      <c r="AO33" s="9">
        <v>0.30902126262778201</v>
      </c>
    </row>
    <row r="34" spans="1:41" x14ac:dyDescent="0.2">
      <c r="A34" s="2">
        <v>43008</v>
      </c>
      <c r="B34">
        <v>19.026666641235352</v>
      </c>
      <c r="C34">
        <v>169.82307434082031</v>
      </c>
      <c r="D34">
        <v>181.3500061035156</v>
      </c>
      <c r="E34">
        <v>4.4169116020202637</v>
      </c>
      <c r="F34">
        <v>22.739999771118161</v>
      </c>
      <c r="G34" s="10">
        <v>1.03E-2</v>
      </c>
      <c r="H34" s="9">
        <f t="shared" si="1"/>
        <v>-3.7806831637442584E-2</v>
      </c>
      <c r="I34" s="9">
        <f t="shared" si="2"/>
        <v>-6.3964729408250154E-3</v>
      </c>
      <c r="J34" s="9">
        <f t="shared" si="3"/>
        <v>3.8005833292211522E-2</v>
      </c>
      <c r="K34" s="9">
        <f t="shared" si="4"/>
        <v>5.5992987509828396E-2</v>
      </c>
      <c r="L34" s="9">
        <f t="shared" si="5"/>
        <v>-4.1584754245049704E-2</v>
      </c>
      <c r="M34" s="24">
        <f t="shared" si="6"/>
        <v>-7.1256106220071322E-2</v>
      </c>
      <c r="N34" s="24">
        <f t="shared" si="7"/>
        <v>-2.994700877528738E-2</v>
      </c>
      <c r="O34" s="24">
        <f t="shared" si="8"/>
        <v>7.3402943622717515E-3</v>
      </c>
      <c r="P34" s="24">
        <f t="shared" si="9"/>
        <v>-1.1587628926454097E-3</v>
      </c>
      <c r="Q34" s="24">
        <f t="shared" si="10"/>
        <v>-8.1134601201574397E-2</v>
      </c>
      <c r="R34" s="18" t="s">
        <v>16</v>
      </c>
      <c r="S34" s="8">
        <v>0.40583319811106183</v>
      </c>
      <c r="T34" s="8">
        <v>0.36399207699638658</v>
      </c>
      <c r="U34" s="8">
        <v>0.21133072501551897</v>
      </c>
      <c r="V34" s="8">
        <v>0</v>
      </c>
      <c r="W34" s="8">
        <v>1.8844015438076674E-2</v>
      </c>
      <c r="X34" s="8">
        <f>SUM(S34:W34)</f>
        <v>1.000000015561044</v>
      </c>
      <c r="AB34" s="9"/>
      <c r="AC34" s="20"/>
      <c r="AE34" s="22" cm="1">
        <f t="array" aca="1" ref="AE34" ca="1">SQRT(MMULT(MMULT(AG34:AK34,var_covar),TRANSPOSE(AG34:AK34)))</f>
        <v>0.8504359905626081</v>
      </c>
      <c r="AF34" s="22">
        <f t="shared" ca="1" si="11"/>
        <v>0.1067422190140308</v>
      </c>
      <c r="AG34">
        <f ca="1"/>
        <v>3.1555803914657106</v>
      </c>
      <c r="AH34">
        <f ca="1"/>
        <v>1.0496596338454558</v>
      </c>
      <c r="AI34">
        <f ca="1"/>
        <v>-3.4398626638445315</v>
      </c>
      <c r="AJ34">
        <f ca="1"/>
        <v>4.1288858571392151</v>
      </c>
      <c r="AK34">
        <f ca="1"/>
        <v>-3.8942632186058495</v>
      </c>
      <c r="AN34" s="9">
        <v>1.1290575419618214</v>
      </c>
      <c r="AO34" s="9">
        <v>0.27458160349620492</v>
      </c>
    </row>
    <row r="35" spans="1:41" ht="17" x14ac:dyDescent="0.25">
      <c r="A35" s="2">
        <v>43039</v>
      </c>
      <c r="B35">
        <v>20.787717819213871</v>
      </c>
      <c r="C35">
        <v>178.95677185058591</v>
      </c>
      <c r="D35">
        <v>196.42999267578119</v>
      </c>
      <c r="E35">
        <v>5.1097011566162109</v>
      </c>
      <c r="F35">
        <v>22.101999282836911</v>
      </c>
      <c r="G35" s="10">
        <v>1.0700000000000001E-2</v>
      </c>
      <c r="H35" s="9">
        <f t="shared" si="1"/>
        <v>9.2556999667082973E-2</v>
      </c>
      <c r="I35" s="9">
        <f t="shared" si="2"/>
        <v>5.3783607117104948E-2</v>
      </c>
      <c r="J35" s="9">
        <f t="shared" si="3"/>
        <v>8.3154045021966327E-2</v>
      </c>
      <c r="K35" s="9">
        <f t="shared" si="4"/>
        <v>0.15684931395934432</v>
      </c>
      <c r="L35" s="9">
        <f t="shared" si="5"/>
        <v>-2.8056310233193882E-2</v>
      </c>
      <c r="M35" s="24">
        <f t="shared" si="6"/>
        <v>5.9107725084454235E-2</v>
      </c>
      <c r="N35" s="24">
        <f t="shared" si="7"/>
        <v>3.0233071282642583E-2</v>
      </c>
      <c r="O35" s="24">
        <f t="shared" si="8"/>
        <v>5.2488506092026557E-2</v>
      </c>
      <c r="P35" s="24">
        <f t="shared" si="9"/>
        <v>9.9697563556870511E-2</v>
      </c>
      <c r="Q35" s="24">
        <f t="shared" si="10"/>
        <v>-6.7606157189718574E-2</v>
      </c>
      <c r="R35" t="s">
        <v>13</v>
      </c>
      <c r="S35" s="9">
        <f>SUMPRODUCT(S34:W34,$S$2:$W$2)</f>
        <v>2.9372883032805174E-2</v>
      </c>
      <c r="AB35" s="9"/>
      <c r="AC35" s="20"/>
      <c r="AE35" s="22" cm="1">
        <f t="array" aca="1" ref="AE35" ca="1">SQRT(MMULT(MMULT(AG35:AK35,var_covar),TRANSPOSE(AG35:AK35)))</f>
        <v>0.12189064071100521</v>
      </c>
      <c r="AF35" s="22">
        <f t="shared" ca="1" si="11"/>
        <v>2.8867385026990846E-2</v>
      </c>
      <c r="AG35">
        <f ca="1"/>
        <v>-0.46754970385004091</v>
      </c>
      <c r="AH35">
        <f ca="1"/>
        <v>0.78335583408714848</v>
      </c>
      <c r="AI35">
        <f ca="1"/>
        <v>0.6042078061000653</v>
      </c>
      <c r="AJ35">
        <f ca="1"/>
        <v>0.248060628638616</v>
      </c>
      <c r="AK35">
        <f ca="1"/>
        <v>-0.16807456497578882</v>
      </c>
      <c r="AN35" s="9">
        <v>1.118911081363628</v>
      </c>
      <c r="AO35" s="9">
        <v>0.20360020863902992</v>
      </c>
    </row>
    <row r="36" spans="1:41" ht="17" x14ac:dyDescent="0.25">
      <c r="A36" s="2">
        <v>43069</v>
      </c>
      <c r="B36">
        <v>21.892837524414059</v>
      </c>
      <c r="C36">
        <v>176.09442138671881</v>
      </c>
      <c r="D36">
        <v>187.58000183105469</v>
      </c>
      <c r="E36">
        <v>4.958986759185791</v>
      </c>
      <c r="F36">
        <v>20.590000152587891</v>
      </c>
      <c r="G36" s="10">
        <v>1.23E-2</v>
      </c>
      <c r="H36" s="9">
        <f t="shared" si="1"/>
        <v>5.3162146745071581E-2</v>
      </c>
      <c r="I36" s="9">
        <f t="shared" si="2"/>
        <v>-1.5994647390359273E-2</v>
      </c>
      <c r="J36" s="9">
        <f t="shared" si="3"/>
        <v>-4.5054172859100627E-2</v>
      </c>
      <c r="K36" s="9">
        <f t="shared" si="4"/>
        <v>-2.9495736210574663E-2</v>
      </c>
      <c r="L36" s="9">
        <f t="shared" si="5"/>
        <v>-6.8410061501682717E-2</v>
      </c>
      <c r="M36" s="24">
        <f t="shared" si="6"/>
        <v>1.9712872162442843E-2</v>
      </c>
      <c r="N36" s="24">
        <f t="shared" si="7"/>
        <v>-3.9545183224821638E-2</v>
      </c>
      <c r="O36" s="24">
        <f t="shared" si="8"/>
        <v>-7.5719711789040398E-2</v>
      </c>
      <c r="P36" s="24">
        <f t="shared" si="9"/>
        <v>-8.6647486613048469E-2</v>
      </c>
      <c r="Q36" s="24">
        <f t="shared" si="10"/>
        <v>-0.10795990845820741</v>
      </c>
      <c r="R36" s="14" t="s">
        <v>14</v>
      </c>
      <c r="S36" s="9" cm="1">
        <f t="array" ref="S36">SQRT(MMULT(MMULT(S34:W34,var_covar),TRANSPOSE(S34:W34)))</f>
        <v>7.6331037530154966E-2</v>
      </c>
      <c r="AB36" s="9"/>
      <c r="AC36" s="20"/>
      <c r="AE36" s="22" cm="1">
        <f t="array" aca="1" ref="AE36" ca="1">SQRT(MMULT(MMULT(AG36:AK36,var_covar),TRANSPOSE(AG36:AK36)))</f>
        <v>0.28080320154170202</v>
      </c>
      <c r="AF36" s="22">
        <f t="shared" ca="1" si="11"/>
        <v>9.6117739005251085E-2</v>
      </c>
      <c r="AG36">
        <f ca="1"/>
        <v>0.88963614042341876</v>
      </c>
      <c r="AH36">
        <f ca="1"/>
        <v>-0.66395122030492626</v>
      </c>
      <c r="AI36">
        <f ca="1"/>
        <v>-1.5720562373999216</v>
      </c>
      <c r="AJ36">
        <f ca="1"/>
        <v>2.1250990174426265</v>
      </c>
      <c r="AK36">
        <f ca="1"/>
        <v>0.22127229983880284</v>
      </c>
      <c r="AN36" s="9">
        <v>1.1037587418046855</v>
      </c>
      <c r="AO36" s="9">
        <v>7.6069708115187762E-2</v>
      </c>
    </row>
    <row r="37" spans="1:41" ht="17" x14ac:dyDescent="0.25">
      <c r="A37" s="2">
        <v>43100</v>
      </c>
      <c r="B37">
        <v>20.235553741455082</v>
      </c>
      <c r="C37">
        <v>175.37886047363281</v>
      </c>
      <c r="D37">
        <v>191.96000671386719</v>
      </c>
      <c r="E37">
        <v>4.7841706275939941</v>
      </c>
      <c r="F37">
        <v>20.75666618347168</v>
      </c>
      <c r="G37" s="10">
        <v>1.32E-2</v>
      </c>
      <c r="H37" s="9">
        <f t="shared" si="1"/>
        <v>-7.5699816486137883E-2</v>
      </c>
      <c r="I37" s="9">
        <f t="shared" si="2"/>
        <v>-4.063506995003352E-3</v>
      </c>
      <c r="J37" s="9">
        <f t="shared" si="3"/>
        <v>2.3350063120040732E-2</v>
      </c>
      <c r="K37" s="9">
        <f t="shared" si="4"/>
        <v>-3.5252389264394779E-2</v>
      </c>
      <c r="L37" s="9">
        <f t="shared" si="5"/>
        <v>8.094513338934739E-3</v>
      </c>
      <c r="M37" s="24">
        <f t="shared" si="6"/>
        <v>-0.10914909106876662</v>
      </c>
      <c r="N37" s="24">
        <f t="shared" si="7"/>
        <v>-2.7614042829465717E-2</v>
      </c>
      <c r="O37" s="24">
        <f t="shared" si="8"/>
        <v>-7.3154758098990386E-3</v>
      </c>
      <c r="P37" s="24">
        <f t="shared" si="9"/>
        <v>-9.2404139666868584E-2</v>
      </c>
      <c r="Q37" s="24">
        <f t="shared" si="10"/>
        <v>-3.1455333617589953E-2</v>
      </c>
      <c r="R37" t="s">
        <v>15</v>
      </c>
      <c r="S37" s="15">
        <f>(S35-$X$2)/S36</f>
        <v>0.13242062462117957</v>
      </c>
      <c r="AB37" s="9"/>
      <c r="AC37" s="20"/>
      <c r="AE37" s="22" cm="1">
        <f t="array" aca="1" ref="AE37" ca="1">SQRT(MMULT(MMULT(AG37:AK37,var_covar),TRANSPOSE(AG37:AK37)))</f>
        <v>0.35913898844104114</v>
      </c>
      <c r="AF37" s="22">
        <f t="shared" ca="1" si="11"/>
        <v>5.7301247360453916E-2</v>
      </c>
      <c r="AG37">
        <f ca="1"/>
        <v>0.38844884209475528</v>
      </c>
      <c r="AH37">
        <f ca="1"/>
        <v>-0.29119037747595727</v>
      </c>
      <c r="AI37">
        <f ca="1"/>
        <v>-1.330082265975119</v>
      </c>
      <c r="AJ37">
        <f ca="1"/>
        <v>0.2071057083836981</v>
      </c>
      <c r="AK37">
        <f ca="1"/>
        <v>2.0257180929726228</v>
      </c>
      <c r="AN37" s="9">
        <v>1.0852562819582006</v>
      </c>
      <c r="AO37" s="9">
        <v>0.17031886753888026</v>
      </c>
    </row>
    <row r="38" spans="1:41" x14ac:dyDescent="0.2">
      <c r="A38" s="2">
        <v>43131</v>
      </c>
      <c r="B38">
        <v>19.66639518737793</v>
      </c>
      <c r="C38">
        <v>185.74493408203119</v>
      </c>
      <c r="D38">
        <v>270.29998779296881</v>
      </c>
      <c r="E38">
        <v>6.0772552490234384</v>
      </c>
      <c r="F38">
        <v>23.62066650390625</v>
      </c>
      <c r="G38" s="10">
        <v>1.41E-2</v>
      </c>
      <c r="H38" s="9">
        <f t="shared" si="1"/>
        <v>-2.812666069578118E-2</v>
      </c>
      <c r="I38" s="9">
        <f t="shared" si="2"/>
        <v>5.9106745136805472E-2</v>
      </c>
      <c r="J38" s="9">
        <f t="shared" si="3"/>
        <v>0.40810574254601928</v>
      </c>
      <c r="K38" s="9">
        <f t="shared" si="4"/>
        <v>0.27028396812840039</v>
      </c>
      <c r="L38" s="9">
        <f t="shared" si="5"/>
        <v>0.13797978418688173</v>
      </c>
      <c r="M38" s="24">
        <f t="shared" si="6"/>
        <v>-6.1575935278409918E-2</v>
      </c>
      <c r="N38" s="24">
        <f t="shared" si="7"/>
        <v>3.5556209302343107E-2</v>
      </c>
      <c r="O38" s="24">
        <f t="shared" si="8"/>
        <v>0.37744020361607949</v>
      </c>
      <c r="P38" s="24">
        <f t="shared" si="9"/>
        <v>0.21313221772592658</v>
      </c>
      <c r="Q38" s="24">
        <f t="shared" si="10"/>
        <v>9.8429937230357034E-2</v>
      </c>
      <c r="AB38" s="9"/>
      <c r="AC38" s="20"/>
      <c r="AE38" s="22" cm="1">
        <f t="array" aca="1" ref="AE38" ca="1">SQRT(MMULT(MMULT(AG38:AK38,var_covar),TRANSPOSE(AG38:AK38)))</f>
        <v>0.11123329540831604</v>
      </c>
      <c r="AF38" s="22">
        <f t="shared" ca="1" si="11"/>
        <v>2.3167286817416626E-2</v>
      </c>
      <c r="AG38">
        <f ca="1"/>
        <v>-2.7115737789117998E-2</v>
      </c>
      <c r="AH38">
        <f ca="1"/>
        <v>0.33424790311862301</v>
      </c>
      <c r="AI38">
        <f ca="1"/>
        <v>0.63722523624672922</v>
      </c>
      <c r="AJ38">
        <f ca="1"/>
        <v>-0.31467847792426162</v>
      </c>
      <c r="AK38">
        <f ca="1"/>
        <v>0.37032107634802747</v>
      </c>
      <c r="AN38" s="9">
        <v>1.0843200179296166</v>
      </c>
      <c r="AO38" s="9">
        <v>4.7268301919320271E-2</v>
      </c>
    </row>
    <row r="39" spans="1:41" x14ac:dyDescent="0.2">
      <c r="A39" s="2">
        <v>43159</v>
      </c>
      <c r="B39">
        <v>19.541915893554691</v>
      </c>
      <c r="C39">
        <v>177.22746276855469</v>
      </c>
      <c r="D39">
        <v>291.3800048828125</v>
      </c>
      <c r="E39">
        <v>5.9833035469055176</v>
      </c>
      <c r="F39">
        <v>22.87066650390625</v>
      </c>
      <c r="G39" s="10">
        <v>1.5700000000000002E-2</v>
      </c>
      <c r="H39" s="9">
        <f t="shared" si="1"/>
        <v>-6.3295429913424739E-3</v>
      </c>
      <c r="I39" s="9">
        <f t="shared" si="2"/>
        <v>-4.5855739514892524E-2</v>
      </c>
      <c r="J39" s="9">
        <f t="shared" si="3"/>
        <v>7.7987488131111338E-2</v>
      </c>
      <c r="K39" s="9">
        <f t="shared" si="4"/>
        <v>-1.545956163895168E-2</v>
      </c>
      <c r="L39" s="9">
        <f t="shared" si="5"/>
        <v>-3.1751855938356721E-2</v>
      </c>
      <c r="M39" s="24">
        <f t="shared" si="6"/>
        <v>-3.9778817573971212E-2</v>
      </c>
      <c r="N39" s="24">
        <f t="shared" si="7"/>
        <v>-6.9406275349354896E-2</v>
      </c>
      <c r="O39" s="24">
        <f t="shared" si="8"/>
        <v>4.7321949201171568E-2</v>
      </c>
      <c r="P39" s="24">
        <f t="shared" si="9"/>
        <v>-7.2611312041425485E-2</v>
      </c>
      <c r="Q39" s="24">
        <f t="shared" si="10"/>
        <v>-7.1301702894881414E-2</v>
      </c>
      <c r="S39" s="5"/>
      <c r="T39" s="5"/>
      <c r="U39" s="5"/>
      <c r="V39" s="5"/>
      <c r="W39" s="5"/>
      <c r="AB39" s="9"/>
      <c r="AC39" s="20"/>
      <c r="AE39" s="22" cm="1">
        <f t="array" aca="1" ref="AE39" ca="1">SQRT(MMULT(MMULT(AG39:AK39,var_covar),TRANSPOSE(AG39:AK39)))</f>
        <v>0.30035279090271932</v>
      </c>
      <c r="AF39" s="22">
        <f t="shared" ca="1" si="11"/>
        <v>2.765528041263875E-2</v>
      </c>
      <c r="AG39">
        <f ca="1"/>
        <v>-1.1300707627391808</v>
      </c>
      <c r="AH39">
        <f ca="1"/>
        <v>-0.1182658291429375</v>
      </c>
      <c r="AI39">
        <f ca="1"/>
        <v>1.2926971325752681</v>
      </c>
      <c r="AJ39">
        <f ca="1"/>
        <v>-0.52244902561383266</v>
      </c>
      <c r="AK39">
        <f ca="1"/>
        <v>1.478088484920683</v>
      </c>
      <c r="AN39" s="9">
        <v>1.0765933458205523</v>
      </c>
      <c r="AO39" s="9">
        <v>2.0025207747335239E-2</v>
      </c>
    </row>
    <row r="40" spans="1:41" x14ac:dyDescent="0.2">
      <c r="A40" s="2">
        <v>43190</v>
      </c>
      <c r="B40">
        <v>18.684785842895511</v>
      </c>
      <c r="C40">
        <v>158.81097412109381</v>
      </c>
      <c r="D40">
        <v>295.35000610351562</v>
      </c>
      <c r="E40">
        <v>5.7294802665710449</v>
      </c>
      <c r="F40">
        <v>17.742000579833981</v>
      </c>
      <c r="G40" s="10">
        <v>1.7000000000000001E-2</v>
      </c>
      <c r="H40" s="9">
        <f t="shared" si="1"/>
        <v>-4.3861106317721776E-2</v>
      </c>
      <c r="I40" s="9">
        <f t="shared" si="2"/>
        <v>-0.10391441800140977</v>
      </c>
      <c r="J40" s="9">
        <f t="shared" si="3"/>
        <v>1.3624823783978446E-2</v>
      </c>
      <c r="K40" s="9">
        <f t="shared" si="4"/>
        <v>-4.2421929348001486E-2</v>
      </c>
      <c r="L40" s="9">
        <f t="shared" si="5"/>
        <v>-0.2242464566214678</v>
      </c>
      <c r="M40" s="24">
        <f t="shared" si="6"/>
        <v>-7.7310380900350514E-2</v>
      </c>
      <c r="N40" s="24">
        <f t="shared" si="7"/>
        <v>-0.12746495383587214</v>
      </c>
      <c r="O40" s="24">
        <f t="shared" si="8"/>
        <v>-1.7040715145961324E-2</v>
      </c>
      <c r="P40" s="24">
        <f t="shared" si="9"/>
        <v>-9.9573679750475291E-2</v>
      </c>
      <c r="Q40" s="24">
        <f t="shared" si="10"/>
        <v>-0.2637963035779925</v>
      </c>
      <c r="S40" s="1" t="s">
        <v>18</v>
      </c>
      <c r="T40" s="1" t="s">
        <v>0</v>
      </c>
      <c r="U40" s="1" t="s">
        <v>19</v>
      </c>
      <c r="V40" s="1" t="s">
        <v>1</v>
      </c>
      <c r="W40" s="1" t="s">
        <v>20</v>
      </c>
      <c r="AB40" s="9"/>
      <c r="AC40" s="20"/>
      <c r="AE40" s="22" cm="1">
        <f t="array" aca="1" ref="AE40" ca="1">SQRT(MMULT(MMULT(AG40:AK40,var_covar),TRANSPOSE(AG40:AK40)))</f>
        <v>0.25796692446003111</v>
      </c>
      <c r="AF40" s="22">
        <f t="shared" ca="1" si="11"/>
        <v>4.1070599170127432E-2</v>
      </c>
      <c r="AG40">
        <f ca="1"/>
        <v>0.42491080450909324</v>
      </c>
      <c r="AH40">
        <f ca="1"/>
        <v>0.81254551529245189</v>
      </c>
      <c r="AI40">
        <f ca="1"/>
        <v>9.2816178014346162E-2</v>
      </c>
      <c r="AJ40">
        <f ca="1"/>
        <v>1.0190788399318915</v>
      </c>
      <c r="AK40">
        <f ca="1"/>
        <v>-1.3493513377477826</v>
      </c>
      <c r="AN40" s="9">
        <v>1.0619180930275738</v>
      </c>
      <c r="AO40" s="9">
        <v>0.10732036364803066</v>
      </c>
    </row>
    <row r="41" spans="1:41" x14ac:dyDescent="0.2">
      <c r="A41" s="2">
        <v>43220</v>
      </c>
      <c r="B41">
        <v>18.45734977722168</v>
      </c>
      <c r="C41">
        <v>170.9461669921875</v>
      </c>
      <c r="D41">
        <v>312.45999145507812</v>
      </c>
      <c r="E41">
        <v>5.5639710426330566</v>
      </c>
      <c r="F41">
        <v>19.593332290649411</v>
      </c>
      <c r="G41" s="10">
        <v>1.7600000000000001E-2</v>
      </c>
      <c r="H41" s="9">
        <f t="shared" si="1"/>
        <v>-1.2172259697603605E-2</v>
      </c>
      <c r="I41" s="9">
        <f t="shared" si="2"/>
        <v>7.6412810501625517E-2</v>
      </c>
      <c r="J41" s="9">
        <f t="shared" si="3"/>
        <v>5.793121719308747E-2</v>
      </c>
      <c r="K41" s="9">
        <f t="shared" si="4"/>
        <v>-2.8887301506850593E-2</v>
      </c>
      <c r="L41" s="9">
        <f t="shared" si="5"/>
        <v>0.10434740448152735</v>
      </c>
      <c r="M41" s="24">
        <f t="shared" si="6"/>
        <v>-4.5621534280232343E-2</v>
      </c>
      <c r="N41" s="24">
        <f t="shared" si="7"/>
        <v>5.2862274667163152E-2</v>
      </c>
      <c r="O41" s="24">
        <f t="shared" si="8"/>
        <v>2.72656782631477E-2</v>
      </c>
      <c r="P41" s="24">
        <f t="shared" si="9"/>
        <v>-8.6039051909324399E-2</v>
      </c>
      <c r="Q41" s="24">
        <f t="shared" si="10"/>
        <v>6.4797557525002658E-2</v>
      </c>
      <c r="R41" s="18" t="s">
        <v>17</v>
      </c>
      <c r="S41" s="8">
        <v>9.6814443437968897E-2</v>
      </c>
      <c r="T41" s="8">
        <v>0</v>
      </c>
      <c r="U41" s="8">
        <v>0</v>
      </c>
      <c r="V41" s="8">
        <v>0.84371565723599395</v>
      </c>
      <c r="W41" s="8">
        <v>5.946990875529435E-2</v>
      </c>
      <c r="X41" s="8">
        <f>SUM(S41:W41)</f>
        <v>1.0000000094292572</v>
      </c>
      <c r="AB41" s="9"/>
      <c r="AC41" s="20"/>
      <c r="AE41" s="22" cm="1">
        <f t="array" aca="1" ref="AE41" ca="1">SQRT(MMULT(MMULT(AG41:AK41,var_covar),TRANSPOSE(AG41:AK41)))</f>
        <v>9.5455675752604857E-2</v>
      </c>
      <c r="AF41" s="22">
        <f t="shared" ca="1" si="11"/>
        <v>1.8464210422326311E-2</v>
      </c>
      <c r="AG41">
        <f ca="1"/>
        <v>0.42325845765326842</v>
      </c>
      <c r="AH41">
        <f ca="1"/>
        <v>0.86686445512183807</v>
      </c>
      <c r="AI41">
        <f ca="1"/>
        <v>-5.7627539277277484E-2</v>
      </c>
      <c r="AJ41">
        <f ca="1"/>
        <v>-0.29236976488514532</v>
      </c>
      <c r="AK41">
        <f ca="1"/>
        <v>5.9874391387316296E-2</v>
      </c>
      <c r="AN41" s="9">
        <v>1.0475558524263777</v>
      </c>
      <c r="AO41" s="9">
        <v>0.13292522448749483</v>
      </c>
    </row>
    <row r="42" spans="1:41" ht="17" x14ac:dyDescent="0.25">
      <c r="A42" s="2">
        <v>43251</v>
      </c>
      <c r="B42">
        <v>20.279592514038089</v>
      </c>
      <c r="C42">
        <v>190.60498046875</v>
      </c>
      <c r="D42">
        <v>351.60000610351562</v>
      </c>
      <c r="E42">
        <v>6.2391185760498047</v>
      </c>
      <c r="F42">
        <v>18.982000350952148</v>
      </c>
      <c r="G42" s="10">
        <v>1.8600000000000002E-2</v>
      </c>
      <c r="H42" s="9">
        <f t="shared" si="1"/>
        <v>9.8727214839112509E-2</v>
      </c>
      <c r="I42" s="9">
        <f t="shared" si="2"/>
        <v>0.11500002499301987</v>
      </c>
      <c r="J42" s="9">
        <f t="shared" si="3"/>
        <v>0.12526408410295509</v>
      </c>
      <c r="K42" s="9">
        <f t="shared" si="4"/>
        <v>0.121342747516753</v>
      </c>
      <c r="L42" s="9">
        <f t="shared" si="5"/>
        <v>-3.1201019338043423E-2</v>
      </c>
      <c r="M42" s="24">
        <f t="shared" si="6"/>
        <v>6.5277940256483771E-2</v>
      </c>
      <c r="N42" s="24">
        <f t="shared" si="7"/>
        <v>9.1449489158557495E-2</v>
      </c>
      <c r="O42" s="24">
        <f t="shared" si="8"/>
        <v>9.4598545173015317E-2</v>
      </c>
      <c r="P42" s="24">
        <f t="shared" si="9"/>
        <v>6.4190997114279197E-2</v>
      </c>
      <c r="Q42" s="24">
        <f t="shared" si="10"/>
        <v>-7.0750866294568115E-2</v>
      </c>
      <c r="R42" t="s">
        <v>13</v>
      </c>
      <c r="S42" s="9">
        <f>SUMPRODUCT(S41:W41,$S$2:$W$2)</f>
        <v>5.3810225344922046E-2</v>
      </c>
      <c r="AB42" s="9"/>
      <c r="AC42" s="20"/>
      <c r="AE42" s="22" cm="1">
        <f t="array" aca="1" ref="AE42" ca="1">SQRT(MMULT(MMULT(AG42:AK42,var_covar),TRANSPOSE(AG42:AK42)))</f>
        <v>0.11549803532665708</v>
      </c>
      <c r="AF42" s="22">
        <f t="shared" ca="1" si="11"/>
        <v>3.4888088966045741E-2</v>
      </c>
      <c r="AG42">
        <f ca="1"/>
        <v>0.3135069473921463</v>
      </c>
      <c r="AH42">
        <f ca="1"/>
        <v>4.2680205802208626E-3</v>
      </c>
      <c r="AI42">
        <f ca="1"/>
        <v>0.20554399823116731</v>
      </c>
      <c r="AJ42">
        <f ca="1"/>
        <v>-4.8562054006202435E-2</v>
      </c>
      <c r="AK42">
        <f ca="1"/>
        <v>0.52524308780266793</v>
      </c>
      <c r="AN42" s="9">
        <v>1.0422589223771788</v>
      </c>
      <c r="AO42" s="9">
        <v>8.8688874676775997E-2</v>
      </c>
    </row>
    <row r="43" spans="1:41" ht="17" x14ac:dyDescent="0.25">
      <c r="A43" s="2">
        <v>43281</v>
      </c>
      <c r="B43">
        <v>19.520929336547852</v>
      </c>
      <c r="C43">
        <v>193.1294250488281</v>
      </c>
      <c r="D43">
        <v>391.42999267578119</v>
      </c>
      <c r="E43">
        <v>5.8644723892211914</v>
      </c>
      <c r="F43">
        <v>22.863332748413089</v>
      </c>
      <c r="G43" s="10">
        <v>1.9E-2</v>
      </c>
      <c r="H43" s="9">
        <f t="shared" si="1"/>
        <v>-3.7410178580514875E-2</v>
      </c>
      <c r="I43" s="9">
        <f t="shared" si="2"/>
        <v>1.3244378892250275E-2</v>
      </c>
      <c r="J43" s="9">
        <f t="shared" si="3"/>
        <v>0.11328209863721983</v>
      </c>
      <c r="K43" s="9">
        <f t="shared" si="4"/>
        <v>-6.0047935018701648E-2</v>
      </c>
      <c r="L43" s="9">
        <f t="shared" si="5"/>
        <v>0.20447436127385021</v>
      </c>
      <c r="M43" s="24">
        <f t="shared" si="6"/>
        <v>-7.0859453163143613E-2</v>
      </c>
      <c r="N43" s="24">
        <f t="shared" si="7"/>
        <v>-1.030615694221209E-2</v>
      </c>
      <c r="O43" s="24">
        <f t="shared" si="8"/>
        <v>8.261655970728006E-2</v>
      </c>
      <c r="P43" s="24">
        <f t="shared" si="9"/>
        <v>-0.11719968542117545</v>
      </c>
      <c r="Q43" s="24">
        <f t="shared" si="10"/>
        <v>0.16492451431732552</v>
      </c>
      <c r="R43" s="14" t="s">
        <v>14</v>
      </c>
      <c r="S43" s="9" cm="1">
        <f t="array" ref="S43">SQRT(MMULT(MMULT(S41:W41,var_covar),TRANSPOSE(S41:W41)))</f>
        <v>0.1217715135438435</v>
      </c>
      <c r="AB43" s="9"/>
      <c r="AC43" s="20"/>
      <c r="AE43" s="22" cm="1">
        <f t="array" aca="1" ref="AE43" ca="1">SQRT(MMULT(MMULT(AG43:AK43,var_covar),TRANSPOSE(AG43:AK43)))</f>
        <v>0.36007095250209109</v>
      </c>
      <c r="AF43" s="22">
        <f t="shared" ca="1" si="11"/>
        <v>-4.7596807678413483E-3</v>
      </c>
      <c r="AG43">
        <f ca="1"/>
        <v>2.2199623347250892</v>
      </c>
      <c r="AH43">
        <f ca="1"/>
        <v>0.68803366436771707</v>
      </c>
      <c r="AI43">
        <f ca="1"/>
        <v>-1.36371146800274</v>
      </c>
      <c r="AJ43">
        <f ca="1"/>
        <v>-1.8108300056514057</v>
      </c>
      <c r="AK43">
        <f ca="1"/>
        <v>1.2665454745613394</v>
      </c>
      <c r="AN43" s="9">
        <v>1.0408747488219281</v>
      </c>
      <c r="AO43" s="9">
        <v>-0.11978949932590219</v>
      </c>
    </row>
    <row r="44" spans="1:41" ht="17" x14ac:dyDescent="0.25">
      <c r="A44" s="2">
        <v>43312</v>
      </c>
      <c r="B44">
        <v>18.081148147583011</v>
      </c>
      <c r="C44">
        <v>171.52262878417969</v>
      </c>
      <c r="D44">
        <v>337.45001220703119</v>
      </c>
      <c r="E44">
        <v>6.0615229606628418</v>
      </c>
      <c r="F44">
        <v>19.87599945068359</v>
      </c>
      <c r="G44" s="10">
        <v>1.9599999999999999E-2</v>
      </c>
      <c r="H44" s="9">
        <f t="shared" si="1"/>
        <v>-7.3755770749562855E-2</v>
      </c>
      <c r="I44" s="9">
        <f t="shared" si="2"/>
        <v>-0.11187728777831574</v>
      </c>
      <c r="J44" s="9">
        <f t="shared" si="3"/>
        <v>-0.13790455887078956</v>
      </c>
      <c r="K44" s="9">
        <f t="shared" si="4"/>
        <v>3.3600733086206702E-2</v>
      </c>
      <c r="L44" s="9">
        <f t="shared" si="5"/>
        <v>-0.13066044791465692</v>
      </c>
      <c r="M44" s="24">
        <f t="shared" si="6"/>
        <v>-0.10720504533219159</v>
      </c>
      <c r="N44" s="24">
        <f t="shared" si="7"/>
        <v>-0.13542782361277811</v>
      </c>
      <c r="O44" s="24">
        <f t="shared" si="8"/>
        <v>-0.16857009780072935</v>
      </c>
      <c r="P44" s="24">
        <f t="shared" si="9"/>
        <v>-2.3551017316267103E-2</v>
      </c>
      <c r="Q44" s="24">
        <f t="shared" si="10"/>
        <v>-0.17021029487118161</v>
      </c>
      <c r="R44" t="s">
        <v>15</v>
      </c>
      <c r="S44" s="15">
        <f>(S42-$X$2)/S43</f>
        <v>0.28368823688312628</v>
      </c>
      <c r="AB44" s="9"/>
      <c r="AC44" s="20"/>
      <c r="AE44" s="22" cm="1">
        <f t="array" aca="1" ref="AE44" ca="1">SQRT(MMULT(MMULT(AG44:AK44,var_covar),TRANSPOSE(AG44:AK44)))</f>
        <v>0.11869417672071772</v>
      </c>
      <c r="AF44" s="22">
        <f t="shared" ca="1" si="11"/>
        <v>5.0136161188598843E-2</v>
      </c>
      <c r="AG44">
        <f ca="1"/>
        <v>0.2033788904980488</v>
      </c>
      <c r="AH44">
        <f ca="1"/>
        <v>-0.27400496738810981</v>
      </c>
      <c r="AI44">
        <f ca="1"/>
        <v>0.24417297270991153</v>
      </c>
      <c r="AJ44">
        <f ca="1"/>
        <v>0.54610338486893673</v>
      </c>
      <c r="AK44">
        <f ca="1"/>
        <v>0.28034971931121277</v>
      </c>
      <c r="AN44" s="9">
        <v>1.0360535239479638</v>
      </c>
      <c r="AO44" s="9">
        <v>-6.8695969418986452E-2</v>
      </c>
    </row>
    <row r="45" spans="1:41" x14ac:dyDescent="0.2">
      <c r="A45" s="2">
        <v>43343</v>
      </c>
      <c r="B45">
        <v>17.857757568359379</v>
      </c>
      <c r="C45">
        <v>174.6533203125</v>
      </c>
      <c r="D45">
        <v>367.67999267578119</v>
      </c>
      <c r="E45">
        <v>6.9482502937316886</v>
      </c>
      <c r="F45">
        <v>20.110666275024411</v>
      </c>
      <c r="G45" s="10">
        <v>2.0299999999999999E-2</v>
      </c>
      <c r="H45" s="9">
        <f t="shared" si="1"/>
        <v>-1.2354889047988649E-2</v>
      </c>
      <c r="I45" s="9">
        <f t="shared" si="2"/>
        <v>1.8252352768330926E-2</v>
      </c>
      <c r="J45" s="9">
        <f t="shared" si="3"/>
        <v>8.9583580901468229E-2</v>
      </c>
      <c r="K45" s="9">
        <f t="shared" si="4"/>
        <v>0.14628787828131573</v>
      </c>
      <c r="L45" s="9">
        <f t="shared" si="5"/>
        <v>1.180654210235188E-2</v>
      </c>
      <c r="M45" s="24">
        <f t="shared" si="6"/>
        <v>-4.5804163630617387E-2</v>
      </c>
      <c r="N45" s="24">
        <f t="shared" si="7"/>
        <v>-5.2981830661314386E-3</v>
      </c>
      <c r="O45" s="24">
        <f t="shared" si="8"/>
        <v>5.8918041971528459E-2</v>
      </c>
      <c r="P45" s="24">
        <f t="shared" si="9"/>
        <v>8.9136127878841925E-2</v>
      </c>
      <c r="Q45" s="24">
        <f t="shared" si="10"/>
        <v>-2.7743304854172812E-2</v>
      </c>
      <c r="AB45" s="9"/>
      <c r="AC45" s="20"/>
      <c r="AE45" s="22" cm="1">
        <f t="array" aca="1" ref="AE45" ca="1">SQRT(MMULT(MMULT(AG45:AK45,var_covar),TRANSPOSE(AG45:AK45)))</f>
        <v>0.66359371640421438</v>
      </c>
      <c r="AF45" s="22">
        <f t="shared" ca="1" si="11"/>
        <v>4.290743815557968E-3</v>
      </c>
      <c r="AG45">
        <f ca="1"/>
        <v>-5.9287736278423091E-2</v>
      </c>
      <c r="AH45">
        <f ca="1"/>
        <v>2.8263140133550766</v>
      </c>
      <c r="AI45">
        <f ca="1"/>
        <v>0.98961818242232114</v>
      </c>
      <c r="AJ45">
        <f ca="1"/>
        <v>1.0447936939954154</v>
      </c>
      <c r="AK45">
        <f ca="1"/>
        <v>-3.8014381534943902</v>
      </c>
      <c r="AN45" s="9">
        <v>1.0327644301402412</v>
      </c>
      <c r="AO45" s="9">
        <v>-0.14871725123419477</v>
      </c>
    </row>
    <row r="46" spans="1:41" x14ac:dyDescent="0.2">
      <c r="A46" s="2">
        <v>43373</v>
      </c>
      <c r="B46">
        <v>20.116165161132809</v>
      </c>
      <c r="C46">
        <v>163.4523620605469</v>
      </c>
      <c r="D46">
        <v>374.1300048828125</v>
      </c>
      <c r="E46">
        <v>6.9604692459106454</v>
      </c>
      <c r="F46">
        <v>17.651332855224609</v>
      </c>
      <c r="G46" s="10">
        <v>2.1299999999999999E-2</v>
      </c>
      <c r="H46" s="9">
        <f t="shared" si="1"/>
        <v>0.12646647173522552</v>
      </c>
      <c r="I46" s="9">
        <f t="shared" si="2"/>
        <v>-6.4132523973272737E-2</v>
      </c>
      <c r="J46" s="9">
        <f t="shared" si="3"/>
        <v>1.7542461748031313E-2</v>
      </c>
      <c r="K46" s="9">
        <f t="shared" si="4"/>
        <v>1.7585653455778338E-3</v>
      </c>
      <c r="L46" s="9">
        <f t="shared" si="5"/>
        <v>-0.12229000204006502</v>
      </c>
      <c r="M46" s="24">
        <f t="shared" si="6"/>
        <v>9.3017197152596778E-2</v>
      </c>
      <c r="N46" s="24">
        <f t="shared" si="7"/>
        <v>-8.7683059807735109E-2</v>
      </c>
      <c r="O46" s="24">
        <f t="shared" si="8"/>
        <v>-1.3123077181908457E-2</v>
      </c>
      <c r="P46" s="24">
        <f t="shared" si="9"/>
        <v>-5.5393185056895972E-2</v>
      </c>
      <c r="Q46" s="24">
        <f t="shared" si="10"/>
        <v>-0.16183984899658971</v>
      </c>
      <c r="S46" s="5"/>
      <c r="T46" s="5"/>
      <c r="U46" s="5"/>
      <c r="V46" s="5"/>
      <c r="W46" s="5"/>
      <c r="AB46" s="9"/>
      <c r="AC46" s="20"/>
      <c r="AE46" s="22" cm="1">
        <f t="array" aca="1" ref="AE46" ca="1">SQRT(MMULT(MMULT(AG46:AK46,var_covar),TRANSPOSE(AG46:AK46)))</f>
        <v>0.15062453310868196</v>
      </c>
      <c r="AF46" s="22">
        <f t="shared" ca="1" si="11"/>
        <v>2.1680400714845394E-2</v>
      </c>
      <c r="AG46">
        <f ca="1"/>
        <v>1.0210916767596581</v>
      </c>
      <c r="AH46">
        <f ca="1"/>
        <v>-0.3447112829864219</v>
      </c>
      <c r="AI46">
        <f ca="1"/>
        <v>0.52050578416848892</v>
      </c>
      <c r="AJ46">
        <f ca="1"/>
        <v>-0.71191231978500336</v>
      </c>
      <c r="AK46">
        <f ca="1"/>
        <v>0.51502614184327822</v>
      </c>
      <c r="AN46" s="9">
        <v>1.0317999282128121</v>
      </c>
      <c r="AO46" s="9">
        <v>8.0545226226705263E-2</v>
      </c>
    </row>
    <row r="47" spans="1:41" x14ac:dyDescent="0.2">
      <c r="A47" s="2">
        <v>43404</v>
      </c>
      <c r="B47">
        <v>18.358196258544918</v>
      </c>
      <c r="C47">
        <v>150.86000061035159</v>
      </c>
      <c r="D47">
        <v>301.77999877929688</v>
      </c>
      <c r="E47">
        <v>5.2219634056091309</v>
      </c>
      <c r="F47">
        <v>22.48800086975098</v>
      </c>
      <c r="G47" s="10">
        <v>2.2499999999999999E-2</v>
      </c>
      <c r="H47" s="9">
        <f t="shared" si="1"/>
        <v>-8.7390856483149593E-2</v>
      </c>
      <c r="I47" s="9">
        <f t="shared" si="2"/>
        <v>-7.703994785667756E-2</v>
      </c>
      <c r="J47" s="9">
        <f t="shared" si="3"/>
        <v>-0.19338199331587314</v>
      </c>
      <c r="K47" s="9">
        <f t="shared" si="4"/>
        <v>-0.24976848239404359</v>
      </c>
      <c r="L47" s="9">
        <f t="shared" si="5"/>
        <v>0.27401148990824042</v>
      </c>
      <c r="M47" s="24">
        <f t="shared" si="6"/>
        <v>-0.12084013106577833</v>
      </c>
      <c r="N47" s="24">
        <f t="shared" si="7"/>
        <v>-0.10059048369113993</v>
      </c>
      <c r="O47" s="24">
        <f t="shared" si="8"/>
        <v>-0.22404753224581292</v>
      </c>
      <c r="P47" s="24">
        <f t="shared" si="9"/>
        <v>-0.30692023279651737</v>
      </c>
      <c r="Q47" s="24">
        <f t="shared" si="10"/>
        <v>0.23446164295171573</v>
      </c>
      <c r="X47" s="7"/>
      <c r="AB47" s="9"/>
      <c r="AC47" s="20"/>
      <c r="AE47" s="22" cm="1">
        <f t="array" aca="1" ref="AE47" ca="1">SQRT(MMULT(MMULT(AG47:AK47,var_covar),TRANSPOSE(AG47:AK47)))</f>
        <v>9.4199042470459321E-2</v>
      </c>
      <c r="AF47" s="22">
        <f t="shared" ca="1" si="11"/>
        <v>3.5415319418225746E-2</v>
      </c>
      <c r="AG47">
        <f ca="1"/>
        <v>0.30506032464237998</v>
      </c>
      <c r="AH47">
        <f ca="1"/>
        <v>0.46045755130083627</v>
      </c>
      <c r="AI47">
        <f ca="1"/>
        <v>-0.19522507580266435</v>
      </c>
      <c r="AJ47">
        <f ca="1"/>
        <v>0.19083612035037792</v>
      </c>
      <c r="AK47">
        <f ca="1"/>
        <v>0.23887107950907027</v>
      </c>
      <c r="AN47" s="9">
        <v>1.0229569574549859</v>
      </c>
      <c r="AO47" s="9">
        <v>0.20474810691108303</v>
      </c>
    </row>
    <row r="48" spans="1:41" x14ac:dyDescent="0.2">
      <c r="A48" s="2">
        <v>43434</v>
      </c>
      <c r="B48">
        <v>19.50162315368652</v>
      </c>
      <c r="C48">
        <v>139.7485046386719</v>
      </c>
      <c r="D48">
        <v>286.1300048828125</v>
      </c>
      <c r="E48">
        <v>4.0479311943054199</v>
      </c>
      <c r="F48">
        <v>23.36533355712891</v>
      </c>
      <c r="G48" s="10">
        <v>2.3300000000000001E-2</v>
      </c>
      <c r="H48" s="9">
        <f t="shared" si="1"/>
        <v>6.2284272323833934E-2</v>
      </c>
      <c r="I48" s="9">
        <f t="shared" si="2"/>
        <v>-7.3654354545437006E-2</v>
      </c>
      <c r="J48" s="9">
        <f t="shared" si="3"/>
        <v>-5.1858950095396539E-2</v>
      </c>
      <c r="K48" s="9">
        <f t="shared" si="4"/>
        <v>-0.22482582126918649</v>
      </c>
      <c r="L48" s="9">
        <f t="shared" si="5"/>
        <v>3.9013369505781492E-2</v>
      </c>
      <c r="M48" s="24">
        <f t="shared" si="6"/>
        <v>2.8834997741205196E-2</v>
      </c>
      <c r="N48" s="24">
        <f t="shared" si="7"/>
        <v>-9.7204890379899378E-2</v>
      </c>
      <c r="O48" s="24">
        <f t="shared" si="8"/>
        <v>-8.2524489025336309E-2</v>
      </c>
      <c r="P48" s="24">
        <f t="shared" si="9"/>
        <v>-0.28197757167166027</v>
      </c>
      <c r="Q48" s="24">
        <f t="shared" si="10"/>
        <v>-5.3647745074320019E-4</v>
      </c>
      <c r="S48" s="9"/>
      <c r="AB48" s="9"/>
      <c r="AC48" s="20"/>
      <c r="AE48" s="22" cm="1">
        <f t="array" aca="1" ref="AE48" ca="1">SQRT(MMULT(MMULT(AG48:AK48,var_covar),TRANSPOSE(AG48:AK48)))</f>
        <v>0.27668343418845948</v>
      </c>
      <c r="AF48" s="22">
        <f t="shared" ca="1" si="11"/>
        <v>-4.0667757913682448E-2</v>
      </c>
      <c r="AG48">
        <f ca="1"/>
        <v>1.3960920196531252</v>
      </c>
      <c r="AH48">
        <f ca="1"/>
        <v>1.8459731321980655</v>
      </c>
      <c r="AI48">
        <f ca="1"/>
        <v>0.22571692448249031</v>
      </c>
      <c r="AJ48">
        <f ca="1"/>
        <v>-2.2816286567017108</v>
      </c>
      <c r="AK48">
        <f ca="1"/>
        <v>-0.18615341963196991</v>
      </c>
      <c r="AN48" s="9">
        <v>1.0181328120284925</v>
      </c>
      <c r="AO48" s="9">
        <v>0.16281709030334612</v>
      </c>
    </row>
    <row r="49" spans="1:41" x14ac:dyDescent="0.2">
      <c r="A49" s="2">
        <v>43465</v>
      </c>
      <c r="B49">
        <v>20.88737869262695</v>
      </c>
      <c r="C49">
        <v>130.28680419921881</v>
      </c>
      <c r="D49">
        <v>267.66000366210938</v>
      </c>
      <c r="E49">
        <v>3.309916496276855</v>
      </c>
      <c r="F49">
        <v>22.186666488647461</v>
      </c>
      <c r="G49" s="10">
        <v>2.3700000000000002E-2</v>
      </c>
      <c r="H49" s="9">
        <f t="shared" si="1"/>
        <v>7.105847180102387E-2</v>
      </c>
      <c r="I49" s="9">
        <f t="shared" si="2"/>
        <v>-6.7705199879718792E-2</v>
      </c>
      <c r="J49" s="9">
        <f t="shared" si="3"/>
        <v>-6.455108134593468E-2</v>
      </c>
      <c r="K49" s="9">
        <f t="shared" si="4"/>
        <v>-0.18231898285889714</v>
      </c>
      <c r="L49" s="9">
        <f t="shared" si="5"/>
        <v>-5.0445120571447233E-2</v>
      </c>
      <c r="M49" s="24">
        <f t="shared" si="6"/>
        <v>3.7609197218395132E-2</v>
      </c>
      <c r="N49" s="24">
        <f t="shared" si="7"/>
        <v>-9.1255735714181163E-2</v>
      </c>
      <c r="O49" s="24">
        <f t="shared" si="8"/>
        <v>-9.521662027587445E-2</v>
      </c>
      <c r="P49" s="24">
        <f t="shared" si="9"/>
        <v>-0.23947073326137094</v>
      </c>
      <c r="Q49" s="24">
        <f t="shared" si="10"/>
        <v>-8.9994967527971925E-2</v>
      </c>
      <c r="R49" s="14"/>
      <c r="S49" s="9"/>
      <c r="AB49" s="9"/>
      <c r="AC49" s="20"/>
      <c r="AE49" s="22" cm="1">
        <f t="array" aca="1" ref="AE49" ca="1">SQRT(MMULT(MMULT(AG49:AK49,var_covar),TRANSPOSE(AG49:AK49)))</f>
        <v>0.10678229595482684</v>
      </c>
      <c r="AF49" s="22">
        <f t="shared" ca="1" si="11"/>
        <v>4.1205388020190102E-2</v>
      </c>
      <c r="AG49">
        <f ca="1"/>
        <v>0.31521170098456358</v>
      </c>
      <c r="AH49">
        <f ca="1"/>
        <v>-0.24618306789019181</v>
      </c>
      <c r="AI49">
        <f ca="1"/>
        <v>0.60083951528189217</v>
      </c>
      <c r="AJ49">
        <f ca="1"/>
        <v>0.28279877264725639</v>
      </c>
      <c r="AK49">
        <f ca="1"/>
        <v>4.7333078976479738E-2</v>
      </c>
      <c r="AN49" s="9">
        <v>1.0176177926687582</v>
      </c>
      <c r="AO49" s="9">
        <v>0.11503896539550661</v>
      </c>
    </row>
    <row r="50" spans="1:41" x14ac:dyDescent="0.2">
      <c r="A50" s="2">
        <v>43496</v>
      </c>
      <c r="B50">
        <v>22.267122268676761</v>
      </c>
      <c r="C50">
        <v>165.668701171875</v>
      </c>
      <c r="D50">
        <v>339.5</v>
      </c>
      <c r="E50">
        <v>3.564048290252686</v>
      </c>
      <c r="F50">
        <v>20.468000411987301</v>
      </c>
      <c r="G50" s="10">
        <v>2.3700000000000002E-2</v>
      </c>
      <c r="H50" s="9">
        <f t="shared" si="1"/>
        <v>6.6056329822604676E-2</v>
      </c>
      <c r="I50" s="9">
        <f t="shared" si="2"/>
        <v>0.27156930581054461</v>
      </c>
      <c r="J50" s="9">
        <f t="shared" si="3"/>
        <v>0.26840019186647157</v>
      </c>
      <c r="K50" s="9">
        <f t="shared" si="4"/>
        <v>7.677891398822001E-2</v>
      </c>
      <c r="L50" s="9">
        <f t="shared" si="5"/>
        <v>-7.7463916336398375E-2</v>
      </c>
      <c r="M50" s="24">
        <f t="shared" si="6"/>
        <v>3.2607055239975938E-2</v>
      </c>
      <c r="N50" s="24">
        <f t="shared" si="7"/>
        <v>0.24801876997608224</v>
      </c>
      <c r="O50" s="24">
        <f t="shared" si="8"/>
        <v>0.23773465293653179</v>
      </c>
      <c r="P50" s="24">
        <f t="shared" si="9"/>
        <v>1.9627163585746205E-2</v>
      </c>
      <c r="Q50" s="24">
        <f t="shared" si="10"/>
        <v>-0.11701376329292307</v>
      </c>
      <c r="S50" s="9"/>
      <c r="AB50" s="9"/>
      <c r="AC50" s="20"/>
      <c r="AE50" s="22" cm="1">
        <f t="array" aca="1" ref="AE50" ca="1">SQRT(MMULT(MMULT(AG50:AK50,var_covar),TRANSPOSE(AG50:AK50)))</f>
        <v>0.1346966089927456</v>
      </c>
      <c r="AF50" s="22">
        <f t="shared" ca="1" si="11"/>
        <v>5.6639632769781116E-2</v>
      </c>
      <c r="AG50">
        <f ca="1"/>
        <v>-5.9162880809984233E-2</v>
      </c>
      <c r="AH50">
        <f ca="1"/>
        <v>-0.19534106975541038</v>
      </c>
      <c r="AI50">
        <f ca="1"/>
        <v>0.18054199884578445</v>
      </c>
      <c r="AJ50">
        <f ca="1"/>
        <v>0.86397057018709966</v>
      </c>
      <c r="AK50">
        <f ca="1"/>
        <v>0.20999138153251057</v>
      </c>
      <c r="AN50" s="9">
        <v>1.0100100926815145</v>
      </c>
      <c r="AO50" s="9">
        <v>4.5254150214858735E-3</v>
      </c>
    </row>
    <row r="51" spans="1:41" x14ac:dyDescent="0.2">
      <c r="A51" s="2">
        <v>43524</v>
      </c>
      <c r="B51">
        <v>22.857309341430661</v>
      </c>
      <c r="C51">
        <v>160.4608154296875</v>
      </c>
      <c r="D51">
        <v>358.10000610351562</v>
      </c>
      <c r="E51">
        <v>3.8246269226074219</v>
      </c>
      <c r="F51">
        <v>21.325332641601559</v>
      </c>
      <c r="G51" s="10">
        <v>2.3900000000000001E-2</v>
      </c>
      <c r="H51" s="9">
        <f t="shared" si="1"/>
        <v>2.6504865138505806E-2</v>
      </c>
      <c r="I51" s="9">
        <f t="shared" si="2"/>
        <v>-3.1435543982351377E-2</v>
      </c>
      <c r="J51" s="9">
        <f t="shared" si="3"/>
        <v>5.478646864069403E-2</v>
      </c>
      <c r="K51" s="9">
        <f t="shared" si="4"/>
        <v>7.3113103733019713E-2</v>
      </c>
      <c r="L51" s="9">
        <f t="shared" si="5"/>
        <v>4.1886467283445583E-2</v>
      </c>
      <c r="M51" s="24">
        <f t="shared" si="6"/>
        <v>-6.9444094441229315E-3</v>
      </c>
      <c r="N51" s="24">
        <f t="shared" si="7"/>
        <v>-5.4986079816813742E-2</v>
      </c>
      <c r="O51" s="24">
        <f t="shared" si="8"/>
        <v>2.412092971075426E-2</v>
      </c>
      <c r="P51" s="24">
        <f t="shared" si="9"/>
        <v>1.5961353330545908E-2</v>
      </c>
      <c r="Q51" s="24">
        <f t="shared" si="10"/>
        <v>2.3366203269208907E-3</v>
      </c>
      <c r="AB51" s="9"/>
      <c r="AC51" s="20"/>
      <c r="AE51" s="22" cm="1">
        <f t="array" aca="1" ref="AE51" ca="1">SQRT(MMULT(MMULT(AG51:AK51,var_covar),TRANSPOSE(AG51:AK51)))</f>
        <v>0.10289367454010602</v>
      </c>
      <c r="AF51" s="22">
        <f t="shared" ca="1" si="11"/>
        <v>4.6641301740257712E-2</v>
      </c>
      <c r="AG51">
        <f ca="1"/>
        <v>0.44502804610961932</v>
      </c>
      <c r="AH51">
        <f ca="1"/>
        <v>-0.17600624059906905</v>
      </c>
      <c r="AI51">
        <f ca="1"/>
        <v>0.2008481626397309</v>
      </c>
      <c r="AJ51">
        <f ca="1"/>
        <v>0.49851420643678185</v>
      </c>
      <c r="AK51">
        <f ca="1"/>
        <v>3.1615825412937164E-2</v>
      </c>
      <c r="AN51" s="9">
        <v>0.97551784468296043</v>
      </c>
      <c r="AO51" s="9">
        <v>6.2929960244359151E-2</v>
      </c>
    </row>
    <row r="52" spans="1:41" x14ac:dyDescent="0.2">
      <c r="A52" s="2">
        <v>43555</v>
      </c>
      <c r="B52">
        <v>24.96158409118652</v>
      </c>
      <c r="C52">
        <v>165.668701171875</v>
      </c>
      <c r="D52">
        <v>356.55999755859381</v>
      </c>
      <c r="E52">
        <v>4.4564881324768066</v>
      </c>
      <c r="F52">
        <v>18.657333374023441</v>
      </c>
      <c r="G52" s="10">
        <v>2.4E-2</v>
      </c>
      <c r="H52" s="9">
        <f t="shared" si="1"/>
        <v>9.20613497557079E-2</v>
      </c>
      <c r="I52" s="9">
        <f t="shared" si="2"/>
        <v>3.2455810025903586E-2</v>
      </c>
      <c r="J52" s="9">
        <f t="shared" si="3"/>
        <v>-4.3004985162626852E-3</v>
      </c>
      <c r="K52" s="9">
        <f t="shared" si="4"/>
        <v>0.1652085870479143</v>
      </c>
      <c r="L52" s="9">
        <f t="shared" si="5"/>
        <v>-0.12510938574404096</v>
      </c>
      <c r="M52" s="24">
        <f t="shared" si="6"/>
        <v>5.8612075173079162E-2</v>
      </c>
      <c r="N52" s="24">
        <f t="shared" si="7"/>
        <v>8.9052741914412217E-3</v>
      </c>
      <c r="O52" s="24">
        <f t="shared" si="8"/>
        <v>-3.4966037446202455E-2</v>
      </c>
      <c r="P52" s="24">
        <f t="shared" si="9"/>
        <v>0.1080568366454405</v>
      </c>
      <c r="Q52" s="24">
        <f t="shared" si="10"/>
        <v>-0.16465923270056565</v>
      </c>
      <c r="AB52" s="9"/>
      <c r="AC52" s="20"/>
      <c r="AE52" s="22" cm="1">
        <f t="array" aca="1" ref="AE52" ca="1">SQRT(MMULT(MMULT(AG52:AK52,var_covar),TRANSPOSE(AG52:AK52)))</f>
        <v>0.18791738216967879</v>
      </c>
      <c r="AF52" s="22">
        <f t="shared" ca="1" si="11"/>
        <v>5.8019682593117343E-2</v>
      </c>
      <c r="AG52">
        <f ca="1"/>
        <v>0.33209643112016796</v>
      </c>
      <c r="AH52">
        <f ca="1"/>
        <v>-0.63017131042136798</v>
      </c>
      <c r="AI52">
        <f ca="1"/>
        <v>0.81199162401684799</v>
      </c>
      <c r="AJ52">
        <f ca="1"/>
        <v>1.0014536695435616</v>
      </c>
      <c r="AK52">
        <f ca="1"/>
        <v>-0.51537041425920949</v>
      </c>
      <c r="AN52" s="9">
        <v>0.97082424689897195</v>
      </c>
      <c r="AO52" s="9">
        <v>0.10302120194147081</v>
      </c>
    </row>
    <row r="53" spans="1:41" x14ac:dyDescent="0.2">
      <c r="A53" s="2">
        <v>43585</v>
      </c>
      <c r="B53">
        <v>26.666109085083011</v>
      </c>
      <c r="C53">
        <v>192.21502685546881</v>
      </c>
      <c r="D53">
        <v>370.54000854492188</v>
      </c>
      <c r="E53">
        <v>4.4922256469726562</v>
      </c>
      <c r="F53">
        <v>15.912667274475099</v>
      </c>
      <c r="G53" s="10">
        <v>2.3799999999999998E-2</v>
      </c>
      <c r="H53" s="9">
        <f t="shared" si="1"/>
        <v>6.8285930398877426E-2</v>
      </c>
      <c r="I53" s="9">
        <f t="shared" si="2"/>
        <v>0.16023742261402174</v>
      </c>
      <c r="J53" s="9">
        <f t="shared" si="3"/>
        <v>3.920801851596023E-2</v>
      </c>
      <c r="K53" s="9">
        <f t="shared" si="4"/>
        <v>8.0192100670954947E-3</v>
      </c>
      <c r="L53" s="9">
        <f t="shared" si="5"/>
        <v>-0.14710923820280408</v>
      </c>
      <c r="M53" s="24">
        <f t="shared" si="6"/>
        <v>3.4836655816248688E-2</v>
      </c>
      <c r="N53" s="24">
        <f t="shared" si="7"/>
        <v>0.13668688677955937</v>
      </c>
      <c r="O53" s="24">
        <f t="shared" si="8"/>
        <v>8.54247958602046E-3</v>
      </c>
      <c r="P53" s="24">
        <f t="shared" si="9"/>
        <v>-4.9132540335378311E-2</v>
      </c>
      <c r="Q53" s="24">
        <f t="shared" si="10"/>
        <v>-0.18665908515932877</v>
      </c>
      <c r="AB53" s="9"/>
      <c r="AC53" s="20"/>
      <c r="AE53" s="22" cm="1">
        <f t="array" aca="1" ref="AE53" ca="1">SQRT(MMULT(MMULT(AG53:AK53,var_covar),TRANSPOSE(AG53:AK53)))</f>
        <v>0.12529288778342942</v>
      </c>
      <c r="AF53" s="22">
        <f t="shared" ca="1" si="11"/>
        <v>5.416813400981537E-2</v>
      </c>
      <c r="AG53">
        <f ca="1"/>
        <v>0.73290120555366489</v>
      </c>
      <c r="AH53">
        <f ca="1"/>
        <v>-0.28678061849952474</v>
      </c>
      <c r="AI53">
        <f ca="1"/>
        <v>-0.1462756352030011</v>
      </c>
      <c r="AJ53">
        <f ca="1"/>
        <v>0.75000716838072501</v>
      </c>
      <c r="AK53">
        <f ca="1"/>
        <v>-4.9852120231864042E-2</v>
      </c>
      <c r="AN53" s="9">
        <v>0.95446229052549647</v>
      </c>
      <c r="AO53" s="9">
        <v>0.17420038133254642</v>
      </c>
    </row>
    <row r="54" spans="1:41" x14ac:dyDescent="0.2">
      <c r="A54" s="2">
        <v>43616</v>
      </c>
      <c r="B54">
        <v>21.074935913085941</v>
      </c>
      <c r="C54">
        <v>176.38264465332031</v>
      </c>
      <c r="D54">
        <v>343.27999877929688</v>
      </c>
      <c r="E54">
        <v>3.3619728088378911</v>
      </c>
      <c r="F54">
        <v>12.3439998626709</v>
      </c>
      <c r="G54" s="10">
        <v>2.35E-2</v>
      </c>
      <c r="H54" s="9">
        <f t="shared" si="1"/>
        <v>-0.20967337807542252</v>
      </c>
      <c r="I54" s="9">
        <f t="shared" si="2"/>
        <v>-8.2368077361887226E-2</v>
      </c>
      <c r="J54" s="9">
        <f t="shared" si="3"/>
        <v>-7.3568330374559787E-2</v>
      </c>
      <c r="K54" s="9">
        <f t="shared" si="4"/>
        <v>-0.25160197348867608</v>
      </c>
      <c r="L54" s="9">
        <f t="shared" si="5"/>
        <v>-0.22426582233190795</v>
      </c>
      <c r="M54" s="24">
        <f t="shared" si="6"/>
        <v>-0.24312265265805127</v>
      </c>
      <c r="N54" s="24">
        <f t="shared" si="7"/>
        <v>-0.1059186131963496</v>
      </c>
      <c r="O54" s="24">
        <f t="shared" si="8"/>
        <v>-0.10423386930449956</v>
      </c>
      <c r="P54" s="24">
        <f t="shared" si="9"/>
        <v>-0.30875372389114986</v>
      </c>
      <c r="Q54" s="24">
        <f t="shared" si="10"/>
        <v>-0.26381566928843264</v>
      </c>
      <c r="AB54" s="9"/>
      <c r="AC54" s="20"/>
      <c r="AE54" s="22" cm="1">
        <f t="array" aca="1" ref="AE54" ca="1">SQRT(MMULT(MMULT(AG54:AK54,var_covar),TRANSPOSE(AG54:AK54)))</f>
        <v>0.13333740963925872</v>
      </c>
      <c r="AF54" s="22">
        <f t="shared" ca="1" si="11"/>
        <v>5.0223040159712164E-2</v>
      </c>
      <c r="AG54">
        <f ca="1"/>
        <v>0.35267989853035719</v>
      </c>
      <c r="AH54">
        <f ca="1"/>
        <v>-0.26710896030771553</v>
      </c>
      <c r="AI54">
        <f ca="1"/>
        <v>0.47480964774514717</v>
      </c>
      <c r="AJ54">
        <f ca="1"/>
        <v>0.7254634871342508</v>
      </c>
      <c r="AK54">
        <f ca="1"/>
        <v>-0.28584407310203969</v>
      </c>
      <c r="AN54" s="9">
        <v>0.93930510575707604</v>
      </c>
      <c r="AO54" s="9">
        <v>-7.8582030802388847E-2</v>
      </c>
    </row>
    <row r="55" spans="1:41" x14ac:dyDescent="0.2">
      <c r="A55" s="2">
        <v>43646</v>
      </c>
      <c r="B55">
        <v>24.108369827270511</v>
      </c>
      <c r="C55">
        <v>191.81748962402341</v>
      </c>
      <c r="D55">
        <v>367.32000732421881</v>
      </c>
      <c r="E55">
        <v>4.0806655883789062</v>
      </c>
      <c r="F55">
        <v>14.8973331451416</v>
      </c>
      <c r="G55" s="10">
        <v>2.1700000000000001E-2</v>
      </c>
      <c r="H55" s="9">
        <f t="shared" si="1"/>
        <v>0.14393561748868899</v>
      </c>
      <c r="I55" s="9">
        <f t="shared" si="2"/>
        <v>8.7507730712623299E-2</v>
      </c>
      <c r="J55" s="9">
        <f t="shared" si="3"/>
        <v>7.003032110932228E-2</v>
      </c>
      <c r="K55" s="9">
        <f t="shared" si="4"/>
        <v>0.21377114581406764</v>
      </c>
      <c r="L55" s="9">
        <f t="shared" si="5"/>
        <v>0.20684812952664999</v>
      </c>
      <c r="M55" s="24">
        <f t="shared" si="6"/>
        <v>0.11048634290606026</v>
      </c>
      <c r="N55" s="24">
        <f t="shared" si="7"/>
        <v>6.3957194878160928E-2</v>
      </c>
      <c r="O55" s="24">
        <f t="shared" si="8"/>
        <v>3.936478217938251E-2</v>
      </c>
      <c r="P55" s="24">
        <f t="shared" si="9"/>
        <v>0.15661939541159384</v>
      </c>
      <c r="Q55" s="24">
        <f t="shared" si="10"/>
        <v>0.1672982825701253</v>
      </c>
      <c r="AB55" s="9"/>
      <c r="AC55" s="20"/>
      <c r="AE55" s="22" cm="1">
        <f t="array" aca="1" ref="AE55" ca="1">SQRT(MMULT(MMULT(AG55:AK55,var_covar),TRANSPOSE(AG55:AK55)))</f>
        <v>0.10175570031559693</v>
      </c>
      <c r="AF55" s="22">
        <f t="shared" ca="1" si="11"/>
        <v>4.5909762839141888E-2</v>
      </c>
      <c r="AG55">
        <f ca="1"/>
        <v>0.254338608581198</v>
      </c>
      <c r="AH55">
        <f ca="1"/>
        <v>6.1904556499409742E-2</v>
      </c>
      <c r="AI55">
        <f ca="1"/>
        <v>-1.9348361018144782E-2</v>
      </c>
      <c r="AJ55">
        <f ca="1"/>
        <v>0.49597252131072722</v>
      </c>
      <c r="AK55">
        <f ca="1"/>
        <v>0.20713267462680987</v>
      </c>
      <c r="AN55" s="9">
        <v>0.93688865747022854</v>
      </c>
      <c r="AO55" s="9">
        <v>-0.14442178376937448</v>
      </c>
    </row>
    <row r="56" spans="1:41" x14ac:dyDescent="0.2">
      <c r="A56" s="2">
        <v>43677</v>
      </c>
      <c r="B56">
        <v>24.519611358642582</v>
      </c>
      <c r="C56">
        <v>193.03997802734381</v>
      </c>
      <c r="D56">
        <v>322.989990234375</v>
      </c>
      <c r="E56">
        <v>4.1922307014465332</v>
      </c>
      <c r="F56">
        <v>16.107332229614261</v>
      </c>
      <c r="G56" s="10">
        <v>2.1000000000000001E-2</v>
      </c>
      <c r="H56" s="9">
        <f t="shared" si="1"/>
        <v>1.7058039772846367E-2</v>
      </c>
      <c r="I56" s="9">
        <f t="shared" si="2"/>
        <v>6.3731852904371777E-3</v>
      </c>
      <c r="J56" s="9">
        <f t="shared" si="3"/>
        <v>-0.12068500546096161</v>
      </c>
      <c r="K56" s="9">
        <f t="shared" si="4"/>
        <v>2.7339930374433719E-2</v>
      </c>
      <c r="L56" s="9">
        <f t="shared" si="5"/>
        <v>8.1222529743001148E-2</v>
      </c>
      <c r="M56" s="24">
        <f t="shared" si="6"/>
        <v>-1.6391234809782371E-2</v>
      </c>
      <c r="N56" s="24">
        <f t="shared" si="7"/>
        <v>-1.7177350544025187E-2</v>
      </c>
      <c r="O56" s="24">
        <f t="shared" si="8"/>
        <v>-0.1513505443909014</v>
      </c>
      <c r="P56" s="24">
        <f t="shared" si="9"/>
        <v>-2.9811820028040087E-2</v>
      </c>
      <c r="Q56" s="24">
        <f t="shared" si="10"/>
        <v>4.1672682786476456E-2</v>
      </c>
      <c r="AB56" s="9"/>
      <c r="AC56" s="20"/>
      <c r="AE56" s="22" cm="1">
        <f t="array" aca="1" ref="AE56" ca="1">SQRT(MMULT(MMULT(AG56:AK56,var_covar),TRANSPOSE(AG56:AK56)))</f>
        <v>0.13591182203121333</v>
      </c>
      <c r="AF56" s="22">
        <f t="shared" ca="1" si="11"/>
        <v>3.6142237311707286E-2</v>
      </c>
      <c r="AG56">
        <f ca="1"/>
        <v>0.5027484253423623</v>
      </c>
      <c r="AH56">
        <f ca="1"/>
        <v>-0.10851121950903311</v>
      </c>
      <c r="AI56">
        <f ca="1"/>
        <v>0.80767319817574579</v>
      </c>
      <c r="AJ56">
        <f ca="1"/>
        <v>0.28968209272107193</v>
      </c>
      <c r="AK56">
        <f ca="1"/>
        <v>-0.49159249673014721</v>
      </c>
      <c r="AN56" s="9">
        <v>0.93567560336366229</v>
      </c>
      <c r="AO56" s="9">
        <v>-2.0616614491018759E-2</v>
      </c>
    </row>
    <row r="57" spans="1:41" x14ac:dyDescent="0.2">
      <c r="A57" s="2">
        <v>43708</v>
      </c>
      <c r="B57">
        <v>23.898138046264648</v>
      </c>
      <c r="C57">
        <v>184.53240966796881</v>
      </c>
      <c r="D57">
        <v>293.75</v>
      </c>
      <c r="E57">
        <v>4.162163257598877</v>
      </c>
      <c r="F57">
        <v>15.040666580200201</v>
      </c>
      <c r="G57" s="10">
        <v>1.95E-2</v>
      </c>
      <c r="H57" s="9">
        <f t="shared" si="1"/>
        <v>-2.534596912193221E-2</v>
      </c>
      <c r="I57" s="9">
        <f t="shared" si="2"/>
        <v>-4.4071536094818176E-2</v>
      </c>
      <c r="J57" s="9">
        <f t="shared" si="3"/>
        <v>-9.0529091050645993E-2</v>
      </c>
      <c r="K57" s="9">
        <f t="shared" si="4"/>
        <v>-7.1721825416910523E-3</v>
      </c>
      <c r="L57" s="9">
        <f t="shared" si="5"/>
        <v>-6.6222365951633777E-2</v>
      </c>
      <c r="M57" s="24">
        <f t="shared" si="6"/>
        <v>-5.8795243704560948E-2</v>
      </c>
      <c r="N57" s="24">
        <f t="shared" si="7"/>
        <v>-6.7622071929280547E-2</v>
      </c>
      <c r="O57" s="24">
        <f t="shared" si="8"/>
        <v>-0.12119462998058576</v>
      </c>
      <c r="P57" s="24">
        <f t="shared" si="9"/>
        <v>-6.4323932944164858E-2</v>
      </c>
      <c r="Q57" s="24">
        <f t="shared" si="10"/>
        <v>-0.10577221290815847</v>
      </c>
      <c r="AB57" s="9"/>
      <c r="AC57" s="20"/>
      <c r="AE57" s="22" cm="1">
        <f t="array" aca="1" ref="AE57" ca="1">SQRT(MMULT(MMULT(AG57:AK57,var_covar),TRANSPOSE(AG57:AK57)))</f>
        <v>0.10834182852954807</v>
      </c>
      <c r="AF57" s="22">
        <f t="shared" ca="1" si="11"/>
        <v>3.1007516913457059E-2</v>
      </c>
      <c r="AG57">
        <f ca="1"/>
        <v>7.8018392799564629E-2</v>
      </c>
      <c r="AH57">
        <f ca="1"/>
        <v>0.30101741266373161</v>
      </c>
      <c r="AI57">
        <f ca="1"/>
        <v>0.21828689931246542</v>
      </c>
      <c r="AJ57">
        <f ca="1"/>
        <v>-7.4479098541767152E-2</v>
      </c>
      <c r="AK57">
        <f ca="1"/>
        <v>0.4771563937660056</v>
      </c>
      <c r="AN57" s="9">
        <v>0.9225431911738865</v>
      </c>
      <c r="AO57" s="9">
        <v>3.3503798672353216E-2</v>
      </c>
    </row>
    <row r="58" spans="1:41" x14ac:dyDescent="0.2">
      <c r="A58" s="2">
        <v>43738</v>
      </c>
      <c r="B58">
        <v>23.34262657165527</v>
      </c>
      <c r="C58">
        <v>176.9889221191406</v>
      </c>
      <c r="D58">
        <v>267.6199951171875</v>
      </c>
      <c r="E58">
        <v>4.3294425010681152</v>
      </c>
      <c r="F58">
        <v>16.058000564575199</v>
      </c>
      <c r="G58" s="10">
        <v>1.89E-2</v>
      </c>
      <c r="H58" s="9">
        <f t="shared" si="1"/>
        <v>-2.3244968856316661E-2</v>
      </c>
      <c r="I58" s="9">
        <f t="shared" si="2"/>
        <v>-4.087893049465563E-2</v>
      </c>
      <c r="J58" s="9">
        <f t="shared" si="3"/>
        <v>-8.8953208111702153E-2</v>
      </c>
      <c r="K58" s="9">
        <f t="shared" si="4"/>
        <v>4.0190457009065206E-2</v>
      </c>
      <c r="L58" s="9">
        <f t="shared" si="5"/>
        <v>6.7638889470113872E-2</v>
      </c>
      <c r="M58" s="24">
        <f t="shared" si="6"/>
        <v>-5.6694243438945399E-2</v>
      </c>
      <c r="N58" s="24">
        <f t="shared" si="7"/>
        <v>-6.4429466329118001E-2</v>
      </c>
      <c r="O58" s="24">
        <f t="shared" si="8"/>
        <v>-0.11961874704164192</v>
      </c>
      <c r="P58" s="24">
        <f t="shared" si="9"/>
        <v>-1.69612933934086E-2</v>
      </c>
      <c r="Q58" s="24">
        <f t="shared" si="10"/>
        <v>2.808904251358918E-2</v>
      </c>
      <c r="AB58" s="9"/>
      <c r="AC58" s="20"/>
      <c r="AE58" s="22" cm="1">
        <f t="array" aca="1" ref="AE58" ca="1">SQRT(MMULT(MMULT(AG58:AK58,var_covar),TRANSPOSE(AG58:AK58)))</f>
        <v>0.11145797268782109</v>
      </c>
      <c r="AF58" s="22">
        <f t="shared" ca="1" si="11"/>
        <v>4.6208080663737418E-2</v>
      </c>
      <c r="AG58">
        <f ca="1"/>
        <v>-7.174994589097961E-3</v>
      </c>
      <c r="AH58">
        <f ca="1"/>
        <v>5.2601132362272901E-2</v>
      </c>
      <c r="AI58">
        <f ca="1"/>
        <v>0.37351670510597201</v>
      </c>
      <c r="AJ58">
        <f ca="1"/>
        <v>0.61212024652893904</v>
      </c>
      <c r="AK58">
        <f ca="1"/>
        <v>-3.1063089408086095E-2</v>
      </c>
      <c r="AN58" s="9">
        <v>0.90864341630927192</v>
      </c>
      <c r="AO58" s="9">
        <v>-0.11283788774021261</v>
      </c>
    </row>
    <row r="59" spans="1:41" x14ac:dyDescent="0.2">
      <c r="A59" s="2">
        <v>43769</v>
      </c>
      <c r="B59">
        <v>24.989274978637699</v>
      </c>
      <c r="C59">
        <v>190.47575378417969</v>
      </c>
      <c r="D59">
        <v>287.41000366210938</v>
      </c>
      <c r="E59">
        <v>4.9997401237487793</v>
      </c>
      <c r="F59">
        <v>20.99466705322266</v>
      </c>
      <c r="G59" s="10">
        <v>1.6500000000000001E-2</v>
      </c>
      <c r="H59" s="9">
        <f t="shared" si="1"/>
        <v>7.0542550210777932E-2</v>
      </c>
      <c r="I59" s="9">
        <f t="shared" si="2"/>
        <v>7.620155828713604E-2</v>
      </c>
      <c r="J59" s="9">
        <f t="shared" si="3"/>
        <v>7.3948168694405902E-2</v>
      </c>
      <c r="K59" s="9">
        <f t="shared" si="4"/>
        <v>0.15482307999593359</v>
      </c>
      <c r="L59" s="9">
        <f t="shared" si="5"/>
        <v>0.30742722101642017</v>
      </c>
      <c r="M59" s="24">
        <f t="shared" si="6"/>
        <v>3.7093275628149194E-2</v>
      </c>
      <c r="N59" s="24">
        <f t="shared" si="7"/>
        <v>5.2651022452673675E-2</v>
      </c>
      <c r="O59" s="24">
        <f t="shared" si="8"/>
        <v>4.3282629764466132E-2</v>
      </c>
      <c r="P59" s="24">
        <f t="shared" si="9"/>
        <v>9.7671329593459782E-2</v>
      </c>
      <c r="Q59" s="24">
        <f t="shared" si="10"/>
        <v>0.26787737405989548</v>
      </c>
      <c r="AB59" s="9"/>
      <c r="AC59" s="20"/>
      <c r="AE59" s="22" cm="1">
        <f t="array" aca="1" ref="AE59" ca="1">SQRT(MMULT(MMULT(AG59:AK59,var_covar),TRANSPOSE(AG59:AK59)))</f>
        <v>0.15068632247992436</v>
      </c>
      <c r="AF59" s="22">
        <f t="shared" ca="1" si="11"/>
        <v>5.4842905349024383E-2</v>
      </c>
      <c r="AG59">
        <f ca="1"/>
        <v>0.61807103010098752</v>
      </c>
      <c r="AH59">
        <f ca="1"/>
        <v>-0.71145788790741316</v>
      </c>
      <c r="AI59">
        <f ca="1"/>
        <v>9.4459318616296153E-2</v>
      </c>
      <c r="AJ59">
        <f ca="1"/>
        <v>0.48403941390170685</v>
      </c>
      <c r="AK59">
        <f ca="1"/>
        <v>0.51488812528842265</v>
      </c>
      <c r="AN59" s="9">
        <v>0.90827764845713366</v>
      </c>
      <c r="AO59" s="9">
        <v>0.20062320619610161</v>
      </c>
    </row>
    <row r="60" spans="1:41" x14ac:dyDescent="0.2">
      <c r="A60" s="2">
        <v>43799</v>
      </c>
      <c r="B60">
        <v>26.98261642456055</v>
      </c>
      <c r="C60">
        <v>200.4045715332031</v>
      </c>
      <c r="D60">
        <v>314.66000366210938</v>
      </c>
      <c r="E60">
        <v>5.3907256126403809</v>
      </c>
      <c r="F60">
        <v>21.996000289916989</v>
      </c>
      <c r="G60" s="10">
        <v>1.54E-2</v>
      </c>
      <c r="H60" s="9">
        <f t="shared" si="1"/>
        <v>7.9767878324876529E-2</v>
      </c>
      <c r="I60" s="9">
        <f t="shared" si="2"/>
        <v>5.2126412689109669E-2</v>
      </c>
      <c r="J60" s="9">
        <f t="shared" si="3"/>
        <v>9.4812287856327337E-2</v>
      </c>
      <c r="K60" s="9">
        <f t="shared" si="4"/>
        <v>7.820116230330032E-2</v>
      </c>
      <c r="L60" s="9">
        <f t="shared" si="5"/>
        <v>4.7694647129001622E-2</v>
      </c>
      <c r="M60" s="24">
        <f t="shared" si="6"/>
        <v>4.6318603742247791E-2</v>
      </c>
      <c r="N60" s="24">
        <f t="shared" si="7"/>
        <v>2.8575876854647304E-2</v>
      </c>
      <c r="O60" s="24">
        <f t="shared" si="8"/>
        <v>6.4146748926387567E-2</v>
      </c>
      <c r="P60" s="24">
        <f t="shared" si="9"/>
        <v>2.1049411900826515E-2</v>
      </c>
      <c r="Q60" s="24">
        <f t="shared" si="10"/>
        <v>8.1448001724769292E-3</v>
      </c>
      <c r="AB60" s="9"/>
      <c r="AC60" s="20"/>
      <c r="AE60" s="22" cm="1">
        <f t="array" aca="1" ref="AE60" ca="1">SQRT(MMULT(MMULT(AG60:AK60,var_covar),TRANSPOSE(AG60:AK60)))</f>
        <v>9.505017887167308E-2</v>
      </c>
      <c r="AF60" s="22">
        <f t="shared" ca="1" si="11"/>
        <v>3.7668167588831077E-2</v>
      </c>
      <c r="AG60">
        <f ca="1"/>
        <v>6.5505302351364605E-2</v>
      </c>
      <c r="AH60">
        <f ca="1"/>
        <v>9.9797728771131675E-2</v>
      </c>
      <c r="AI60">
        <f ca="1"/>
        <v>0.45618409877744953</v>
      </c>
      <c r="AJ60">
        <f ca="1"/>
        <v>0.2367650433503177</v>
      </c>
      <c r="AK60">
        <f ca="1"/>
        <v>0.14174782674973657</v>
      </c>
      <c r="AN60" s="9">
        <v>0.90180187065748318</v>
      </c>
      <c r="AO60" s="9">
        <v>7.1114162841666995E-3</v>
      </c>
    </row>
    <row r="61" spans="1:41" x14ac:dyDescent="0.2">
      <c r="A61" s="2">
        <v>43830</v>
      </c>
      <c r="B61">
        <v>26.966402053833011</v>
      </c>
      <c r="C61">
        <v>203.992431640625</v>
      </c>
      <c r="D61">
        <v>323.57000732421881</v>
      </c>
      <c r="E61">
        <v>5.8566670417785636</v>
      </c>
      <c r="F61">
        <v>27.888666152954102</v>
      </c>
      <c r="G61" s="10">
        <v>1.54E-2</v>
      </c>
      <c r="H61" s="9">
        <f t="shared" si="1"/>
        <v>-6.009191426217253E-4</v>
      </c>
      <c r="I61" s="9">
        <f t="shared" si="2"/>
        <v>1.7903085144080455E-2</v>
      </c>
      <c r="J61" s="9">
        <f t="shared" si="3"/>
        <v>2.8316289195996047E-2</v>
      </c>
      <c r="K61" s="9">
        <f t="shared" si="4"/>
        <v>8.6433898257708641E-2</v>
      </c>
      <c r="L61" s="9">
        <f t="shared" si="5"/>
        <v>0.2678971533628467</v>
      </c>
      <c r="M61" s="24">
        <f t="shared" si="6"/>
        <v>-3.4050193725250463E-2</v>
      </c>
      <c r="N61" s="24">
        <f t="shared" si="7"/>
        <v>-5.6474506903819097E-3</v>
      </c>
      <c r="O61" s="24">
        <f t="shared" si="8"/>
        <v>-2.3492497339437229E-3</v>
      </c>
      <c r="P61" s="24">
        <f t="shared" si="9"/>
        <v>2.9282147855234836E-2</v>
      </c>
      <c r="Q61" s="24">
        <f t="shared" si="10"/>
        <v>0.228347306406322</v>
      </c>
      <c r="AB61" s="9"/>
      <c r="AC61" s="20"/>
      <c r="AE61" s="22" cm="1">
        <f t="array" aca="1" ref="AE61" ca="1">SQRT(MMULT(MMULT(AG61:AK61,var_covar),TRANSPOSE(AG61:AK61)))</f>
        <v>2.9602207729076411</v>
      </c>
      <c r="AF61" s="22">
        <f t="shared" ca="1" si="11"/>
        <v>0.33639564883486262</v>
      </c>
      <c r="AG61">
        <f ca="1"/>
        <v>14.226426585036467</v>
      </c>
      <c r="AH61">
        <f ca="1"/>
        <v>-25.30324666032087</v>
      </c>
      <c r="AI61">
        <f ca="1"/>
        <v>1.3722967836139868</v>
      </c>
      <c r="AJ61">
        <f ca="1"/>
        <v>-0.51173224149473517</v>
      </c>
      <c r="AK61">
        <f ca="1"/>
        <v>11.216255533165151</v>
      </c>
      <c r="AN61" s="9">
        <v>0.8881182727360829</v>
      </c>
      <c r="AO61" s="9">
        <v>0.24201797230490954</v>
      </c>
    </row>
    <row r="62" spans="1:41" x14ac:dyDescent="0.2">
      <c r="A62" s="2">
        <v>43861</v>
      </c>
      <c r="B62">
        <v>26.303474426269531</v>
      </c>
      <c r="C62">
        <v>200.67291259765619</v>
      </c>
      <c r="D62">
        <v>345.08999633789062</v>
      </c>
      <c r="E62">
        <v>5.8847923278808594</v>
      </c>
      <c r="F62">
        <v>43.371334075927727</v>
      </c>
      <c r="G62" s="10">
        <v>1.52E-2</v>
      </c>
      <c r="H62" s="9">
        <f t="shared" si="1"/>
        <v>-2.4583465982598529E-2</v>
      </c>
      <c r="I62" s="9">
        <f t="shared" si="2"/>
        <v>-1.62727558874185E-2</v>
      </c>
      <c r="J62" s="9">
        <f t="shared" si="3"/>
        <v>6.6507984444023727E-2</v>
      </c>
      <c r="K62" s="9">
        <f t="shared" si="4"/>
        <v>4.8022682357840019E-3</v>
      </c>
      <c r="L62" s="9">
        <f t="shared" si="5"/>
        <v>0.55515985734346884</v>
      </c>
      <c r="M62" s="24">
        <f t="shared" si="6"/>
        <v>-5.8032740565227267E-2</v>
      </c>
      <c r="N62" s="24">
        <f t="shared" si="7"/>
        <v>-3.9823291721880864E-2</v>
      </c>
      <c r="O62" s="24">
        <f t="shared" si="8"/>
        <v>3.5842445514083957E-2</v>
      </c>
      <c r="P62" s="24">
        <f t="shared" si="9"/>
        <v>-5.2349482166689804E-2</v>
      </c>
      <c r="Q62" s="24">
        <f t="shared" si="10"/>
        <v>0.5156100103869441</v>
      </c>
      <c r="AB62" s="9"/>
      <c r="AC62" s="20"/>
      <c r="AE62" s="22" cm="1">
        <f t="array" aca="1" ref="AE62" ca="1">SQRT(MMULT(MMULT(AG62:AK62,var_covar),TRANSPOSE(AG62:AK62)))</f>
        <v>0.71790497609274628</v>
      </c>
      <c r="AF62" s="22">
        <f t="shared" ca="1" si="11"/>
        <v>0.11150463027017181</v>
      </c>
      <c r="AG62">
        <f ca="1"/>
        <v>-0.73649331667637696</v>
      </c>
      <c r="AH62">
        <f ca="1"/>
        <v>-0.73549558871600473</v>
      </c>
      <c r="AI62">
        <f ca="1"/>
        <v>-3.1191301340361415</v>
      </c>
      <c r="AJ62">
        <f ca="1"/>
        <v>1.5897722072927403</v>
      </c>
      <c r="AK62">
        <f ca="1"/>
        <v>4.0013468321357832</v>
      </c>
      <c r="AN62" s="9">
        <v>0.87040367620062586</v>
      </c>
      <c r="AO62" s="9">
        <v>9.6280768757716517E-2</v>
      </c>
    </row>
    <row r="63" spans="1:41" x14ac:dyDescent="0.2">
      <c r="A63" s="2">
        <v>43890</v>
      </c>
      <c r="B63">
        <v>23.498661041259769</v>
      </c>
      <c r="C63">
        <v>191.29075622558591</v>
      </c>
      <c r="D63">
        <v>369.02999877929688</v>
      </c>
      <c r="E63">
        <v>6.7220973968505859</v>
      </c>
      <c r="F63">
        <v>44.532665252685547</v>
      </c>
      <c r="G63" s="10">
        <v>1.52E-2</v>
      </c>
      <c r="H63" s="9">
        <f t="shared" si="1"/>
        <v>-0.10663280977848955</v>
      </c>
      <c r="I63" s="9">
        <f t="shared" si="2"/>
        <v>-4.6753476842593344E-2</v>
      </c>
      <c r="J63" s="9">
        <f t="shared" si="3"/>
        <v>6.9373214800366734E-2</v>
      </c>
      <c r="K63" s="9">
        <f t="shared" si="4"/>
        <v>0.14228285762995552</v>
      </c>
      <c r="L63" s="9">
        <f t="shared" si="5"/>
        <v>2.677646887053875E-2</v>
      </c>
      <c r="M63" s="24">
        <f t="shared" si="6"/>
        <v>-0.1400820843611183</v>
      </c>
      <c r="N63" s="24">
        <f t="shared" si="7"/>
        <v>-7.0304012677055716E-2</v>
      </c>
      <c r="O63" s="24">
        <f t="shared" si="8"/>
        <v>3.8707675870426964E-2</v>
      </c>
      <c r="P63" s="24">
        <f t="shared" si="9"/>
        <v>8.5131107227481712E-2</v>
      </c>
      <c r="Q63" s="24">
        <f t="shared" si="10"/>
        <v>-1.2773378085985942E-2</v>
      </c>
      <c r="AB63" s="9"/>
      <c r="AC63" s="20"/>
      <c r="AE63" s="22" cm="1">
        <f t="array" aca="1" ref="AE63" ca="1">SQRT(MMULT(MMULT(AG63:AK63,var_covar),TRANSPOSE(AG63:AK63)))</f>
        <v>9.97730804270376E-2</v>
      </c>
      <c r="AF63" s="22">
        <f t="shared" ca="1" si="11"/>
        <v>3.1665477312120077E-2</v>
      </c>
      <c r="AG63">
        <f ca="1"/>
        <v>0.27923044493816179</v>
      </c>
      <c r="AH63">
        <f ca="1"/>
        <v>0.13268732579924278</v>
      </c>
      <c r="AI63">
        <f ca="1"/>
        <v>0.28329671492418207</v>
      </c>
      <c r="AJ63">
        <f ca="1"/>
        <v>-8.7553202701852087E-2</v>
      </c>
      <c r="AK63">
        <f ca="1"/>
        <v>0.39233871704026552</v>
      </c>
      <c r="AN63" s="9">
        <v>0.83980371356571937</v>
      </c>
      <c r="AO63" s="9">
        <v>-1.106661086002439E-2</v>
      </c>
    </row>
    <row r="64" spans="1:41" x14ac:dyDescent="0.2">
      <c r="A64" s="2">
        <v>43921</v>
      </c>
      <c r="B64">
        <v>20.436992645263668</v>
      </c>
      <c r="C64">
        <v>165.77803039550781</v>
      </c>
      <c r="D64">
        <v>375.5</v>
      </c>
      <c r="E64">
        <v>6.5649833679199219</v>
      </c>
      <c r="F64">
        <v>34.933334350585938</v>
      </c>
      <c r="G64" s="10">
        <v>2.8999999999999998E-3</v>
      </c>
      <c r="H64" s="9">
        <f t="shared" si="1"/>
        <v>-0.13029118512839166</v>
      </c>
      <c r="I64" s="9">
        <f t="shared" si="2"/>
        <v>-0.13337145157182284</v>
      </c>
      <c r="J64" s="9">
        <f t="shared" si="3"/>
        <v>1.7532453302184337E-2</v>
      </c>
      <c r="K64" s="9">
        <f t="shared" si="4"/>
        <v>-2.3372768892678475E-2</v>
      </c>
      <c r="L64" s="9">
        <f t="shared" si="5"/>
        <v>-0.2155570713684315</v>
      </c>
      <c r="M64" s="24">
        <f t="shared" si="6"/>
        <v>-0.16374045971102041</v>
      </c>
      <c r="N64" s="24">
        <f t="shared" si="7"/>
        <v>-0.15692198740628521</v>
      </c>
      <c r="O64" s="24">
        <f t="shared" si="8"/>
        <v>-1.3133085627755434E-2</v>
      </c>
      <c r="P64" s="24">
        <f t="shared" si="9"/>
        <v>-8.052451929515228E-2</v>
      </c>
      <c r="Q64" s="24">
        <f t="shared" si="10"/>
        <v>-0.25510691832495619</v>
      </c>
      <c r="AB64" s="9"/>
      <c r="AC64" s="20"/>
      <c r="AE64" s="22" cm="1">
        <f t="array" aca="1" ref="AE64" ca="1">SQRT(MMULT(MMULT(AG64:AK64,var_covar),TRANSPOSE(AG64:AK64)))</f>
        <v>0.14955769962508925</v>
      </c>
      <c r="AF64" s="22">
        <f t="shared" ca="1" si="11"/>
        <v>4.6559265087217971E-2</v>
      </c>
      <c r="AG64">
        <f ca="1"/>
        <v>-0.70535352585925004</v>
      </c>
      <c r="AH64">
        <f ca="1"/>
        <v>0.33321056864967874</v>
      </c>
      <c r="AI64">
        <f ca="1"/>
        <v>0.29007059095100424</v>
      </c>
      <c r="AJ64">
        <f ca="1"/>
        <v>0.60303557317244705</v>
      </c>
      <c r="AK64">
        <f ca="1"/>
        <v>0.47903679308612007</v>
      </c>
      <c r="AN64" s="9">
        <v>0.83601097174041039</v>
      </c>
      <c r="AO64" s="9">
        <v>-0.10502346830433672</v>
      </c>
    </row>
    <row r="65" spans="1:41" x14ac:dyDescent="0.2">
      <c r="A65" s="2">
        <v>43951</v>
      </c>
      <c r="B65">
        <v>23.8104362487793</v>
      </c>
      <c r="C65">
        <v>203.45576477050781</v>
      </c>
      <c r="D65">
        <v>419.85000610351562</v>
      </c>
      <c r="E65">
        <v>7.2792620658874512</v>
      </c>
      <c r="F65">
        <v>52.125331878662109</v>
      </c>
      <c r="G65" s="10">
        <v>1.4000000000000002E-3</v>
      </c>
      <c r="H65" s="9">
        <f t="shared" si="1"/>
        <v>0.16506555842488102</v>
      </c>
      <c r="I65" s="9">
        <f t="shared" si="2"/>
        <v>0.22727821222818068</v>
      </c>
      <c r="J65" s="9">
        <f t="shared" si="3"/>
        <v>0.11810920400403635</v>
      </c>
      <c r="K65" s="9">
        <f t="shared" si="4"/>
        <v>0.10880129589632825</v>
      </c>
      <c r="L65" s="9">
        <f t="shared" si="5"/>
        <v>0.49213731948802097</v>
      </c>
      <c r="M65" s="24">
        <f t="shared" si="6"/>
        <v>0.13161628384225227</v>
      </c>
      <c r="N65" s="24">
        <f t="shared" si="7"/>
        <v>0.2037276763937183</v>
      </c>
      <c r="O65" s="24">
        <f t="shared" si="8"/>
        <v>8.744366507409658E-2</v>
      </c>
      <c r="P65" s="24">
        <f t="shared" si="9"/>
        <v>5.1649545493854448E-2</v>
      </c>
      <c r="Q65" s="24">
        <f t="shared" si="10"/>
        <v>0.45258747253149628</v>
      </c>
      <c r="AB65" s="9"/>
      <c r="AC65" s="20"/>
      <c r="AE65" s="22" cm="1">
        <f t="array" aca="1" ref="AE65" ca="1">SQRT(MMULT(MMULT(AG65:AK65,var_covar),TRANSPOSE(AG65:AK65)))</f>
        <v>0.1083169212908117</v>
      </c>
      <c r="AF65" s="22">
        <f t="shared" ca="1" si="11"/>
        <v>3.9468897606917637E-2</v>
      </c>
      <c r="AG65">
        <f ca="1"/>
        <v>0.37272443974913949</v>
      </c>
      <c r="AH65">
        <f ca="1"/>
        <v>0.55083760787556335</v>
      </c>
      <c r="AI65">
        <f ca="1"/>
        <v>-0.45837095601502259</v>
      </c>
      <c r="AJ65">
        <f ca="1"/>
        <v>0.39391174905314641</v>
      </c>
      <c r="AK65">
        <f ca="1"/>
        <v>0.14089715933717351</v>
      </c>
      <c r="AN65" s="9">
        <v>0.82606897752671427</v>
      </c>
      <c r="AO65" s="9">
        <v>9.628342260646397E-2</v>
      </c>
    </row>
    <row r="66" spans="1:41" x14ac:dyDescent="0.2">
      <c r="A66" s="2">
        <v>43982</v>
      </c>
      <c r="B66">
        <v>25.532964706420898</v>
      </c>
      <c r="C66">
        <v>223.71086120605469</v>
      </c>
      <c r="D66">
        <v>419.73001098632812</v>
      </c>
      <c r="E66">
        <v>8.8418083190917969</v>
      </c>
      <c r="F66">
        <v>55.666667938232422</v>
      </c>
      <c r="G66" s="10">
        <v>1.2999999999999999E-3</v>
      </c>
      <c r="H66" s="9">
        <f t="shared" si="1"/>
        <v>7.2343422843834215E-2</v>
      </c>
      <c r="I66" s="9">
        <f t="shared" si="2"/>
        <v>9.9555283962555974E-2</v>
      </c>
      <c r="J66" s="9">
        <f t="shared" si="3"/>
        <v>-2.8580472893435793E-4</v>
      </c>
      <c r="K66" s="9">
        <f t="shared" si="4"/>
        <v>0.2146572329806411</v>
      </c>
      <c r="L66" s="9">
        <f t="shared" si="5"/>
        <v>6.7938868337833691E-2</v>
      </c>
      <c r="M66" s="24">
        <f t="shared" si="6"/>
        <v>3.8894148261205477E-2</v>
      </c>
      <c r="N66" s="24">
        <f t="shared" si="7"/>
        <v>7.6004748128093602E-2</v>
      </c>
      <c r="O66" s="24">
        <f t="shared" si="8"/>
        <v>-3.0951343658874128E-2</v>
      </c>
      <c r="P66" s="24">
        <f t="shared" si="9"/>
        <v>0.15750548257816729</v>
      </c>
      <c r="Q66" s="24">
        <f t="shared" si="10"/>
        <v>2.8389021381308999E-2</v>
      </c>
      <c r="AB66" s="9"/>
      <c r="AC66" s="20"/>
      <c r="AE66" s="22" cm="1">
        <f t="array" aca="1" ref="AE66" ca="1">SQRT(MMULT(MMULT(AG66:AK66,var_covar),TRANSPOSE(AG66:AK66)))</f>
        <v>0.13472595987033376</v>
      </c>
      <c r="AF66" s="22">
        <f t="shared" ca="1" si="11"/>
        <v>1.0729717645422099E-2</v>
      </c>
      <c r="AG66">
        <f ca="1"/>
        <v>-0.17450484123529547</v>
      </c>
      <c r="AH66">
        <f ca="1"/>
        <v>0.55618649904576034</v>
      </c>
      <c r="AI66">
        <f ca="1"/>
        <v>1.0694354931912742</v>
      </c>
      <c r="AJ66">
        <f ca="1"/>
        <v>-0.65248134008478953</v>
      </c>
      <c r="AK66">
        <f ca="1"/>
        <v>0.20136418908305045</v>
      </c>
      <c r="AN66" s="9">
        <v>0.82329299730830363</v>
      </c>
      <c r="AO66" s="9">
        <v>0.16713096526113153</v>
      </c>
    </row>
    <row r="67" spans="1:41" x14ac:dyDescent="0.2">
      <c r="A67" s="2">
        <v>44012</v>
      </c>
      <c r="B67">
        <v>27.666627883911129</v>
      </c>
      <c r="C67">
        <v>225.67877197265619</v>
      </c>
      <c r="D67">
        <v>455.04000854492188</v>
      </c>
      <c r="E67">
        <v>9.4616966247558594</v>
      </c>
      <c r="F67">
        <v>71.987335205078125</v>
      </c>
      <c r="G67" s="10">
        <v>1.6000000000000001E-3</v>
      </c>
      <c r="H67" s="9">
        <f t="shared" si="1"/>
        <v>8.356503845218044E-2</v>
      </c>
      <c r="I67" s="9">
        <f t="shared" si="2"/>
        <v>8.7966706488555868E-3</v>
      </c>
      <c r="J67" s="9">
        <f t="shared" si="3"/>
        <v>8.4125501237374944E-2</v>
      </c>
      <c r="K67" s="9">
        <f t="shared" si="4"/>
        <v>7.010876998153881E-2</v>
      </c>
      <c r="L67" s="9">
        <f t="shared" si="5"/>
        <v>0.29318563282708188</v>
      </c>
      <c r="M67" s="24">
        <f t="shared" si="6"/>
        <v>5.0115763869551702E-2</v>
      </c>
      <c r="N67" s="24">
        <f t="shared" si="7"/>
        <v>-1.4753865185606778E-2</v>
      </c>
      <c r="O67" s="24">
        <f t="shared" si="8"/>
        <v>5.3459962307435174E-2</v>
      </c>
      <c r="P67" s="24">
        <f t="shared" si="9"/>
        <v>1.2957019579065004E-2</v>
      </c>
      <c r="Q67" s="24">
        <f t="shared" si="10"/>
        <v>0.25363578587055718</v>
      </c>
      <c r="AB67" s="9"/>
      <c r="AC67" s="20"/>
      <c r="AE67" s="22" cm="1">
        <f t="array" aca="1" ref="AE67" ca="1">SQRT(MMULT(MMULT(AG67:AK67,var_covar),TRANSPOSE(AG67:AK67)))</f>
        <v>0.6210534372782972</v>
      </c>
      <c r="AF67" s="22">
        <f t="shared" ca="1" si="11"/>
        <v>-8.9484704074535695E-2</v>
      </c>
      <c r="AG67">
        <f ca="1"/>
        <v>2.2600437134869291</v>
      </c>
      <c r="AH67">
        <f ca="1"/>
        <v>4.7986551069453087</v>
      </c>
      <c r="AI67">
        <f ca="1"/>
        <v>-1.2259900383317355</v>
      </c>
      <c r="AJ67">
        <f ca="1"/>
        <v>-2.8044630545168627</v>
      </c>
      <c r="AK67">
        <f ca="1"/>
        <v>-2.0282457275836396</v>
      </c>
      <c r="AN67" s="9">
        <v>0.80441692068680826</v>
      </c>
      <c r="AO67" s="9">
        <v>7.6331264424417289E-2</v>
      </c>
    </row>
    <row r="68" spans="1:41" x14ac:dyDescent="0.2">
      <c r="A68" s="2">
        <v>44043</v>
      </c>
      <c r="B68">
        <v>28.0526237487793</v>
      </c>
      <c r="C68">
        <v>252.11576843261719</v>
      </c>
      <c r="D68">
        <v>488.8800048828125</v>
      </c>
      <c r="E68">
        <v>10.57927894592285</v>
      </c>
      <c r="F68">
        <v>95.384002685546875</v>
      </c>
      <c r="G68" s="10">
        <v>1.2999999999999999E-3</v>
      </c>
      <c r="H68" s="9">
        <f t="shared" ref="H68:H128" si="13">B68/B67-1</f>
        <v>1.395167732359015E-2</v>
      </c>
      <c r="I68" s="9">
        <f t="shared" ref="I68:I128" si="14">C68/C67-1</f>
        <v>0.11714436510299775</v>
      </c>
      <c r="J68" s="9">
        <f t="shared" ref="J68:J128" si="15">D68/D67-1</f>
        <v>7.4367079163215832E-2</v>
      </c>
      <c r="K68" s="9">
        <f t="shared" ref="K68:K128" si="16">E68/E67-1</f>
        <v>0.1181164822219003</v>
      </c>
      <c r="L68" s="9">
        <f t="shared" ref="L68:L128" si="17">F68/F67-1</f>
        <v>0.32501088439815318</v>
      </c>
      <c r="M68" s="24">
        <f t="shared" ref="M68:M128" si="18">H68-$S$2</f>
        <v>-1.9497597259038588E-2</v>
      </c>
      <c r="N68" s="24">
        <f t="shared" ref="N68:N128" si="19">I68-$T$2</f>
        <v>9.3593829268535378E-2</v>
      </c>
      <c r="O68" s="24">
        <f t="shared" ref="O68:O128" si="20">J68-$U$2</f>
        <v>4.3701540233276062E-2</v>
      </c>
      <c r="P68" s="24">
        <f t="shared" ref="P68:P128" si="21">K68-$V$2</f>
        <v>6.0964731819426493E-2</v>
      </c>
      <c r="Q68" s="24">
        <f t="shared" ref="Q68:Q128" si="22">L68-$W$2</f>
        <v>0.28546103744162848</v>
      </c>
      <c r="AB68" s="9"/>
      <c r="AC68" s="20"/>
      <c r="AE68" s="22" cm="1">
        <f t="array" aca="1" ref="AE68" ca="1">SQRT(MMULT(MMULT(AG68:AK68,var_covar),TRANSPOSE(AG68:AK68)))</f>
        <v>0.12841039070636701</v>
      </c>
      <c r="AF68" s="22">
        <f t="shared" ref="AF68:AF131" ca="1" si="23">SUMPRODUCT(AG68:AK68,$S$2:$W$2)</f>
        <v>2.6163094678834747E-2</v>
      </c>
      <c r="AG68">
        <f ca="1"/>
        <v>-0.38118893676608434</v>
      </c>
      <c r="AH68">
        <f ca="1"/>
        <v>0.63907114048850688</v>
      </c>
      <c r="AI68">
        <f ca="1"/>
        <v>0.3448684166557508</v>
      </c>
      <c r="AJ68">
        <f ca="1"/>
        <v>-0.13769009323253148</v>
      </c>
      <c r="AK68">
        <f ca="1"/>
        <v>0.53493947285435817</v>
      </c>
      <c r="AN68" s="9">
        <v>0.80282422941686171</v>
      </c>
      <c r="AO68" s="9">
        <v>1.3835980883887794E-2</v>
      </c>
    </row>
    <row r="69" spans="1:41" x14ac:dyDescent="0.2">
      <c r="A69" s="2">
        <v>44074</v>
      </c>
      <c r="B69">
        <v>30.744964599609379</v>
      </c>
      <c r="C69">
        <v>291.40359497070312</v>
      </c>
      <c r="D69">
        <v>529.55999755859375</v>
      </c>
      <c r="E69">
        <v>13.32980918884277</v>
      </c>
      <c r="F69">
        <v>166.10667419433591</v>
      </c>
      <c r="G69" s="10">
        <v>1E-3</v>
      </c>
      <c r="H69" s="9">
        <f t="shared" si="13"/>
        <v>9.5974653741514482E-2</v>
      </c>
      <c r="I69" s="9">
        <f t="shared" si="14"/>
        <v>0.15583248434770702</v>
      </c>
      <c r="J69" s="9">
        <f t="shared" si="15"/>
        <v>8.3210588016444875E-2</v>
      </c>
      <c r="K69" s="9">
        <f t="shared" si="16"/>
        <v>0.2599922222468618</v>
      </c>
      <c r="L69" s="9">
        <f t="shared" si="17"/>
        <v>0.74145212527871118</v>
      </c>
      <c r="M69" s="24">
        <f t="shared" si="18"/>
        <v>6.2525379158885744E-2</v>
      </c>
      <c r="N69" s="24">
        <f t="shared" si="19"/>
        <v>0.13228194851324465</v>
      </c>
      <c r="O69" s="24">
        <f t="shared" si="20"/>
        <v>5.2545049086505105E-2</v>
      </c>
      <c r="P69" s="24">
        <f t="shared" si="21"/>
        <v>0.202840471844388</v>
      </c>
      <c r="Q69" s="24">
        <f t="shared" si="22"/>
        <v>0.70190227832218643</v>
      </c>
      <c r="AB69" s="9"/>
      <c r="AC69" s="20"/>
      <c r="AE69" s="22" cm="1">
        <f t="array" aca="1" ref="AE69" ca="1">SQRT(MMULT(MMULT(AG69:AK69,var_covar),TRANSPOSE(AG69:AK69)))</f>
        <v>0.20747705019565879</v>
      </c>
      <c r="AF69" s="22">
        <f t="shared" ca="1" si="23"/>
        <v>4.7142759307836943E-2</v>
      </c>
      <c r="AG69">
        <f ca="1"/>
        <v>0.46491213051232255</v>
      </c>
      <c r="AH69">
        <f ca="1"/>
        <v>0.31441281845795871</v>
      </c>
      <c r="AI69">
        <f ca="1"/>
        <v>-1.0802446298689403</v>
      </c>
      <c r="AJ69">
        <f ca="1"/>
        <v>0.3330494873159569</v>
      </c>
      <c r="AK69">
        <f ca="1"/>
        <v>0.9678701935827021</v>
      </c>
      <c r="AN69" s="9">
        <v>0.80048638105654124</v>
      </c>
      <c r="AO69" s="9">
        <v>0.15671177310158638</v>
      </c>
    </row>
    <row r="70" spans="1:41" x14ac:dyDescent="0.2">
      <c r="A70" s="2">
        <v>44104</v>
      </c>
      <c r="B70">
        <v>32.265613555908203</v>
      </c>
      <c r="C70">
        <v>260.29534912109381</v>
      </c>
      <c r="D70">
        <v>500.02999877929688</v>
      </c>
      <c r="E70">
        <v>13.485287666320801</v>
      </c>
      <c r="F70">
        <v>143.0033264160156</v>
      </c>
      <c r="G70" s="10">
        <v>1.1000000000000001E-3</v>
      </c>
      <c r="H70" s="9">
        <f t="shared" si="13"/>
        <v>4.9460097811208525E-2</v>
      </c>
      <c r="I70" s="9">
        <f t="shared" si="14"/>
        <v>-0.1067531299767831</v>
      </c>
      <c r="J70" s="9">
        <f t="shared" si="15"/>
        <v>-5.5763273123796475E-2</v>
      </c>
      <c r="K70" s="9">
        <f t="shared" si="16"/>
        <v>1.166396872418618E-2</v>
      </c>
      <c r="L70" s="9">
        <f t="shared" si="17"/>
        <v>-0.13908741409927117</v>
      </c>
      <c r="M70" s="24">
        <f t="shared" si="18"/>
        <v>1.6010823228579787E-2</v>
      </c>
      <c r="N70" s="24">
        <f t="shared" si="19"/>
        <v>-0.13030366581124547</v>
      </c>
      <c r="O70" s="24">
        <f t="shared" si="20"/>
        <v>-8.6428812053736245E-2</v>
      </c>
      <c r="P70" s="24">
        <f t="shared" si="21"/>
        <v>-4.5487781678287625E-2</v>
      </c>
      <c r="Q70" s="24">
        <f t="shared" si="22"/>
        <v>-0.17863726105579586</v>
      </c>
      <c r="AB70" s="9"/>
      <c r="AC70" s="20"/>
      <c r="AE70" s="22" cm="1">
        <f t="array" aca="1" ref="AE70" ca="1">SQRT(MMULT(MMULT(AG70:AK70,var_covar),TRANSPOSE(AG70:AK70)))</f>
        <v>9.9684753974868631E-2</v>
      </c>
      <c r="AF70" s="22">
        <f t="shared" ca="1" si="23"/>
        <v>3.7284526615703556E-2</v>
      </c>
      <c r="AG70">
        <f ca="1"/>
        <v>0.1652297739385461</v>
      </c>
      <c r="AH70">
        <f ca="1"/>
        <v>0.21655986049140716</v>
      </c>
      <c r="AI70">
        <f ca="1"/>
        <v>0.45836153387637779</v>
      </c>
      <c r="AJ70">
        <f ca="1"/>
        <v>0.35676309165908693</v>
      </c>
      <c r="AK70">
        <f ca="1"/>
        <v>-0.19691425996541789</v>
      </c>
      <c r="AN70" s="9">
        <v>0.78989016351348562</v>
      </c>
      <c r="AO70" s="9">
        <v>0.11403671458851669</v>
      </c>
    </row>
    <row r="71" spans="1:41" x14ac:dyDescent="0.2">
      <c r="A71" s="2">
        <v>44135</v>
      </c>
      <c r="B71">
        <v>31.246906280517582</v>
      </c>
      <c r="C71">
        <v>261.49789428710938</v>
      </c>
      <c r="D71">
        <v>475.739990234375</v>
      </c>
      <c r="E71">
        <v>12.49585628509521</v>
      </c>
      <c r="F71">
        <v>129.34666442871091</v>
      </c>
      <c r="G71" s="10">
        <v>1E-3</v>
      </c>
      <c r="H71" s="9">
        <f t="shared" si="13"/>
        <v>-3.1572536924656891E-2</v>
      </c>
      <c r="I71" s="9">
        <f t="shared" si="14"/>
        <v>4.6199256731864757E-3</v>
      </c>
      <c r="J71" s="9">
        <f t="shared" si="15"/>
        <v>-4.8577102582285203E-2</v>
      </c>
      <c r="K71" s="9">
        <f t="shared" si="16"/>
        <v>-7.3371173512054466E-2</v>
      </c>
      <c r="L71" s="9">
        <f t="shared" si="17"/>
        <v>-9.5498911316060253E-2</v>
      </c>
      <c r="M71" s="24">
        <f t="shared" si="18"/>
        <v>-6.5021811507285629E-2</v>
      </c>
      <c r="N71" s="24">
        <f t="shared" si="19"/>
        <v>-1.8930610161275889E-2</v>
      </c>
      <c r="O71" s="24">
        <f t="shared" si="20"/>
        <v>-7.9242641512224973E-2</v>
      </c>
      <c r="P71" s="24">
        <f t="shared" si="21"/>
        <v>-0.13052292391452827</v>
      </c>
      <c r="Q71" s="24">
        <f t="shared" si="22"/>
        <v>-0.13504875827258495</v>
      </c>
      <c r="AB71" s="9"/>
      <c r="AC71" s="20"/>
      <c r="AE71" s="22" cm="1">
        <f t="array" aca="1" ref="AE71" ca="1">SQRT(MMULT(MMULT(AG71:AK71,var_covar),TRANSPOSE(AG71:AK71)))</f>
        <v>9.5865991524701669E-2</v>
      </c>
      <c r="AF71" s="22">
        <f t="shared" ca="1" si="23"/>
        <v>3.8888259812178132E-2</v>
      </c>
      <c r="AG71">
        <f ca="1"/>
        <v>-7.915053634765197E-2</v>
      </c>
      <c r="AH71">
        <f ca="1"/>
        <v>0.39517083264323172</v>
      </c>
      <c r="AI71">
        <f ca="1"/>
        <v>0.2216708991239589</v>
      </c>
      <c r="AJ71">
        <f ca="1"/>
        <v>0.40605852363356626</v>
      </c>
      <c r="AK71">
        <f ca="1"/>
        <v>5.6250280946895041E-2</v>
      </c>
      <c r="AN71" s="9">
        <v>0.78377189889788457</v>
      </c>
      <c r="AO71" s="9">
        <v>7.3591457555467213E-2</v>
      </c>
    </row>
    <row r="72" spans="1:41" x14ac:dyDescent="0.2">
      <c r="A72" s="2">
        <v>44165</v>
      </c>
      <c r="B72">
        <v>35.889751434326172</v>
      </c>
      <c r="C72">
        <v>275.27301025390619</v>
      </c>
      <c r="D72">
        <v>490.70001220703119</v>
      </c>
      <c r="E72">
        <v>13.360714912414551</v>
      </c>
      <c r="F72">
        <v>189.19999694824219</v>
      </c>
      <c r="G72" s="10">
        <v>8.9999999999999998E-4</v>
      </c>
      <c r="H72" s="9">
        <f t="shared" si="13"/>
        <v>0.14858575476649349</v>
      </c>
      <c r="I72" s="9">
        <f t="shared" si="14"/>
        <v>5.2677731896657365E-2</v>
      </c>
      <c r="J72" s="9">
        <f t="shared" si="15"/>
        <v>3.1445794509068037E-2</v>
      </c>
      <c r="K72" s="9">
        <f t="shared" si="16"/>
        <v>6.9211633647781712E-2</v>
      </c>
      <c r="L72" s="9">
        <f t="shared" si="17"/>
        <v>0.4627358021475636</v>
      </c>
      <c r="M72" s="24">
        <f t="shared" si="18"/>
        <v>0.11513648018386476</v>
      </c>
      <c r="N72" s="24">
        <f t="shared" si="19"/>
        <v>2.9127196062195E-2</v>
      </c>
      <c r="O72" s="24">
        <f t="shared" si="20"/>
        <v>7.8025557912826671E-4</v>
      </c>
      <c r="P72" s="24">
        <f t="shared" si="21"/>
        <v>1.2059883245307906E-2</v>
      </c>
      <c r="Q72" s="24">
        <f t="shared" si="22"/>
        <v>0.42318595519103891</v>
      </c>
      <c r="AB72" s="9"/>
      <c r="AC72" s="20"/>
      <c r="AE72" s="22" cm="1">
        <f t="array" aca="1" ref="AE72" ca="1">SQRT(MMULT(MMULT(AG72:AK72,var_covar),TRANSPOSE(AG72:AK72)))</f>
        <v>0.15540122971670553</v>
      </c>
      <c r="AF72" s="22">
        <f t="shared" ca="1" si="23"/>
        <v>4.3686113272227808E-2</v>
      </c>
      <c r="AG72">
        <f ca="1"/>
        <v>0.44070585588997496</v>
      </c>
      <c r="AH72">
        <f ca="1"/>
        <v>-0.70388299224578621</v>
      </c>
      <c r="AI72">
        <f ca="1"/>
        <v>0.62150013128303228</v>
      </c>
      <c r="AJ72">
        <f ca="1"/>
        <v>6.1628556644663955E-2</v>
      </c>
      <c r="AK72">
        <f ca="1"/>
        <v>0.58004844842811498</v>
      </c>
      <c r="AN72" s="9">
        <v>0.77056477246193589</v>
      </c>
      <c r="AO72" s="9">
        <v>0.1208565021288536</v>
      </c>
    </row>
    <row r="73" spans="1:41" x14ac:dyDescent="0.2">
      <c r="A73" s="2">
        <v>44196</v>
      </c>
      <c r="B73">
        <v>39.131252288818359</v>
      </c>
      <c r="C73">
        <v>271.48638916015619</v>
      </c>
      <c r="D73">
        <v>540.72998046875</v>
      </c>
      <c r="E73">
        <v>13.0152702331543</v>
      </c>
      <c r="F73">
        <v>235.22332763671881</v>
      </c>
      <c r="G73" s="10">
        <v>8.9999999999999998E-4</v>
      </c>
      <c r="H73" s="9">
        <f t="shared" si="13"/>
        <v>9.0318286556643868E-2</v>
      </c>
      <c r="I73" s="9">
        <f t="shared" si="14"/>
        <v>-1.3755874904907262E-2</v>
      </c>
      <c r="J73" s="9">
        <f t="shared" si="15"/>
        <v>0.1019563216163335</v>
      </c>
      <c r="K73" s="9">
        <f t="shared" si="16"/>
        <v>-2.5855254118121285E-2</v>
      </c>
      <c r="L73" s="9">
        <f t="shared" si="17"/>
        <v>0.24325228028976564</v>
      </c>
      <c r="M73" s="24">
        <f t="shared" si="18"/>
        <v>5.686901197401513E-2</v>
      </c>
      <c r="N73" s="24">
        <f t="shared" si="19"/>
        <v>-3.7306410739369626E-2</v>
      </c>
      <c r="O73" s="24">
        <f t="shared" si="20"/>
        <v>7.1290782686393731E-2</v>
      </c>
      <c r="P73" s="24">
        <f t="shared" si="21"/>
        <v>-8.300700452059509E-2</v>
      </c>
      <c r="Q73" s="24">
        <f t="shared" si="22"/>
        <v>0.20370243333324095</v>
      </c>
      <c r="AB73" s="9"/>
      <c r="AC73" s="20"/>
      <c r="AE73" s="22" cm="1">
        <f t="array" aca="1" ref="AE73" ca="1">SQRT(MMULT(MMULT(AG73:AK73,var_covar),TRANSPOSE(AG73:AK73)))</f>
        <v>0.14226832754070015</v>
      </c>
      <c r="AF73" s="22">
        <f t="shared" ca="1" si="23"/>
        <v>4.9084448151326947E-2</v>
      </c>
      <c r="AG73">
        <f ca="1"/>
        <v>-0.60546550041195668</v>
      </c>
      <c r="AH73">
        <f ca="1"/>
        <v>0.60271533094982987</v>
      </c>
      <c r="AI73">
        <f ca="1"/>
        <v>-4.5855886495143827E-2</v>
      </c>
      <c r="AJ73">
        <f ca="1"/>
        <v>0.85652937555226727</v>
      </c>
      <c r="AK73">
        <f ca="1"/>
        <v>0.19207668040500336</v>
      </c>
      <c r="AN73" s="9">
        <v>0.76650873852691892</v>
      </c>
      <c r="AO73" s="9">
        <v>0.14335797858279406</v>
      </c>
    </row>
    <row r="74" spans="1:41" x14ac:dyDescent="0.2">
      <c r="A74" s="2">
        <v>44227</v>
      </c>
      <c r="B74">
        <v>40.604862213134773</v>
      </c>
      <c r="C74">
        <v>256.74725341796881</v>
      </c>
      <c r="D74">
        <v>532.3900146484375</v>
      </c>
      <c r="E74">
        <v>12.954044342041019</v>
      </c>
      <c r="F74">
        <v>264.510009765625</v>
      </c>
      <c r="G74" s="10">
        <v>8.0000000000000004E-4</v>
      </c>
      <c r="H74" s="9">
        <f t="shared" si="13"/>
        <v>3.7658133540936944E-2</v>
      </c>
      <c r="I74" s="9">
        <f t="shared" si="14"/>
        <v>-5.4290514481344476E-2</v>
      </c>
      <c r="J74" s="9">
        <f t="shared" si="15"/>
        <v>-1.5423531377126043E-2</v>
      </c>
      <c r="K74" s="9">
        <f t="shared" si="16"/>
        <v>-4.7041582707455509E-3</v>
      </c>
      <c r="L74" s="9">
        <f t="shared" si="17"/>
        <v>0.12450585757436783</v>
      </c>
      <c r="M74" s="24">
        <f t="shared" si="18"/>
        <v>4.2088589583082064E-3</v>
      </c>
      <c r="N74" s="24">
        <f t="shared" si="19"/>
        <v>-7.7841050315806848E-2</v>
      </c>
      <c r="O74" s="24">
        <f t="shared" si="20"/>
        <v>-4.6089070307065813E-2</v>
      </c>
      <c r="P74" s="24">
        <f t="shared" si="21"/>
        <v>-6.1855908673219356E-2</v>
      </c>
      <c r="Q74" s="24">
        <f t="shared" si="22"/>
        <v>8.4956010617843136E-2</v>
      </c>
      <c r="AB74" s="9"/>
      <c r="AC74" s="20"/>
      <c r="AE74" s="22" cm="1">
        <f t="array" aca="1" ref="AE74" ca="1">SQRT(MMULT(MMULT(AG74:AK74,var_covar),TRANSPOSE(AG74:AK74)))</f>
        <v>9.3945367007454511E-2</v>
      </c>
      <c r="AF74" s="22">
        <f t="shared" ca="1" si="23"/>
        <v>3.3478355546520684E-2</v>
      </c>
      <c r="AG74">
        <f ca="1"/>
        <v>0.27650924150236172</v>
      </c>
      <c r="AH74">
        <f ca="1"/>
        <v>-8.893900678818312E-3</v>
      </c>
      <c r="AI74">
        <f ca="1"/>
        <v>0.62017654318939985</v>
      </c>
      <c r="AJ74">
        <f ca="1"/>
        <v>5.5841482675929907E-2</v>
      </c>
      <c r="AK74">
        <f ca="1"/>
        <v>5.6366633311127005E-2</v>
      </c>
      <c r="AN74" s="9">
        <v>0.764846147469738</v>
      </c>
      <c r="AO74" s="9">
        <v>0.15253204389456507</v>
      </c>
    </row>
    <row r="75" spans="1:41" x14ac:dyDescent="0.2">
      <c r="A75" s="2">
        <v>44255</v>
      </c>
      <c r="B75">
        <v>42.350734710693359</v>
      </c>
      <c r="C75">
        <v>256.04153442382812</v>
      </c>
      <c r="D75">
        <v>538.8499755859375</v>
      </c>
      <c r="E75">
        <v>13.6768045425415</v>
      </c>
      <c r="F75">
        <v>225.16667175292969</v>
      </c>
      <c r="G75" s="10">
        <v>4.0000000000000002E-4</v>
      </c>
      <c r="H75" s="9">
        <f t="shared" si="13"/>
        <v>4.2996636422369949E-2</v>
      </c>
      <c r="I75" s="9">
        <f t="shared" si="14"/>
        <v>-2.7486915039819371E-3</v>
      </c>
      <c r="J75" s="9">
        <f t="shared" si="15"/>
        <v>1.2133888239368673E-2</v>
      </c>
      <c r="K75" s="9">
        <f t="shared" si="16"/>
        <v>5.5794173728033192E-2</v>
      </c>
      <c r="L75" s="9">
        <f t="shared" si="17"/>
        <v>-0.14874045049393914</v>
      </c>
      <c r="M75" s="24">
        <f t="shared" si="18"/>
        <v>9.5473618397412113E-3</v>
      </c>
      <c r="N75" s="24">
        <f t="shared" si="19"/>
        <v>-2.6299227338444302E-2</v>
      </c>
      <c r="O75" s="24">
        <f t="shared" si="20"/>
        <v>-1.8531650690571097E-2</v>
      </c>
      <c r="P75" s="24">
        <f t="shared" si="21"/>
        <v>-1.3575766744406137E-3</v>
      </c>
      <c r="Q75" s="24">
        <f t="shared" si="22"/>
        <v>-0.18829029745046383</v>
      </c>
      <c r="AB75" s="9"/>
      <c r="AC75" s="20"/>
      <c r="AE75" s="22" cm="1">
        <f t="array" aca="1" ref="AE75" ca="1">SQRT(MMULT(MMULT(AG75:AK75,var_covar),TRANSPOSE(AG75:AK75)))</f>
        <v>0.12740212539272341</v>
      </c>
      <c r="AF75" s="22">
        <f t="shared" ca="1" si="23"/>
        <v>3.3654076386351005E-2</v>
      </c>
      <c r="AG75">
        <f ca="1"/>
        <v>-0.34910350951118607</v>
      </c>
      <c r="AH75">
        <f ca="1"/>
        <v>0.44726776873552138</v>
      </c>
      <c r="AI75">
        <f ca="1"/>
        <v>0.26653942417471616</v>
      </c>
      <c r="AJ75">
        <f ca="1"/>
        <v>8.5132425657299796E-2</v>
      </c>
      <c r="AK75">
        <f ca="1"/>
        <v>0.5501638909436487</v>
      </c>
      <c r="AN75" s="9">
        <v>0.75559443355628131</v>
      </c>
      <c r="AO75" s="9">
        <v>9.8274808089916149E-2</v>
      </c>
    </row>
    <row r="76" spans="1:41" x14ac:dyDescent="0.2">
      <c r="A76" s="2">
        <v>44286</v>
      </c>
      <c r="B76">
        <v>41.791004180908203</v>
      </c>
      <c r="C76">
        <v>292.7254638671875</v>
      </c>
      <c r="D76">
        <v>521.65997314453125</v>
      </c>
      <c r="E76">
        <v>13.31155967712402</v>
      </c>
      <c r="F76">
        <v>222.64332580566409</v>
      </c>
      <c r="G76" s="10">
        <v>2.9999999999999997E-4</v>
      </c>
      <c r="H76" s="9">
        <f t="shared" si="13"/>
        <v>-1.3216548274989637E-2</v>
      </c>
      <c r="I76" s="9">
        <f t="shared" si="14"/>
        <v>0.1432733541685316</v>
      </c>
      <c r="J76" s="9">
        <f t="shared" si="15"/>
        <v>-3.1901277201904055E-2</v>
      </c>
      <c r="K76" s="9">
        <f t="shared" si="16"/>
        <v>-2.6705424083629414E-2</v>
      </c>
      <c r="L76" s="9">
        <f t="shared" si="17"/>
        <v>-1.1206569460840976E-2</v>
      </c>
      <c r="M76" s="24">
        <f t="shared" si="18"/>
        <v>-4.6665822857618375E-2</v>
      </c>
      <c r="N76" s="24">
        <f t="shared" si="19"/>
        <v>0.11972281833406923</v>
      </c>
      <c r="O76" s="24">
        <f t="shared" si="20"/>
        <v>-6.2566816131843825E-2</v>
      </c>
      <c r="P76" s="24">
        <f t="shared" si="21"/>
        <v>-8.385717448610322E-2</v>
      </c>
      <c r="Q76" s="24">
        <f t="shared" si="22"/>
        <v>-5.0756416417365668E-2</v>
      </c>
      <c r="AB76" s="9"/>
      <c r="AC76" s="20"/>
      <c r="AE76" s="22" cm="1">
        <f t="array" aca="1" ref="AE76" ca="1">SQRT(MMULT(MMULT(AG76:AK76,var_covar),TRANSPOSE(AG76:AK76)))</f>
        <v>0.73416814479915904</v>
      </c>
      <c r="AF76" s="22">
        <f t="shared" ca="1" si="23"/>
        <v>0.15014187706628382</v>
      </c>
      <c r="AG76">
        <f ca="1"/>
        <v>3.0254303024513653</v>
      </c>
      <c r="AH76">
        <f ca="1"/>
        <v>-0.86012102310829164</v>
      </c>
      <c r="AI76">
        <f ca="1"/>
        <v>-3.4350472799803953</v>
      </c>
      <c r="AJ76">
        <f ca="1"/>
        <v>4.81592942034833</v>
      </c>
      <c r="AK76">
        <f ca="1"/>
        <v>-2.5461914197110089</v>
      </c>
      <c r="AN76" s="9">
        <v>0.75445608937578801</v>
      </c>
      <c r="AO76" s="9">
        <v>1.3240494796287167E-2</v>
      </c>
    </row>
    <row r="77" spans="1:41" x14ac:dyDescent="0.2">
      <c r="A77" s="2">
        <v>44316</v>
      </c>
      <c r="B77">
        <v>41.440025329589837</v>
      </c>
      <c r="C77">
        <v>323.0882568359375</v>
      </c>
      <c r="D77">
        <v>513.469970703125</v>
      </c>
      <c r="E77">
        <v>14.97340774536133</v>
      </c>
      <c r="F77">
        <v>236.47999572753909</v>
      </c>
      <c r="G77" s="10">
        <v>2.0000000000000001E-4</v>
      </c>
      <c r="H77" s="9">
        <f t="shared" si="13"/>
        <v>-8.3984306718024593E-3</v>
      </c>
      <c r="I77" s="9">
        <f t="shared" si="14"/>
        <v>0.10372446786018563</v>
      </c>
      <c r="J77" s="9">
        <f t="shared" si="15"/>
        <v>-1.5699886636955207E-2</v>
      </c>
      <c r="K77" s="9">
        <f t="shared" si="16"/>
        <v>0.12484247590409736</v>
      </c>
      <c r="L77" s="9">
        <f t="shared" si="17"/>
        <v>6.2147247719217313E-2</v>
      </c>
      <c r="M77" s="24">
        <f t="shared" si="18"/>
        <v>-4.1847705254431197E-2</v>
      </c>
      <c r="N77" s="24">
        <f t="shared" si="19"/>
        <v>8.017393202572326E-2</v>
      </c>
      <c r="O77" s="24">
        <f t="shared" si="20"/>
        <v>-4.6365425566894977E-2</v>
      </c>
      <c r="P77" s="24">
        <f t="shared" si="21"/>
        <v>6.7690725501623555E-2</v>
      </c>
      <c r="Q77" s="24">
        <f t="shared" si="22"/>
        <v>2.2597400762692621E-2</v>
      </c>
      <c r="AB77" s="9"/>
      <c r="AC77" s="20"/>
      <c r="AE77" s="22" cm="1">
        <f t="array" aca="1" ref="AE77" ca="1">SQRT(MMULT(MMULT(AG77:AK77,var_covar),TRANSPOSE(AG77:AK77)))</f>
        <v>1.4216775329443243</v>
      </c>
      <c r="AF77" s="22">
        <f t="shared" ca="1" si="23"/>
        <v>-6.0832723973097858E-2</v>
      </c>
      <c r="AG77">
        <f ca="1"/>
        <v>-2.5804384439926387</v>
      </c>
      <c r="AH77">
        <f ca="1"/>
        <v>4.0671752553704197</v>
      </c>
      <c r="AI77">
        <f ca="1"/>
        <v>-3.5935001456866886</v>
      </c>
      <c r="AJ77">
        <f ca="1"/>
        <v>-4.7141766546795463</v>
      </c>
      <c r="AK77">
        <f ca="1"/>
        <v>7.8209399889884539</v>
      </c>
      <c r="AN77" s="9">
        <v>0.75335233487857012</v>
      </c>
      <c r="AO77" s="9">
        <v>-1.468460168292746E-2</v>
      </c>
    </row>
    <row r="78" spans="1:41" x14ac:dyDescent="0.2">
      <c r="A78" s="2">
        <v>44347</v>
      </c>
      <c r="B78">
        <v>42.905235290527337</v>
      </c>
      <c r="C78">
        <v>326.71588134765619</v>
      </c>
      <c r="D78">
        <v>502.80999755859381</v>
      </c>
      <c r="E78">
        <v>16.205438613891602</v>
      </c>
      <c r="F78">
        <v>208.40666198730469</v>
      </c>
      <c r="G78" s="10">
        <v>2.0000000000000001E-4</v>
      </c>
      <c r="H78" s="9">
        <f t="shared" si="13"/>
        <v>3.5357361615589555E-2</v>
      </c>
      <c r="I78" s="9">
        <f t="shared" si="14"/>
        <v>1.1227967699119379E-2</v>
      </c>
      <c r="J78" s="9">
        <f t="shared" si="15"/>
        <v>-2.0760655447744747E-2</v>
      </c>
      <c r="K78" s="9">
        <f t="shared" si="16"/>
        <v>8.2281260851388094E-2</v>
      </c>
      <c r="L78" s="9">
        <f t="shared" si="17"/>
        <v>-0.11871335524117288</v>
      </c>
      <c r="M78" s="24">
        <f t="shared" si="18"/>
        <v>1.9080870329608174E-3</v>
      </c>
      <c r="N78" s="24">
        <f t="shared" si="19"/>
        <v>-1.2322568135342986E-2</v>
      </c>
      <c r="O78" s="24">
        <f t="shared" si="20"/>
        <v>-5.1426194377684517E-2</v>
      </c>
      <c r="P78" s="24">
        <f t="shared" si="21"/>
        <v>2.5129510448914288E-2</v>
      </c>
      <c r="Q78" s="24">
        <f t="shared" si="22"/>
        <v>-0.15826320219769757</v>
      </c>
      <c r="AB78" s="9"/>
      <c r="AC78" s="20"/>
      <c r="AE78" s="22" cm="1">
        <f t="array" aca="1" ref="AE78" ca="1">SQRT(MMULT(MMULT(AG78:AK78,var_covar),TRANSPOSE(AG78:AK78)))</f>
        <v>9.8665766339022742E-2</v>
      </c>
      <c r="AF78" s="22">
        <f t="shared" ca="1" si="23"/>
        <v>3.3329774289309354E-2</v>
      </c>
      <c r="AG78">
        <f ca="1"/>
        <v>-0.18167342082864452</v>
      </c>
      <c r="AH78">
        <f ca="1"/>
        <v>0.36835686651356114</v>
      </c>
      <c r="AI78">
        <f ca="1"/>
        <v>0.48196642403549078</v>
      </c>
      <c r="AJ78">
        <f ca="1"/>
        <v>0.16174442555318352</v>
      </c>
      <c r="AK78">
        <f ca="1"/>
        <v>0.16960570472640921</v>
      </c>
      <c r="AN78" s="9">
        <v>0.74676669907615845</v>
      </c>
      <c r="AO78" s="9">
        <v>-3.1840382057895827E-2</v>
      </c>
    </row>
    <row r="79" spans="1:41" x14ac:dyDescent="0.2">
      <c r="A79" s="2">
        <v>44377</v>
      </c>
      <c r="B79">
        <v>43.314910888671882</v>
      </c>
      <c r="C79">
        <v>345.57958984375</v>
      </c>
      <c r="D79">
        <v>528.21002197265625</v>
      </c>
      <c r="E79">
        <v>19.954404830932621</v>
      </c>
      <c r="F79">
        <v>226.56666564941409</v>
      </c>
      <c r="G79" s="10">
        <v>4.0000000000000002E-4</v>
      </c>
      <c r="H79" s="9">
        <f t="shared" si="13"/>
        <v>9.5483825078799267E-3</v>
      </c>
      <c r="I79" s="9">
        <f t="shared" si="14"/>
        <v>5.7737347870215894E-2</v>
      </c>
      <c r="J79" s="9">
        <f t="shared" si="15"/>
        <v>5.0516148321220422E-2</v>
      </c>
      <c r="K79" s="9">
        <f t="shared" si="16"/>
        <v>0.23134000296834523</v>
      </c>
      <c r="L79" s="9">
        <f t="shared" si="17"/>
        <v>8.7137347189101044E-2</v>
      </c>
      <c r="M79" s="24">
        <f t="shared" si="18"/>
        <v>-2.3900892074748811E-2</v>
      </c>
      <c r="N79" s="24">
        <f t="shared" si="19"/>
        <v>3.4186812035753529E-2</v>
      </c>
      <c r="O79" s="24">
        <f t="shared" si="20"/>
        <v>1.9850609391280652E-2</v>
      </c>
      <c r="P79" s="24">
        <f t="shared" si="21"/>
        <v>0.17418825256587142</v>
      </c>
      <c r="Q79" s="24">
        <f t="shared" si="22"/>
        <v>4.7587500232576352E-2</v>
      </c>
      <c r="AB79" s="9"/>
      <c r="AC79" s="20"/>
      <c r="AE79" s="22" cm="1">
        <f t="array" aca="1" ref="AE79" ca="1">SQRT(MMULT(MMULT(AG79:AK79,var_covar),TRANSPOSE(AG79:AK79)))</f>
        <v>0.24887284879501156</v>
      </c>
      <c r="AF79" s="22">
        <f t="shared" ca="1" si="23"/>
        <v>5.7164933548764785E-3</v>
      </c>
      <c r="AG79">
        <f ca="1"/>
        <v>-1.0998683094930095</v>
      </c>
      <c r="AH79">
        <f ca="1"/>
        <v>1.0102977617326394</v>
      </c>
      <c r="AI79">
        <f ca="1"/>
        <v>0.90350495567967604</v>
      </c>
      <c r="AJ79">
        <f ca="1"/>
        <v>-0.92899585149924679</v>
      </c>
      <c r="AK79">
        <f ca="1"/>
        <v>1.1150614435799411</v>
      </c>
      <c r="AN79" s="9">
        <v>0.73871224513078138</v>
      </c>
      <c r="AO79" s="9">
        <v>-9.8705308184048046E-3</v>
      </c>
    </row>
    <row r="80" spans="1:41" x14ac:dyDescent="0.2">
      <c r="A80" s="2">
        <v>44408</v>
      </c>
      <c r="B80">
        <v>44.437633514404297</v>
      </c>
      <c r="C80">
        <v>354.11697387695312</v>
      </c>
      <c r="D80">
        <v>517.57000732421875</v>
      </c>
      <c r="E80">
        <v>19.456573486328121</v>
      </c>
      <c r="F80">
        <v>229.06666564941409</v>
      </c>
      <c r="G80" s="10">
        <v>5.0000000000000001E-4</v>
      </c>
      <c r="H80" s="9">
        <f t="shared" si="13"/>
        <v>2.5920003128207636E-2</v>
      </c>
      <c r="I80" s="9">
        <f t="shared" si="14"/>
        <v>2.4704537779743241E-2</v>
      </c>
      <c r="J80" s="9">
        <f t="shared" si="15"/>
        <v>-2.0143530425078326E-2</v>
      </c>
      <c r="K80" s="9">
        <f t="shared" si="16"/>
        <v>-2.4948443655547048E-2</v>
      </c>
      <c r="L80" s="9">
        <f t="shared" si="17"/>
        <v>1.103427987887895E-2</v>
      </c>
      <c r="M80" s="24">
        <f t="shared" si="18"/>
        <v>-7.529271454421102E-3</v>
      </c>
      <c r="N80" s="24">
        <f t="shared" si="19"/>
        <v>1.1540019452808761E-3</v>
      </c>
      <c r="O80" s="24">
        <f t="shared" si="20"/>
        <v>-5.0809069355018097E-2</v>
      </c>
      <c r="P80" s="24">
        <f t="shared" si="21"/>
        <v>-8.2100194058020853E-2</v>
      </c>
      <c r="Q80" s="24">
        <f t="shared" si="22"/>
        <v>-2.8515567077645743E-2</v>
      </c>
      <c r="AB80" s="9"/>
      <c r="AC80" s="20"/>
      <c r="AE80" s="22" cm="1">
        <f t="array" aca="1" ref="AE80" ca="1">SQRT(MMULT(MMULT(AG80:AK80,var_covar),TRANSPOSE(AG80:AK80)))</f>
        <v>0.10373424152022419</v>
      </c>
      <c r="AF80" s="22">
        <f t="shared" ca="1" si="23"/>
        <v>2.3101222908849653E-2</v>
      </c>
      <c r="AG80">
        <f ca="1"/>
        <v>0.75919452161427559</v>
      </c>
      <c r="AH80">
        <f ca="1"/>
        <v>5.4100456729513358E-3</v>
      </c>
      <c r="AI80">
        <f ca="1"/>
        <v>0.42673392514906905</v>
      </c>
      <c r="AJ80">
        <f ca="1"/>
        <v>-0.4510483940988157</v>
      </c>
      <c r="AK80">
        <f ca="1"/>
        <v>0.25970990166251973</v>
      </c>
      <c r="AN80" s="9">
        <v>0.73082240336842719</v>
      </c>
      <c r="AO80" s="9">
        <v>3.2089224019881735E-2</v>
      </c>
    </row>
    <row r="81" spans="1:41" x14ac:dyDescent="0.2">
      <c r="A81" s="2">
        <v>44439</v>
      </c>
      <c r="B81">
        <v>45.518821716308587</v>
      </c>
      <c r="C81">
        <v>377.05557250976562</v>
      </c>
      <c r="D81">
        <v>569.19000244140625</v>
      </c>
      <c r="E81">
        <v>22.336294174194339</v>
      </c>
      <c r="F81">
        <v>245.24000549316409</v>
      </c>
      <c r="G81" s="10">
        <v>5.0000000000000001E-4</v>
      </c>
      <c r="H81" s="9">
        <f t="shared" si="13"/>
        <v>2.4330463087189891E-2</v>
      </c>
      <c r="I81" s="9">
        <f t="shared" si="14"/>
        <v>6.4776896689462626E-2</v>
      </c>
      <c r="J81" s="9">
        <f t="shared" si="15"/>
        <v>9.9735290659629383E-2</v>
      </c>
      <c r="K81" s="9">
        <f t="shared" si="16"/>
        <v>0.14800759701546418</v>
      </c>
      <c r="L81" s="9">
        <f t="shared" si="17"/>
        <v>7.0605383799069443E-2</v>
      </c>
      <c r="M81" s="24">
        <f t="shared" si="18"/>
        <v>-9.1188114954388472E-3</v>
      </c>
      <c r="N81" s="24">
        <f t="shared" si="19"/>
        <v>4.1226360855000262E-2</v>
      </c>
      <c r="O81" s="24">
        <f t="shared" si="20"/>
        <v>6.9069751729689613E-2</v>
      </c>
      <c r="P81" s="24">
        <f t="shared" si="21"/>
        <v>9.0855846612990371E-2</v>
      </c>
      <c r="Q81" s="24">
        <f t="shared" si="22"/>
        <v>3.1055536842544751E-2</v>
      </c>
      <c r="AB81" s="9"/>
      <c r="AC81" s="20"/>
      <c r="AE81" s="22" cm="1">
        <f t="array" aca="1" ref="AE81" ca="1">SQRT(MMULT(MMULT(AG81:AK81,var_covar),TRANSPOSE(AG81:AK81)))</f>
        <v>0.21182908391340091</v>
      </c>
      <c r="AF81" s="22">
        <f t="shared" ca="1" si="23"/>
        <v>6.036917357697906E-2</v>
      </c>
      <c r="AG81">
        <f ca="1"/>
        <v>-0.15589276784782091</v>
      </c>
      <c r="AH81">
        <f ca="1"/>
        <v>-1.1209367672735693</v>
      </c>
      <c r="AI81">
        <f ca="1"/>
        <v>1.1473330320424391</v>
      </c>
      <c r="AJ81">
        <f ca="1"/>
        <v>0.68897863931839742</v>
      </c>
      <c r="AK81">
        <f ca="1"/>
        <v>0.44051786376055363</v>
      </c>
      <c r="AN81" s="9">
        <v>0.72830460197380986</v>
      </c>
      <c r="AO81" s="9">
        <v>3.8387065131254172E-2</v>
      </c>
    </row>
    <row r="82" spans="1:41" x14ac:dyDescent="0.2">
      <c r="A82" s="2">
        <v>44469</v>
      </c>
      <c r="B82">
        <v>44.394603729248047</v>
      </c>
      <c r="C82">
        <v>337.31063842773438</v>
      </c>
      <c r="D82">
        <v>610.34002685546875</v>
      </c>
      <c r="E82">
        <v>20.674566268920898</v>
      </c>
      <c r="F82">
        <v>258.49334716796881</v>
      </c>
      <c r="G82" s="10">
        <v>4.0000000000000002E-4</v>
      </c>
      <c r="H82" s="9">
        <f t="shared" si="13"/>
        <v>-2.4697871005253891E-2</v>
      </c>
      <c r="I82" s="9">
        <f t="shared" si="14"/>
        <v>-0.10540869033569811</v>
      </c>
      <c r="J82" s="9">
        <f t="shared" si="15"/>
        <v>7.2295761059679942E-2</v>
      </c>
      <c r="K82" s="9">
        <f t="shared" si="16"/>
        <v>-7.4395864072800189E-2</v>
      </c>
      <c r="L82" s="9">
        <f t="shared" si="17"/>
        <v>5.404233150359361E-2</v>
      </c>
      <c r="M82" s="24">
        <f t="shared" si="18"/>
        <v>-5.8147145587882629E-2</v>
      </c>
      <c r="N82" s="24">
        <f t="shared" si="19"/>
        <v>-0.12895922617016048</v>
      </c>
      <c r="O82" s="24">
        <f t="shared" si="20"/>
        <v>4.1630222129740171E-2</v>
      </c>
      <c r="P82" s="24">
        <f t="shared" si="21"/>
        <v>-0.13154761447527399</v>
      </c>
      <c r="Q82" s="24">
        <f t="shared" si="22"/>
        <v>1.4492484547068918E-2</v>
      </c>
      <c r="AB82" s="9"/>
      <c r="AC82" s="20"/>
      <c r="AE82" s="22" cm="1">
        <f t="array" aca="1" ref="AE82" ca="1">SQRT(MMULT(MMULT(AG82:AK82,var_covar),TRANSPOSE(AG82:AK82)))</f>
        <v>0.24689714379849692</v>
      </c>
      <c r="AF82" s="22">
        <f t="shared" ca="1" si="23"/>
        <v>6.1593657349529159E-2</v>
      </c>
      <c r="AG82">
        <f ca="1"/>
        <v>-1.5929702772081173</v>
      </c>
      <c r="AH82">
        <f ca="1"/>
        <v>1.0793175491062039</v>
      </c>
      <c r="AI82">
        <f ca="1"/>
        <v>-4.1075530244287072E-3</v>
      </c>
      <c r="AJ82">
        <f ca="1"/>
        <v>1.6792288697380053</v>
      </c>
      <c r="AK82">
        <f ca="1"/>
        <v>-0.1614685886116633</v>
      </c>
      <c r="AN82" s="9">
        <v>0.71901461819922974</v>
      </c>
      <c r="AO82" s="9">
        <v>0.17802787540539936</v>
      </c>
    </row>
    <row r="83" spans="1:41" x14ac:dyDescent="0.2">
      <c r="A83" s="2">
        <v>44500</v>
      </c>
      <c r="B83">
        <v>49.030292510986328</v>
      </c>
      <c r="C83">
        <v>321.5875244140625</v>
      </c>
      <c r="D83">
        <v>690.30999755859375</v>
      </c>
      <c r="E83">
        <v>25.515869140625</v>
      </c>
      <c r="F83">
        <v>371.33334350585938</v>
      </c>
      <c r="G83" s="10">
        <v>5.0000000000000001E-4</v>
      </c>
      <c r="H83" s="9">
        <f t="shared" si="13"/>
        <v>0.10442009596504631</v>
      </c>
      <c r="I83" s="9">
        <f t="shared" si="14"/>
        <v>-4.6613157791168813E-2</v>
      </c>
      <c r="J83" s="9">
        <f t="shared" si="15"/>
        <v>0.13102527637772354</v>
      </c>
      <c r="K83" s="9">
        <f t="shared" si="16"/>
        <v>0.23416708281720067</v>
      </c>
      <c r="L83" s="9">
        <f t="shared" si="17"/>
        <v>0.43652959572908157</v>
      </c>
      <c r="M83" s="24">
        <f t="shared" si="18"/>
        <v>7.0970821382417573E-2</v>
      </c>
      <c r="N83" s="24">
        <f t="shared" si="19"/>
        <v>-7.0163693625631185E-2</v>
      </c>
      <c r="O83" s="24">
        <f t="shared" si="20"/>
        <v>0.10035973744778377</v>
      </c>
      <c r="P83" s="24">
        <f t="shared" si="21"/>
        <v>0.17701533241472686</v>
      </c>
      <c r="Q83" s="24">
        <f t="shared" si="22"/>
        <v>0.39697974877255687</v>
      </c>
      <c r="AB83" s="9"/>
      <c r="AC83" s="20"/>
      <c r="AE83" s="22" cm="1">
        <f t="array" aca="1" ref="AE83" ca="1">SQRT(MMULT(MMULT(AG83:AK83,var_covar),TRANSPOSE(AG83:AK83)))</f>
        <v>0.18021151012112022</v>
      </c>
      <c r="AF83" s="22">
        <f t="shared" ca="1" si="23"/>
        <v>2.546424927511555E-2</v>
      </c>
      <c r="AG83">
        <f ca="1"/>
        <v>1.2752795301627573</v>
      </c>
      <c r="AH83">
        <f ca="1"/>
        <v>-0.74847371480359337</v>
      </c>
      <c r="AI83">
        <f ca="1"/>
        <v>0.61443105634483952</v>
      </c>
      <c r="AJ83">
        <f ca="1"/>
        <v>-0.72844006412357509</v>
      </c>
      <c r="AK83">
        <f ca="1"/>
        <v>0.58720319241957186</v>
      </c>
      <c r="AN83" s="9">
        <v>0.70119408961309593</v>
      </c>
      <c r="AO83" s="9">
        <v>0.1686297104896195</v>
      </c>
    </row>
    <row r="84" spans="1:41" x14ac:dyDescent="0.2">
      <c r="A84" s="2">
        <v>44530</v>
      </c>
      <c r="B84">
        <v>51.060039520263672</v>
      </c>
      <c r="C84">
        <v>322.4720458984375</v>
      </c>
      <c r="D84">
        <v>641.9000244140625</v>
      </c>
      <c r="E84">
        <v>32.610641479492188</v>
      </c>
      <c r="F84">
        <v>381.586669921875</v>
      </c>
      <c r="G84" s="10">
        <v>5.0000000000000001E-4</v>
      </c>
      <c r="H84" s="9">
        <f t="shared" si="13"/>
        <v>4.1397815622302048E-2</v>
      </c>
      <c r="I84" s="9">
        <f t="shared" si="14"/>
        <v>2.7504844473884571E-3</v>
      </c>
      <c r="J84" s="9">
        <f t="shared" si="15"/>
        <v>-7.0127874890617115E-2</v>
      </c>
      <c r="K84" s="9">
        <f t="shared" si="16"/>
        <v>0.2780533282940878</v>
      </c>
      <c r="L84" s="9">
        <f t="shared" si="17"/>
        <v>2.7612188873779031E-2</v>
      </c>
      <c r="M84" s="24">
        <f t="shared" si="18"/>
        <v>7.9485410396733097E-3</v>
      </c>
      <c r="N84" s="24">
        <f t="shared" si="19"/>
        <v>-2.0800051387073908E-2</v>
      </c>
      <c r="O84" s="24">
        <f t="shared" si="20"/>
        <v>-0.10079341382055688</v>
      </c>
      <c r="P84" s="24">
        <f t="shared" si="21"/>
        <v>0.22090157789161399</v>
      </c>
      <c r="Q84" s="24">
        <f t="shared" si="22"/>
        <v>-1.1937658082745661E-2</v>
      </c>
      <c r="AB84" s="9"/>
      <c r="AC84" s="20"/>
      <c r="AE84" s="22" cm="1">
        <f t="array" aca="1" ref="AE84" ca="1">SQRT(MMULT(MMULT(AG84:AK84,var_covar),TRANSPOSE(AG84:AK84)))</f>
        <v>0.1030854556350017</v>
      </c>
      <c r="AF84" s="22">
        <f t="shared" ca="1" si="23"/>
        <v>3.1783816535603665E-2</v>
      </c>
      <c r="AG84">
        <f ca="1"/>
        <v>-8.5110220566173289E-3</v>
      </c>
      <c r="AH84">
        <f ca="1"/>
        <v>0.82288544439715916</v>
      </c>
      <c r="AI84">
        <f ca="1"/>
        <v>-0.20633060595012426</v>
      </c>
      <c r="AJ84">
        <f ca="1"/>
        <v>0.19966835223206741</v>
      </c>
      <c r="AK84">
        <f ca="1"/>
        <v>0.19228783137751498</v>
      </c>
      <c r="AN84" s="9">
        <v>0.70018027768369673</v>
      </c>
      <c r="AO84" s="9">
        <v>0.1202768883062804</v>
      </c>
    </row>
    <row r="85" spans="1:41" x14ac:dyDescent="0.2">
      <c r="A85" s="2">
        <v>44561</v>
      </c>
      <c r="B85">
        <v>61.363712310791023</v>
      </c>
      <c r="C85">
        <v>334.28921508789062</v>
      </c>
      <c r="D85">
        <v>602.44000244140625</v>
      </c>
      <c r="E85">
        <v>29.352176666259769</v>
      </c>
      <c r="F85">
        <v>352.260009765625</v>
      </c>
      <c r="G85" s="10">
        <v>5.9999999999999995E-4</v>
      </c>
      <c r="H85" s="9">
        <f t="shared" si="13"/>
        <v>0.20179523728018744</v>
      </c>
      <c r="I85" s="9">
        <f t="shared" si="14"/>
        <v>3.6645561498297896E-2</v>
      </c>
      <c r="J85" s="9">
        <f t="shared" si="15"/>
        <v>-6.1473781697821361E-2</v>
      </c>
      <c r="K85" s="9">
        <f t="shared" si="16"/>
        <v>-9.9920291825034036E-2</v>
      </c>
      <c r="L85" s="9">
        <f t="shared" si="17"/>
        <v>-7.6854519478508632E-2</v>
      </c>
      <c r="M85" s="24">
        <f t="shared" si="18"/>
        <v>0.16834596269755869</v>
      </c>
      <c r="N85" s="24">
        <f t="shared" si="19"/>
        <v>1.3095025663835531E-2</v>
      </c>
      <c r="O85" s="24">
        <f t="shared" si="20"/>
        <v>-9.2139320627761132E-2</v>
      </c>
      <c r="P85" s="24">
        <f t="shared" si="21"/>
        <v>-0.15707204222750784</v>
      </c>
      <c r="Q85" s="24">
        <f t="shared" si="22"/>
        <v>-0.11640436643503332</v>
      </c>
      <c r="AB85" s="9"/>
      <c r="AC85" s="20"/>
      <c r="AE85" s="22" cm="1">
        <f t="array" aca="1" ref="AE85" ca="1">SQRT(MMULT(MMULT(AG85:AK85,var_covar),TRANSPOSE(AG85:AK85)))</f>
        <v>9.654004271163931E-2</v>
      </c>
      <c r="AF85" s="22">
        <f t="shared" ca="1" si="23"/>
        <v>3.1201600925000204E-2</v>
      </c>
      <c r="AG85">
        <f ca="1"/>
        <v>0.37039750524860698</v>
      </c>
      <c r="AH85">
        <f ca="1"/>
        <v>-7.9648954140268142E-3</v>
      </c>
      <c r="AI85">
        <f ca="1"/>
        <v>0.47227010801985053</v>
      </c>
      <c r="AJ85">
        <f ca="1"/>
        <v>-0.11477446051419024</v>
      </c>
      <c r="AK85">
        <f ca="1"/>
        <v>0.28007174265975959</v>
      </c>
      <c r="AN85" s="9">
        <v>0.69682874933182537</v>
      </c>
      <c r="AO85" s="9">
        <v>-1.5913893105939839E-2</v>
      </c>
    </row>
    <row r="86" spans="1:41" x14ac:dyDescent="0.2">
      <c r="A86" s="2">
        <v>44592</v>
      </c>
      <c r="B86">
        <v>54.375141143798828</v>
      </c>
      <c r="C86">
        <v>311.3406982421875</v>
      </c>
      <c r="D86">
        <v>427.1400146484375</v>
      </c>
      <c r="E86">
        <v>24.440021514892582</v>
      </c>
      <c r="F86">
        <v>312.239990234375</v>
      </c>
      <c r="G86" s="10">
        <v>1.5E-3</v>
      </c>
      <c r="H86" s="9">
        <f t="shared" si="13"/>
        <v>-0.11388768547112871</v>
      </c>
      <c r="I86" s="9">
        <f t="shared" si="14"/>
        <v>-6.8648690445097249E-2</v>
      </c>
      <c r="J86" s="9">
        <f t="shared" si="15"/>
        <v>-0.29098331299807489</v>
      </c>
      <c r="K86" s="9">
        <f t="shared" si="16"/>
        <v>-0.16735232985340043</v>
      </c>
      <c r="L86" s="9">
        <f t="shared" si="17"/>
        <v>-0.11360931817914044</v>
      </c>
      <c r="M86" s="24">
        <f t="shared" si="18"/>
        <v>-0.14733696005375746</v>
      </c>
      <c r="N86" s="24">
        <f t="shared" si="19"/>
        <v>-9.2199226279559621E-2</v>
      </c>
      <c r="O86" s="24">
        <f t="shared" si="20"/>
        <v>-0.32164885192801468</v>
      </c>
      <c r="P86" s="24">
        <f t="shared" si="21"/>
        <v>-0.22450408025587423</v>
      </c>
      <c r="Q86" s="24">
        <f t="shared" si="22"/>
        <v>-0.15315916513566513</v>
      </c>
      <c r="AB86" s="9"/>
      <c r="AC86" s="20"/>
      <c r="AE86" s="22" cm="1">
        <f t="array" aca="1" ref="AE86" ca="1">SQRT(MMULT(MMULT(AG86:AK86,var_covar),TRANSPOSE(AG86:AK86)))</f>
        <v>8.2931388686583285E-2</v>
      </c>
      <c r="AF86" s="22">
        <f t="shared" ca="1" si="23"/>
        <v>3.0382224844029672E-2</v>
      </c>
      <c r="AG86">
        <f ca="1"/>
        <v>0.34479930151239091</v>
      </c>
      <c r="AH86">
        <f ca="1"/>
        <v>0.31351953416530987</v>
      </c>
      <c r="AI86">
        <f ca="1"/>
        <v>0.15888713378414296</v>
      </c>
      <c r="AJ86">
        <f ca="1"/>
        <v>-3.6158033314402871E-2</v>
      </c>
      <c r="AK86">
        <f ca="1"/>
        <v>0.21895206385255919</v>
      </c>
      <c r="AN86" s="9">
        <v>0.68938912235870464</v>
      </c>
      <c r="AO86" s="9">
        <v>-6.1205486226490496E-2</v>
      </c>
    </row>
    <row r="87" spans="1:41" x14ac:dyDescent="0.2">
      <c r="A87" s="2">
        <v>44620</v>
      </c>
      <c r="B87">
        <v>54.519905090332031</v>
      </c>
      <c r="C87">
        <v>209.7370300292969</v>
      </c>
      <c r="D87">
        <v>394.51998901367188</v>
      </c>
      <c r="E87">
        <v>24.33921051025391</v>
      </c>
      <c r="F87">
        <v>290.14334106445312</v>
      </c>
      <c r="G87" s="10">
        <v>3.3E-3</v>
      </c>
      <c r="H87" s="9">
        <f t="shared" si="13"/>
        <v>2.6623185427760987E-3</v>
      </c>
      <c r="I87" s="9">
        <f t="shared" si="14"/>
        <v>-0.32634239206932902</v>
      </c>
      <c r="J87" s="9">
        <f t="shared" si="15"/>
        <v>-7.6368461197937387E-2</v>
      </c>
      <c r="K87" s="9">
        <f t="shared" si="16"/>
        <v>-4.1248328925259647E-3</v>
      </c>
      <c r="L87" s="9">
        <f t="shared" si="17"/>
        <v>-7.0768158663262803E-2</v>
      </c>
      <c r="M87" s="24">
        <f t="shared" si="18"/>
        <v>-3.0786956039852639E-2</v>
      </c>
      <c r="N87" s="24">
        <f t="shared" si="19"/>
        <v>-0.3498929279037914</v>
      </c>
      <c r="O87" s="24">
        <f t="shared" si="20"/>
        <v>-0.10703400012787716</v>
      </c>
      <c r="P87" s="24">
        <f t="shared" si="21"/>
        <v>-6.127658329499977E-2</v>
      </c>
      <c r="Q87" s="24">
        <f t="shared" si="22"/>
        <v>-0.1103180056197875</v>
      </c>
      <c r="AB87" s="9"/>
      <c r="AC87" s="20"/>
      <c r="AE87" s="22" cm="1">
        <f t="array" aca="1" ref="AE87" ca="1">SQRT(MMULT(MMULT(AG87:AK87,var_covar),TRANSPOSE(AG87:AK87)))</f>
        <v>0.10085015455694321</v>
      </c>
      <c r="AF87" s="22">
        <f t="shared" ca="1" si="23"/>
        <v>4.1641577653200548E-2</v>
      </c>
      <c r="AG87">
        <f ca="1"/>
        <v>0.20114087926972868</v>
      </c>
      <c r="AH87">
        <f ca="1"/>
        <v>0.14343107519092804</v>
      </c>
      <c r="AI87">
        <f ca="1"/>
        <v>5.7120996230839889E-3</v>
      </c>
      <c r="AJ87">
        <f ca="1"/>
        <v>0.32180335805643112</v>
      </c>
      <c r="AK87">
        <f ca="1"/>
        <v>0.32791258785982824</v>
      </c>
      <c r="AN87" s="9">
        <v>0.67353428099098134</v>
      </c>
      <c r="AO87" s="9">
        <v>-5.1530991389979852E-2</v>
      </c>
    </row>
    <row r="88" spans="1:41" x14ac:dyDescent="0.2">
      <c r="A88" s="2">
        <v>44651</v>
      </c>
      <c r="B88">
        <v>58.440174102783203</v>
      </c>
      <c r="C88">
        <v>220.99761962890619</v>
      </c>
      <c r="D88">
        <v>374.58999633789062</v>
      </c>
      <c r="E88">
        <v>27.23476409912109</v>
      </c>
      <c r="F88">
        <v>359.20001220703119</v>
      </c>
      <c r="G88" s="10">
        <v>4.4000000000000003E-3</v>
      </c>
      <c r="H88" s="9">
        <f t="shared" si="13"/>
        <v>7.1905279474639983E-2</v>
      </c>
      <c r="I88" s="9">
        <f t="shared" si="14"/>
        <v>5.3689086748469617E-2</v>
      </c>
      <c r="J88" s="9">
        <f t="shared" si="15"/>
        <v>-5.0517066893385199E-2</v>
      </c>
      <c r="K88" s="9">
        <f t="shared" si="16"/>
        <v>0.11896661921911189</v>
      </c>
      <c r="L88" s="9">
        <f t="shared" si="17"/>
        <v>0.23800880933275548</v>
      </c>
      <c r="M88" s="24">
        <f t="shared" si="18"/>
        <v>3.8456004892011245E-2</v>
      </c>
      <c r="N88" s="24">
        <f t="shared" si="19"/>
        <v>3.0138550914007252E-2</v>
      </c>
      <c r="O88" s="24">
        <f t="shared" si="20"/>
        <v>-8.1182605823324969E-2</v>
      </c>
      <c r="P88" s="24">
        <f t="shared" si="21"/>
        <v>6.1814868816638086E-2</v>
      </c>
      <c r="Q88" s="24">
        <f t="shared" si="22"/>
        <v>0.19845896237623079</v>
      </c>
      <c r="AB88" s="9"/>
      <c r="AC88" s="20"/>
      <c r="AE88" s="22" cm="1">
        <f t="array" aca="1" ref="AE88" ca="1">SQRT(MMULT(MMULT(AG88:AK88,var_covar),TRANSPOSE(AG88:AK88)))</f>
        <v>0.33207962760600385</v>
      </c>
      <c r="AF88" s="22">
        <f t="shared" ca="1" si="23"/>
        <v>-9.886313434591551E-3</v>
      </c>
      <c r="AG88">
        <f ca="1"/>
        <v>-0.65756649709188875</v>
      </c>
      <c r="AH88">
        <f ca="1"/>
        <v>1.9615686619228552</v>
      </c>
      <c r="AI88">
        <f ca="1"/>
        <v>-0.4036440779318029</v>
      </c>
      <c r="AJ88">
        <f ca="1"/>
        <v>-1.4572312300258281</v>
      </c>
      <c r="AK88">
        <f ca="1"/>
        <v>1.5568731431266645</v>
      </c>
      <c r="AN88" s="9">
        <v>0.66322357324879366</v>
      </c>
      <c r="AO88" s="9">
        <v>3.9287603537756968E-2</v>
      </c>
    </row>
    <row r="89" spans="1:41" x14ac:dyDescent="0.2">
      <c r="A89" s="2">
        <v>44681</v>
      </c>
      <c r="B89">
        <v>51.800498962402337</v>
      </c>
      <c r="C89">
        <v>199.2417297363281</v>
      </c>
      <c r="D89">
        <v>190.36000061035159</v>
      </c>
      <c r="E89">
        <v>18.515325546264648</v>
      </c>
      <c r="F89">
        <v>290.25332641601562</v>
      </c>
      <c r="G89" s="10">
        <v>7.6E-3</v>
      </c>
      <c r="H89" s="9">
        <f t="shared" si="13"/>
        <v>-0.11361491033040327</v>
      </c>
      <c r="I89" s="9">
        <f t="shared" si="14"/>
        <v>-9.8444001021866456E-2</v>
      </c>
      <c r="J89" s="9">
        <f t="shared" si="15"/>
        <v>-0.49181771411043884</v>
      </c>
      <c r="K89" s="9">
        <f t="shared" si="16"/>
        <v>-0.3201584020012801</v>
      </c>
      <c r="L89" s="9">
        <f t="shared" si="17"/>
        <v>-0.19194510982164703</v>
      </c>
      <c r="M89" s="24">
        <f t="shared" si="18"/>
        <v>-0.14706418491303203</v>
      </c>
      <c r="N89" s="24">
        <f t="shared" si="19"/>
        <v>-0.12199453685632883</v>
      </c>
      <c r="O89" s="24">
        <f t="shared" si="20"/>
        <v>-0.52248325304037857</v>
      </c>
      <c r="P89" s="24">
        <f t="shared" si="21"/>
        <v>-0.37731015240375387</v>
      </c>
      <c r="Q89" s="24">
        <f t="shared" si="22"/>
        <v>-0.23149495677817172</v>
      </c>
      <c r="AB89" s="9"/>
      <c r="AC89" s="20"/>
      <c r="AE89" s="22" cm="1">
        <f t="array" aca="1" ref="AE89" ca="1">SQRT(MMULT(MMULT(AG89:AK89,var_covar),TRANSPOSE(AG89:AK89)))</f>
        <v>0.12040035672448554</v>
      </c>
      <c r="AF89" s="22">
        <f t="shared" ca="1" si="23"/>
        <v>2.8362524210627061E-2</v>
      </c>
      <c r="AG89">
        <f ca="1"/>
        <v>1.106259563318819</v>
      </c>
      <c r="AH89">
        <f ca="1"/>
        <v>0.32166738493293895</v>
      </c>
      <c r="AI89">
        <f ca="1"/>
        <v>-2.0528564680355084E-2</v>
      </c>
      <c r="AJ89">
        <f ca="1"/>
        <v>2.9858603841088023E-2</v>
      </c>
      <c r="AK89">
        <f ca="1"/>
        <v>-0.43725698741249092</v>
      </c>
      <c r="AN89" s="9">
        <v>0.65596847817136539</v>
      </c>
      <c r="AO89" s="9">
        <v>4.5924288387019188E-2</v>
      </c>
    </row>
    <row r="90" spans="1:41" x14ac:dyDescent="0.2">
      <c r="A90" s="2">
        <v>44712</v>
      </c>
      <c r="B90">
        <v>54.205570220947273</v>
      </c>
      <c r="C90">
        <v>192.45359802246091</v>
      </c>
      <c r="D90">
        <v>197.44000244140619</v>
      </c>
      <c r="E90">
        <v>18.640115737915039</v>
      </c>
      <c r="F90">
        <v>252.7533264160156</v>
      </c>
      <c r="G90" s="10">
        <v>9.7999999999999997E-3</v>
      </c>
      <c r="H90" s="9">
        <f t="shared" si="13"/>
        <v>4.6429499844983679E-2</v>
      </c>
      <c r="I90" s="9">
        <f t="shared" si="14"/>
        <v>-3.4069829261422546E-2</v>
      </c>
      <c r="J90" s="9">
        <f t="shared" si="15"/>
        <v>3.7192697039052147E-2</v>
      </c>
      <c r="K90" s="9">
        <f t="shared" si="16"/>
        <v>6.7398324344107863E-3</v>
      </c>
      <c r="L90" s="9">
        <f t="shared" si="17"/>
        <v>-0.12919748573786149</v>
      </c>
      <c r="M90" s="24">
        <f t="shared" si="18"/>
        <v>1.2980225262354941E-2</v>
      </c>
      <c r="N90" s="24">
        <f t="shared" si="19"/>
        <v>-5.7620365095884911E-2</v>
      </c>
      <c r="O90" s="24">
        <f t="shared" si="20"/>
        <v>6.527158109112377E-3</v>
      </c>
      <c r="P90" s="24">
        <f t="shared" si="21"/>
        <v>-5.0411917968063019E-2</v>
      </c>
      <c r="Q90" s="24">
        <f t="shared" si="22"/>
        <v>-0.16874733269438619</v>
      </c>
      <c r="AB90" s="9"/>
      <c r="AC90" s="20"/>
      <c r="AE90" s="22" cm="1">
        <f t="array" aca="1" ref="AE90" ca="1">SQRT(MMULT(MMULT(AG90:AK90,var_covar),TRANSPOSE(AG90:AK90)))</f>
        <v>9.3124188885518572E-2</v>
      </c>
      <c r="AF90" s="22">
        <f t="shared" ca="1" si="23"/>
        <v>3.7312146175873563E-2</v>
      </c>
      <c r="AG90">
        <f ca="1"/>
        <v>6.0419390895706693E-2</v>
      </c>
      <c r="AH90">
        <f ca="1"/>
        <v>0.5000362131568008</v>
      </c>
      <c r="AI90">
        <f ca="1"/>
        <v>-4.6078534775548796E-2</v>
      </c>
      <c r="AJ90">
        <f ca="1"/>
        <v>0.32506434057536504</v>
      </c>
      <c r="AK90">
        <f ca="1"/>
        <v>0.16055859014767629</v>
      </c>
      <c r="AN90" s="9">
        <v>0.65538703054215108</v>
      </c>
      <c r="AO90" s="9">
        <v>5.990613344189627E-3</v>
      </c>
    </row>
    <row r="91" spans="1:41" x14ac:dyDescent="0.2">
      <c r="A91" s="2">
        <v>44742</v>
      </c>
      <c r="B91">
        <v>45.392589569091797</v>
      </c>
      <c r="C91">
        <v>160.26202392578119</v>
      </c>
      <c r="D91">
        <v>174.8699951171875</v>
      </c>
      <c r="E91">
        <v>15.13311290740967</v>
      </c>
      <c r="F91">
        <v>224.47332763671881</v>
      </c>
      <c r="G91" s="10">
        <v>1.49E-2</v>
      </c>
      <c r="H91" s="9">
        <f t="shared" si="13"/>
        <v>-0.16258440997729373</v>
      </c>
      <c r="I91" s="9">
        <f t="shared" si="14"/>
        <v>-0.16726927647734957</v>
      </c>
      <c r="J91" s="9">
        <f t="shared" si="15"/>
        <v>-0.11431324475857796</v>
      </c>
      <c r="K91" s="9">
        <f t="shared" si="16"/>
        <v>-0.18814276047502909</v>
      </c>
      <c r="L91" s="9">
        <f t="shared" si="17"/>
        <v>-0.11188774122303635</v>
      </c>
      <c r="M91" s="24">
        <f t="shared" si="18"/>
        <v>-0.19603368455992248</v>
      </c>
      <c r="N91" s="24">
        <f t="shared" si="19"/>
        <v>-0.19081981231181194</v>
      </c>
      <c r="O91" s="24">
        <f t="shared" si="20"/>
        <v>-0.14497878368851774</v>
      </c>
      <c r="P91" s="24">
        <f t="shared" si="21"/>
        <v>-0.2452945108775029</v>
      </c>
      <c r="Q91" s="24">
        <f t="shared" si="22"/>
        <v>-0.15143758817956104</v>
      </c>
      <c r="AB91" s="9"/>
      <c r="AC91" s="20"/>
      <c r="AE91" s="22" cm="1">
        <f t="array" aca="1" ref="AE91" ca="1">SQRT(MMULT(MMULT(AG91:AK91,var_covar),TRANSPOSE(AG91:AK91)))</f>
        <v>0.10557786793765675</v>
      </c>
      <c r="AF91" s="22">
        <f t="shared" ca="1" si="23"/>
        <v>3.7354793828045699E-2</v>
      </c>
      <c r="AG91">
        <f ca="1"/>
        <v>0.64466476288420971</v>
      </c>
      <c r="AH91">
        <f ca="1"/>
        <v>0.17298572678932647</v>
      </c>
      <c r="AI91">
        <f ca="1"/>
        <v>0.18119450809403534</v>
      </c>
      <c r="AJ91">
        <f ca="1"/>
        <v>0.34741760846412373</v>
      </c>
      <c r="AK91">
        <f ca="1"/>
        <v>-0.34626260623169519</v>
      </c>
      <c r="AN91" s="9">
        <v>0.6511879426433862</v>
      </c>
      <c r="AO91" s="9">
        <v>7.7694211583041586E-2</v>
      </c>
    </row>
    <row r="92" spans="1:41" x14ac:dyDescent="0.2">
      <c r="A92" s="2">
        <v>44773</v>
      </c>
      <c r="B92">
        <v>50.448398590087891</v>
      </c>
      <c r="C92">
        <v>158.1252136230469</v>
      </c>
      <c r="D92">
        <v>224.8999938964844</v>
      </c>
      <c r="E92">
        <v>18.13581466674805</v>
      </c>
      <c r="F92">
        <v>297.14999389648438</v>
      </c>
      <c r="G92" s="10">
        <v>2.23E-2</v>
      </c>
      <c r="H92" s="9">
        <f t="shared" si="13"/>
        <v>0.11137961215675252</v>
      </c>
      <c r="I92" s="9">
        <f t="shared" si="14"/>
        <v>-1.3333229235416799E-2</v>
      </c>
      <c r="J92" s="9">
        <f t="shared" si="15"/>
        <v>0.28609824541808759</v>
      </c>
      <c r="K92" s="9">
        <f t="shared" si="16"/>
        <v>0.19841930590950385</v>
      </c>
      <c r="L92" s="9">
        <f t="shared" si="17"/>
        <v>0.32376526434081909</v>
      </c>
      <c r="M92" s="24">
        <f t="shared" si="18"/>
        <v>7.7930337574123779E-2</v>
      </c>
      <c r="N92" s="24">
        <f t="shared" si="19"/>
        <v>-3.6883765069879164E-2</v>
      </c>
      <c r="O92" s="24">
        <f t="shared" si="20"/>
        <v>0.25543270648814781</v>
      </c>
      <c r="P92" s="24">
        <f t="shared" si="21"/>
        <v>0.14126755550703005</v>
      </c>
      <c r="Q92" s="24">
        <f t="shared" si="22"/>
        <v>0.2842154173842944</v>
      </c>
      <c r="AB92" s="9"/>
      <c r="AC92" s="20"/>
      <c r="AE92" s="22" cm="1">
        <f t="array" aca="1" ref="AE92" ca="1">SQRT(MMULT(MMULT(AG92:AK92,var_covar),TRANSPOSE(AG92:AK92)))</f>
        <v>7.7573708322078314E-2</v>
      </c>
      <c r="AF92" s="22">
        <f t="shared" ca="1" si="23"/>
        <v>2.9447122129591639E-2</v>
      </c>
      <c r="AG92">
        <f ca="1"/>
        <v>0.32130529684508768</v>
      </c>
      <c r="AH92">
        <f ca="1"/>
        <v>0.36027511200211659</v>
      </c>
      <c r="AI92">
        <f ca="1"/>
        <v>0.30949197868682837</v>
      </c>
      <c r="AJ92">
        <f ca="1"/>
        <v>2.1088461744783706E-2</v>
      </c>
      <c r="AK92">
        <f ca="1"/>
        <v>-1.2160849278816189E-2</v>
      </c>
      <c r="AN92" s="9">
        <v>0.63846177300555884</v>
      </c>
      <c r="AO92" s="9">
        <v>-6.2046636221891188E-2</v>
      </c>
    </row>
    <row r="93" spans="1:41" x14ac:dyDescent="0.2">
      <c r="A93" s="2">
        <v>44804</v>
      </c>
      <c r="B93">
        <v>47.021934509277337</v>
      </c>
      <c r="C93">
        <v>161.93171691894531</v>
      </c>
      <c r="D93">
        <v>223.55999755859381</v>
      </c>
      <c r="E93">
        <v>15.07141017913818</v>
      </c>
      <c r="F93">
        <v>275.6099853515625</v>
      </c>
      <c r="G93" s="10">
        <v>2.63E-2</v>
      </c>
      <c r="H93" s="9">
        <f t="shared" si="13"/>
        <v>-6.7920175398467175E-2</v>
      </c>
      <c r="I93" s="9">
        <f t="shared" si="14"/>
        <v>2.4072715594697591E-2</v>
      </c>
      <c r="J93" s="9">
        <f t="shared" si="15"/>
        <v>-5.958187524484182E-3</v>
      </c>
      <c r="K93" s="9">
        <f t="shared" si="16"/>
        <v>-0.16896977301099381</v>
      </c>
      <c r="L93" s="9">
        <f t="shared" si="17"/>
        <v>-7.2488672345137561E-2</v>
      </c>
      <c r="M93" s="24">
        <f t="shared" si="18"/>
        <v>-0.10136944998109591</v>
      </c>
      <c r="N93" s="24">
        <f t="shared" si="19"/>
        <v>5.2217976023522655E-4</v>
      </c>
      <c r="O93" s="24">
        <f t="shared" si="20"/>
        <v>-3.6623726454423952E-2</v>
      </c>
      <c r="P93" s="24">
        <f t="shared" si="21"/>
        <v>-0.22612152341346761</v>
      </c>
      <c r="Q93" s="24">
        <f t="shared" si="22"/>
        <v>-0.11203851930166225</v>
      </c>
      <c r="AB93" s="9"/>
      <c r="AC93" s="20"/>
      <c r="AE93" s="22" cm="1">
        <f t="array" aca="1" ref="AE93" ca="1">SQRT(MMULT(MMULT(AG93:AK93,var_covar),TRANSPOSE(AG93:AK93)))</f>
        <v>0.1548269639089222</v>
      </c>
      <c r="AF93" s="22">
        <f t="shared" ca="1" si="23"/>
        <v>3.815651222189588E-2</v>
      </c>
      <c r="AG93">
        <f ca="1"/>
        <v>1.2063371220334127</v>
      </c>
      <c r="AH93">
        <f ca="1"/>
        <v>-0.40698800016946657</v>
      </c>
      <c r="AI93">
        <f ca="1"/>
        <v>-0.23981759376669232</v>
      </c>
      <c r="AJ93">
        <f ca="1"/>
        <v>-0.152036331379687</v>
      </c>
      <c r="AK93">
        <f ca="1"/>
        <v>0.59250480328243316</v>
      </c>
      <c r="AN93" s="9">
        <v>0.63810437436937717</v>
      </c>
      <c r="AO93" s="9">
        <v>0.15130219440034132</v>
      </c>
    </row>
    <row r="94" spans="1:41" x14ac:dyDescent="0.2">
      <c r="A94" s="2">
        <v>44834</v>
      </c>
      <c r="B94">
        <v>41.830863952636719</v>
      </c>
      <c r="C94">
        <v>134.84867858886719</v>
      </c>
      <c r="D94">
        <v>235.44000244140619</v>
      </c>
      <c r="E94">
        <v>12.12083053588867</v>
      </c>
      <c r="F94">
        <v>265.25</v>
      </c>
      <c r="G94" s="10">
        <v>3.1300000000000001E-2</v>
      </c>
      <c r="H94" s="9">
        <f t="shared" si="13"/>
        <v>-0.11039678845234302</v>
      </c>
      <c r="I94" s="9">
        <f t="shared" si="14"/>
        <v>-0.16724974480221499</v>
      </c>
      <c r="J94" s="9">
        <f t="shared" si="15"/>
        <v>5.3140119039850608E-2</v>
      </c>
      <c r="K94" s="9">
        <f t="shared" si="16"/>
        <v>-0.19577329580835756</v>
      </c>
      <c r="L94" s="9">
        <f t="shared" si="17"/>
        <v>-3.7589296114752591E-2</v>
      </c>
      <c r="M94" s="24">
        <f t="shared" si="18"/>
        <v>-0.14384606303497177</v>
      </c>
      <c r="N94" s="24">
        <f t="shared" si="19"/>
        <v>-0.19080028063667737</v>
      </c>
      <c r="O94" s="24">
        <f t="shared" si="20"/>
        <v>2.2474580109910838E-2</v>
      </c>
      <c r="P94" s="24">
        <f t="shared" si="21"/>
        <v>-0.25292504621083134</v>
      </c>
      <c r="Q94" s="24">
        <f t="shared" si="22"/>
        <v>-7.7139143071277283E-2</v>
      </c>
      <c r="AB94" s="9"/>
      <c r="AC94" s="20"/>
      <c r="AE94" s="22" cm="1">
        <f t="array" aca="1" ref="AE94" ca="1">SQRT(MMULT(MMULT(AG94:AK94,var_covar),TRANSPOSE(AG94:AK94)))</f>
        <v>0.15555645203365698</v>
      </c>
      <c r="AF94" s="22">
        <f t="shared" ca="1" si="23"/>
        <v>4.2281820101534293E-2</v>
      </c>
      <c r="AG94">
        <f ca="1"/>
        <v>-0.64869665626806416</v>
      </c>
      <c r="AH94">
        <f ca="1"/>
        <v>0.15229097823266508</v>
      </c>
      <c r="AI94">
        <f ca="1"/>
        <v>0.55677514224518032</v>
      </c>
      <c r="AJ94">
        <f ca="1"/>
        <v>0.34982948694895505</v>
      </c>
      <c r="AK94">
        <f ca="1"/>
        <v>0.58980104884126361</v>
      </c>
      <c r="AN94" s="9">
        <v>0.63084183027760732</v>
      </c>
      <c r="AO94" s="9">
        <v>5.2324244734752806E-2</v>
      </c>
    </row>
    <row r="95" spans="1:41" x14ac:dyDescent="0.2">
      <c r="A95" s="2">
        <v>44865</v>
      </c>
      <c r="B95">
        <v>44.662113189697273</v>
      </c>
      <c r="C95">
        <v>92.589218139648438</v>
      </c>
      <c r="D95">
        <v>291.8800048828125</v>
      </c>
      <c r="E95">
        <v>13.48080348968506</v>
      </c>
      <c r="F95">
        <v>227.53999328613281</v>
      </c>
      <c r="G95" s="10">
        <v>3.7200000000000004E-2</v>
      </c>
      <c r="H95" s="9">
        <f t="shared" si="13"/>
        <v>6.7683259907475479E-2</v>
      </c>
      <c r="I95" s="9">
        <f t="shared" si="14"/>
        <v>-0.31338431263432198</v>
      </c>
      <c r="J95" s="9">
        <f t="shared" si="15"/>
        <v>0.23972138063264126</v>
      </c>
      <c r="K95" s="9">
        <f t="shared" si="16"/>
        <v>0.11220130087370128</v>
      </c>
      <c r="L95" s="9">
        <f t="shared" si="17"/>
        <v>-0.14216779156971604</v>
      </c>
      <c r="M95" s="24">
        <f t="shared" si="18"/>
        <v>3.4233985324846741E-2</v>
      </c>
      <c r="N95" s="24">
        <f t="shared" si="19"/>
        <v>-0.33693484846878435</v>
      </c>
      <c r="O95" s="24">
        <f t="shared" si="20"/>
        <v>0.20905584170270147</v>
      </c>
      <c r="P95" s="24">
        <f t="shared" si="21"/>
        <v>5.5049550471227476E-2</v>
      </c>
      <c r="Q95" s="24">
        <f t="shared" si="22"/>
        <v>-0.18171763852624073</v>
      </c>
      <c r="AB95" s="9"/>
      <c r="AC95" s="20"/>
      <c r="AE95" s="22" cm="1">
        <f t="array" aca="1" ref="AE95" ca="1">SQRT(MMULT(MMULT(AG95:AK95,var_covar),TRANSPOSE(AG95:AK95)))</f>
        <v>0.13396373636764242</v>
      </c>
      <c r="AF95" s="22">
        <f t="shared" ca="1" si="23"/>
        <v>5.0051256060734989E-2</v>
      </c>
      <c r="AG95">
        <f ca="1"/>
        <v>0.68051666930527865</v>
      </c>
      <c r="AH95">
        <f ca="1"/>
        <v>-5.8643405618527107E-2</v>
      </c>
      <c r="AI95">
        <f ca="1"/>
        <v>-1.1083031682359256E-2</v>
      </c>
      <c r="AJ95">
        <f ca="1"/>
        <v>0.77356583506318521</v>
      </c>
      <c r="AK95">
        <f ca="1"/>
        <v>-0.38435606706757752</v>
      </c>
      <c r="AN95" s="9">
        <v>0.62559265118304264</v>
      </c>
      <c r="AO95" s="9">
        <v>0.11148077605546003</v>
      </c>
    </row>
    <row r="96" spans="1:41" x14ac:dyDescent="0.2">
      <c r="A96" s="2">
        <v>44895</v>
      </c>
      <c r="B96">
        <v>52.34869384765625</v>
      </c>
      <c r="C96">
        <v>117.37640380859381</v>
      </c>
      <c r="D96">
        <v>305.52999877929688</v>
      </c>
      <c r="E96">
        <v>16.902694702148441</v>
      </c>
      <c r="F96">
        <v>194.69999694824219</v>
      </c>
      <c r="G96" s="10">
        <v>4.1500000000000002E-2</v>
      </c>
      <c r="H96" s="9">
        <f t="shared" si="13"/>
        <v>0.172105171676743</v>
      </c>
      <c r="I96" s="9">
        <f t="shared" si="14"/>
        <v>0.26771136172205168</v>
      </c>
      <c r="J96" s="9">
        <f t="shared" si="15"/>
        <v>4.6765772468603028E-2</v>
      </c>
      <c r="K96" s="9">
        <f t="shared" si="16"/>
        <v>0.25383436640714074</v>
      </c>
      <c r="L96" s="9">
        <f t="shared" si="17"/>
        <v>-0.14432626046795272</v>
      </c>
      <c r="M96" s="24">
        <f t="shared" si="18"/>
        <v>0.13865589709411424</v>
      </c>
      <c r="N96" s="24">
        <f t="shared" si="19"/>
        <v>0.24416082588758931</v>
      </c>
      <c r="O96" s="24">
        <f t="shared" si="20"/>
        <v>1.6100233538663258E-2</v>
      </c>
      <c r="P96" s="24">
        <f t="shared" si="21"/>
        <v>0.19668261600466694</v>
      </c>
      <c r="Q96" s="24">
        <f t="shared" si="22"/>
        <v>-0.18387610742447741</v>
      </c>
      <c r="AB96" s="9"/>
      <c r="AC96" s="20"/>
      <c r="AE96" s="22" cm="1">
        <f t="array" aca="1" ref="AE96" ca="1">SQRT(MMULT(MMULT(AG96:AK96,var_covar),TRANSPOSE(AG96:AK96)))</f>
        <v>0.18117740750346664</v>
      </c>
      <c r="AF96" s="22">
        <f t="shared" ca="1" si="23"/>
        <v>2.2057694741570148E-2</v>
      </c>
      <c r="AG96">
        <f ca="1"/>
        <v>-0.80996249274559562</v>
      </c>
      <c r="AH96">
        <f ca="1"/>
        <v>0.58684547633606654</v>
      </c>
      <c r="AI96">
        <f ca="1"/>
        <v>0.79079544230948617</v>
      </c>
      <c r="AJ96">
        <f ca="1"/>
        <v>-0.34192855270449762</v>
      </c>
      <c r="AK96">
        <f ca="1"/>
        <v>0.77425012680454053</v>
      </c>
      <c r="AN96" s="9">
        <v>0.61979408331623476</v>
      </c>
      <c r="AO96" s="9">
        <v>0.1318832479949662</v>
      </c>
    </row>
    <row r="97" spans="1:41" x14ac:dyDescent="0.2">
      <c r="A97" s="2">
        <v>44926</v>
      </c>
      <c r="B97">
        <v>53.118202209472663</v>
      </c>
      <c r="C97">
        <v>119.602668762207</v>
      </c>
      <c r="D97">
        <v>294.8800048828125</v>
      </c>
      <c r="E97">
        <v>14.600197792053221</v>
      </c>
      <c r="F97">
        <v>123.1800003051758</v>
      </c>
      <c r="G97" s="10">
        <v>4.2500000000000003E-2</v>
      </c>
      <c r="H97" s="9">
        <f t="shared" si="13"/>
        <v>1.4699666892469487E-2</v>
      </c>
      <c r="I97" s="9">
        <f t="shared" si="14"/>
        <v>1.896688671126423E-2</v>
      </c>
      <c r="J97" s="9">
        <f t="shared" si="15"/>
        <v>-3.485744096826815E-2</v>
      </c>
      <c r="K97" s="9">
        <f t="shared" si="16"/>
        <v>-0.13622070034800771</v>
      </c>
      <c r="L97" s="9">
        <f t="shared" si="17"/>
        <v>-0.3673343490707851</v>
      </c>
      <c r="M97" s="24">
        <f t="shared" si="18"/>
        <v>-1.8749607690159251E-2</v>
      </c>
      <c r="N97" s="24">
        <f t="shared" si="19"/>
        <v>-4.5836491231981344E-3</v>
      </c>
      <c r="O97" s="24">
        <f t="shared" si="20"/>
        <v>-6.552297989820792E-2</v>
      </c>
      <c r="P97" s="24">
        <f t="shared" si="21"/>
        <v>-0.19337245075048151</v>
      </c>
      <c r="Q97" s="24">
        <f t="shared" si="22"/>
        <v>-0.4068841960273098</v>
      </c>
      <c r="AB97" s="9"/>
      <c r="AC97" s="20"/>
      <c r="AE97" s="22" cm="1">
        <f t="array" aca="1" ref="AE97" ca="1">SQRT(MMULT(MMULT(AG97:AK97,var_covar),TRANSPOSE(AG97:AK97)))</f>
        <v>0.16733776099604478</v>
      </c>
      <c r="AF97" s="22">
        <f t="shared" ca="1" si="23"/>
        <v>3.4285791767538973E-2</v>
      </c>
      <c r="AG97">
        <f ca="1"/>
        <v>-0.43956322788607943</v>
      </c>
      <c r="AH97">
        <f ca="1"/>
        <v>-0.10651645842166818</v>
      </c>
      <c r="AI97">
        <f ca="1"/>
        <v>0.96680960817816597</v>
      </c>
      <c r="AJ97">
        <f ca="1"/>
        <v>-6.0243374965443693E-2</v>
      </c>
      <c r="AK97">
        <f ca="1"/>
        <v>0.63951345309502539</v>
      </c>
      <c r="AN97" s="9">
        <v>0.61782263724190689</v>
      </c>
      <c r="AO97" s="9">
        <v>-4.5692313272529511E-2</v>
      </c>
    </row>
    <row r="98" spans="1:41" x14ac:dyDescent="0.2">
      <c r="A98" s="2">
        <v>44957</v>
      </c>
      <c r="B98">
        <v>56.040561676025391</v>
      </c>
      <c r="C98">
        <v>148.0572814941406</v>
      </c>
      <c r="D98">
        <v>353.8599853515625</v>
      </c>
      <c r="E98">
        <v>19.518548965454102</v>
      </c>
      <c r="F98">
        <v>173.2200012207031</v>
      </c>
      <c r="G98" s="10">
        <v>4.5400000000000003E-2</v>
      </c>
      <c r="H98" s="9">
        <f t="shared" si="13"/>
        <v>5.5016159150649502E-2</v>
      </c>
      <c r="I98" s="9">
        <f t="shared" si="14"/>
        <v>0.23790951344494493</v>
      </c>
      <c r="J98" s="9">
        <f t="shared" si="15"/>
        <v>0.20001349529341295</v>
      </c>
      <c r="K98" s="9">
        <f t="shared" si="16"/>
        <v>0.33686880434441124</v>
      </c>
      <c r="L98" s="9">
        <f t="shared" si="17"/>
        <v>0.40623478479910924</v>
      </c>
      <c r="M98" s="24">
        <f t="shared" si="18"/>
        <v>2.1566884568020764E-2</v>
      </c>
      <c r="N98" s="24">
        <f t="shared" si="19"/>
        <v>0.21435897761048256</v>
      </c>
      <c r="O98" s="24">
        <f t="shared" si="20"/>
        <v>0.16934795636347316</v>
      </c>
      <c r="P98" s="24">
        <f t="shared" si="21"/>
        <v>0.27971705394193747</v>
      </c>
      <c r="Q98" s="24">
        <f t="shared" si="22"/>
        <v>0.36668493784258455</v>
      </c>
      <c r="AB98" s="9"/>
      <c r="AC98" s="20"/>
      <c r="AE98" s="22" cm="1">
        <f t="array" aca="1" ref="AE98" ca="1">SQRT(MMULT(MMULT(AG98:AK98,var_covar),TRANSPOSE(AG98:AK98)))</f>
        <v>0.53279226168378702</v>
      </c>
      <c r="AF98" s="22">
        <f t="shared" ca="1" si="23"/>
        <v>4.1371267986581341E-2</v>
      </c>
      <c r="AG98">
        <f ca="1"/>
        <v>0.6458270640164897</v>
      </c>
      <c r="AH98">
        <f ca="1"/>
        <v>3.3090598977504113</v>
      </c>
      <c r="AI98">
        <f ca="1"/>
        <v>-4.4874865938910871</v>
      </c>
      <c r="AJ98">
        <f ca="1"/>
        <v>1.070100258946403</v>
      </c>
      <c r="AK98">
        <f ca="1"/>
        <v>0.46249937317778306</v>
      </c>
      <c r="AN98" s="9">
        <v>0.61330417114861868</v>
      </c>
      <c r="AO98" s="9">
        <v>-4.9173548974239263E-2</v>
      </c>
    </row>
    <row r="99" spans="1:41" x14ac:dyDescent="0.2">
      <c r="A99" s="2">
        <v>44985</v>
      </c>
      <c r="B99">
        <v>56.929538726806641</v>
      </c>
      <c r="C99">
        <v>173.86814880371091</v>
      </c>
      <c r="D99">
        <v>322.1300048828125</v>
      </c>
      <c r="E99">
        <v>23.194072723388668</v>
      </c>
      <c r="F99">
        <v>205.71000671386719</v>
      </c>
      <c r="G99" s="10">
        <v>4.6500000000000007E-2</v>
      </c>
      <c r="H99" s="9">
        <f t="shared" si="13"/>
        <v>1.5863100300822941E-2</v>
      </c>
      <c r="I99" s="9">
        <f t="shared" si="14"/>
        <v>0.17433027980181981</v>
      </c>
      <c r="J99" s="9">
        <f t="shared" si="15"/>
        <v>-8.9668178890659367E-2</v>
      </c>
      <c r="K99" s="9">
        <f t="shared" si="16"/>
        <v>0.18830927260217334</v>
      </c>
      <c r="L99" s="9">
        <f t="shared" si="17"/>
        <v>0.18756497670132166</v>
      </c>
      <c r="M99" s="24">
        <f t="shared" si="18"/>
        <v>-1.7586174281805797E-2</v>
      </c>
      <c r="N99" s="24">
        <f t="shared" si="19"/>
        <v>0.15077974396735744</v>
      </c>
      <c r="O99" s="24">
        <f t="shared" si="20"/>
        <v>-0.12033371782059914</v>
      </c>
      <c r="P99" s="24">
        <f t="shared" si="21"/>
        <v>0.13115752219969953</v>
      </c>
      <c r="Q99" s="24">
        <f t="shared" si="22"/>
        <v>0.14801512974479697</v>
      </c>
      <c r="AB99" s="9"/>
      <c r="AC99" s="20"/>
      <c r="AE99" s="22" cm="1">
        <f t="array" aca="1" ref="AE99" ca="1">SQRT(MMULT(MMULT(AG99:AK99,var_covar),TRANSPOSE(AG99:AK99)))</f>
        <v>0.12653008551653319</v>
      </c>
      <c r="AF99" s="22">
        <f t="shared" ca="1" si="23"/>
        <v>3.5091170467473523E-2</v>
      </c>
      <c r="AG99">
        <f ca="1"/>
        <v>0.29895171367466011</v>
      </c>
      <c r="AH99">
        <f ca="1"/>
        <v>-0.1579662687430626</v>
      </c>
      <c r="AI99">
        <f ca="1"/>
        <v>0.38883961499216341</v>
      </c>
      <c r="AJ99">
        <f ca="1"/>
        <v>-9.7016808244916639E-2</v>
      </c>
      <c r="AK99">
        <f ca="1"/>
        <v>0.56719174832115571</v>
      </c>
      <c r="AN99" s="9">
        <v>0.61006133683138275</v>
      </c>
      <c r="AO99" s="9">
        <v>-0.13514005887324107</v>
      </c>
    </row>
    <row r="100" spans="1:41" x14ac:dyDescent="0.2">
      <c r="A100" s="2">
        <v>45016</v>
      </c>
      <c r="B100">
        <v>61.455814361572273</v>
      </c>
      <c r="C100">
        <v>210.6414489746094</v>
      </c>
      <c r="D100">
        <v>345.48001098632812</v>
      </c>
      <c r="E100">
        <v>27.750766754150391</v>
      </c>
      <c r="F100">
        <v>207.46000671386719</v>
      </c>
      <c r="G100" s="10">
        <v>4.6900000000000004E-2</v>
      </c>
      <c r="H100" s="9">
        <f t="shared" si="13"/>
        <v>7.9506627596023893E-2</v>
      </c>
      <c r="I100" s="9">
        <f t="shared" si="14"/>
        <v>0.21150107379594774</v>
      </c>
      <c r="J100" s="9">
        <f t="shared" si="15"/>
        <v>7.2486281158472332E-2</v>
      </c>
      <c r="K100" s="9">
        <f t="shared" si="16"/>
        <v>0.19645941810671297</v>
      </c>
      <c r="L100" s="9">
        <f t="shared" si="17"/>
        <v>8.5071213984946326E-3</v>
      </c>
      <c r="M100" s="24">
        <f t="shared" si="18"/>
        <v>4.6057353013395155E-2</v>
      </c>
      <c r="N100" s="24">
        <f t="shared" si="19"/>
        <v>0.18795053796148536</v>
      </c>
      <c r="O100" s="24">
        <f t="shared" si="20"/>
        <v>4.1820742228532562E-2</v>
      </c>
      <c r="P100" s="24">
        <f t="shared" si="21"/>
        <v>0.13930766770423916</v>
      </c>
      <c r="Q100" s="24">
        <f t="shared" si="22"/>
        <v>-3.104272555803006E-2</v>
      </c>
      <c r="AB100" s="9"/>
      <c r="AC100" s="20"/>
      <c r="AE100" s="22" cm="1">
        <f t="array" aca="1" ref="AE100" ca="1">SQRT(MMULT(MMULT(AG100:AK100,var_covar),TRANSPOSE(AG100:AK100)))</f>
        <v>0.11947080456631842</v>
      </c>
      <c r="AF100" s="22">
        <f t="shared" ca="1" si="23"/>
        <v>3.6139424281615734E-2</v>
      </c>
      <c r="AG100">
        <f ca="1"/>
        <v>5.0524298414247751E-3</v>
      </c>
      <c r="AH100">
        <f ca="1"/>
        <v>7.6914100336016094E-3</v>
      </c>
      <c r="AI100">
        <f ca="1"/>
        <v>0.45248659049818635</v>
      </c>
      <c r="AJ100">
        <f ca="1"/>
        <v>4.3375283322464368E-2</v>
      </c>
      <c r="AK100">
        <f ca="1"/>
        <v>0.49139428630432297</v>
      </c>
      <c r="AN100" s="9">
        <v>0.60842337221529996</v>
      </c>
      <c r="AO100" s="9">
        <v>0.18058775977587088</v>
      </c>
    </row>
    <row r="101" spans="1:41" x14ac:dyDescent="0.2">
      <c r="A101" s="2">
        <v>45046</v>
      </c>
      <c r="B101">
        <v>60.447029113769531</v>
      </c>
      <c r="C101">
        <v>238.8475646972656</v>
      </c>
      <c r="D101">
        <v>329.92999267578119</v>
      </c>
      <c r="E101">
        <v>27.72750091552734</v>
      </c>
      <c r="F101">
        <v>164.30999755859381</v>
      </c>
      <c r="G101" s="10">
        <v>4.9200000000000001E-2</v>
      </c>
      <c r="H101" s="9">
        <f t="shared" si="13"/>
        <v>-1.6414805633647611E-2</v>
      </c>
      <c r="I101" s="9">
        <f t="shared" si="14"/>
        <v>0.13390581891627673</v>
      </c>
      <c r="J101" s="9">
        <f t="shared" si="15"/>
        <v>-4.5009892949095409E-2</v>
      </c>
      <c r="K101" s="9">
        <f t="shared" si="16"/>
        <v>-8.3838543378522701E-4</v>
      </c>
      <c r="L101" s="9">
        <f t="shared" si="17"/>
        <v>-0.20799193945263239</v>
      </c>
      <c r="M101" s="24">
        <f t="shared" si="18"/>
        <v>-4.9864080216276349E-2</v>
      </c>
      <c r="N101" s="24">
        <f t="shared" si="19"/>
        <v>0.11035528308181436</v>
      </c>
      <c r="O101" s="24">
        <f t="shared" si="20"/>
        <v>-7.5675431879035179E-2</v>
      </c>
      <c r="P101" s="24">
        <f t="shared" si="21"/>
        <v>-5.7990135836259032E-2</v>
      </c>
      <c r="Q101" s="24">
        <f t="shared" si="22"/>
        <v>-0.24754178640915708</v>
      </c>
      <c r="AB101" s="9"/>
      <c r="AC101" s="20"/>
      <c r="AE101" s="22" cm="1">
        <f t="array" aca="1" ref="AE101" ca="1">SQRT(MMULT(MMULT(AG101:AK101,var_covar),TRANSPOSE(AG101:AK101)))</f>
        <v>0.23732925501300986</v>
      </c>
      <c r="AF101" s="22">
        <f t="shared" ca="1" si="23"/>
        <v>4.9564192103597748E-3</v>
      </c>
      <c r="AG101">
        <f ca="1"/>
        <v>0.85774726676478286</v>
      </c>
      <c r="AH101">
        <f ca="1"/>
        <v>1.8649271203744955</v>
      </c>
      <c r="AI101">
        <f ca="1"/>
        <v>-0.50854462860006489</v>
      </c>
      <c r="AJ101">
        <f ca="1"/>
        <v>-0.22958860023685781</v>
      </c>
      <c r="AK101">
        <f ca="1"/>
        <v>-0.98454115830235589</v>
      </c>
      <c r="AN101" s="9">
        <v>0.60508552867236798</v>
      </c>
      <c r="AO101" s="9">
        <v>0.12876026688395609</v>
      </c>
    </row>
    <row r="102" spans="1:41" x14ac:dyDescent="0.2">
      <c r="A102" s="2">
        <v>45077</v>
      </c>
      <c r="B102">
        <v>77.954948425292969</v>
      </c>
      <c r="C102">
        <v>263.09811401367188</v>
      </c>
      <c r="D102">
        <v>395.23001098632812</v>
      </c>
      <c r="E102">
        <v>37.8046875</v>
      </c>
      <c r="F102">
        <v>203.92999267578119</v>
      </c>
      <c r="G102" s="10">
        <v>5.1399999999999994E-2</v>
      </c>
      <c r="H102" s="9">
        <f t="shared" si="13"/>
        <v>0.28964069149819016</v>
      </c>
      <c r="I102" s="9">
        <f t="shared" si="14"/>
        <v>0.10153149079473911</v>
      </c>
      <c r="J102" s="9">
        <f t="shared" si="15"/>
        <v>0.19792083096463609</v>
      </c>
      <c r="K102" s="9">
        <f t="shared" si="16"/>
        <v>0.36343652517308023</v>
      </c>
      <c r="L102" s="9">
        <f t="shared" si="17"/>
        <v>0.24112954601596104</v>
      </c>
      <c r="M102" s="24">
        <f t="shared" si="18"/>
        <v>0.25619141691556141</v>
      </c>
      <c r="N102" s="24">
        <f t="shared" si="19"/>
        <v>7.7980954960276738E-2</v>
      </c>
      <c r="O102" s="24">
        <f t="shared" si="20"/>
        <v>0.1672552920346963</v>
      </c>
      <c r="P102" s="24">
        <f t="shared" si="21"/>
        <v>0.30628477477060645</v>
      </c>
      <c r="Q102" s="24">
        <f t="shared" si="22"/>
        <v>0.20157969905943635</v>
      </c>
      <c r="AB102" s="9"/>
      <c r="AC102" s="20"/>
      <c r="AE102" s="22" cm="1">
        <f t="array" aca="1" ref="AE102" ca="1">SQRT(MMULT(MMULT(AG102:AK102,var_covar),TRANSPOSE(AG102:AK102)))</f>
        <v>0.11304099986599746</v>
      </c>
      <c r="AF102" s="22">
        <f t="shared" ca="1" si="23"/>
        <v>1.9558214956103905E-2</v>
      </c>
      <c r="AG102">
        <f ca="1"/>
        <v>0.10741468124397265</v>
      </c>
      <c r="AH102">
        <f ca="1"/>
        <v>0.66612870254454293</v>
      </c>
      <c r="AI102">
        <f ca="1"/>
        <v>0.17741271333779959</v>
      </c>
      <c r="AJ102">
        <f ca="1"/>
        <v>-0.40351041765522611</v>
      </c>
      <c r="AK102">
        <f ca="1"/>
        <v>0.45255432052891092</v>
      </c>
      <c r="AN102" s="9">
        <v>0.59714134911229189</v>
      </c>
      <c r="AO102" s="9">
        <v>8.0124956529614558E-2</v>
      </c>
    </row>
    <row r="103" spans="1:41" x14ac:dyDescent="0.2">
      <c r="A103" s="2">
        <v>45107</v>
      </c>
      <c r="B103">
        <v>83.692832946777344</v>
      </c>
      <c r="C103">
        <v>285.2216796875</v>
      </c>
      <c r="D103">
        <v>440.489990234375</v>
      </c>
      <c r="E103">
        <v>42.26922607421875</v>
      </c>
      <c r="F103">
        <v>261.76998901367188</v>
      </c>
      <c r="G103" s="10">
        <v>5.16E-2</v>
      </c>
      <c r="H103" s="9">
        <f t="shared" si="13"/>
        <v>7.3605135240172759E-2</v>
      </c>
      <c r="I103" s="9">
        <f t="shared" si="14"/>
        <v>8.408865170610258E-2</v>
      </c>
      <c r="J103" s="9">
        <f t="shared" si="15"/>
        <v>0.11451554282301846</v>
      </c>
      <c r="K103" s="9">
        <f t="shared" si="16"/>
        <v>0.11809484139284976</v>
      </c>
      <c r="L103" s="9">
        <f t="shared" si="17"/>
        <v>0.28362672689273216</v>
      </c>
      <c r="M103" s="24">
        <f t="shared" si="18"/>
        <v>4.0155860657544021E-2</v>
      </c>
      <c r="N103" s="24">
        <f t="shared" si="19"/>
        <v>6.0538115871640215E-2</v>
      </c>
      <c r="O103" s="24">
        <f t="shared" si="20"/>
        <v>8.3850003893078687E-2</v>
      </c>
      <c r="P103" s="24">
        <f t="shared" si="21"/>
        <v>6.0943090990375953E-2</v>
      </c>
      <c r="Q103" s="24">
        <f t="shared" si="22"/>
        <v>0.24407687993620747</v>
      </c>
      <c r="AB103" s="9"/>
      <c r="AC103" s="20"/>
      <c r="AE103" s="22" cm="1">
        <f t="array" aca="1" ref="AE103" ca="1">SQRT(MMULT(MMULT(AG103:AK103,var_covar),TRANSPOSE(AG103:AK103)))</f>
        <v>9.7453162166644527E-2</v>
      </c>
      <c r="AF103" s="22">
        <f t="shared" ca="1" si="23"/>
        <v>2.5910626794502362E-2</v>
      </c>
      <c r="AG103">
        <f ca="1"/>
        <v>0.88674358737042758</v>
      </c>
      <c r="AH103">
        <f ca="1"/>
        <v>-8.7764486915649156E-2</v>
      </c>
      <c r="AI103">
        <f ca="1"/>
        <v>0.50373565880721316</v>
      </c>
      <c r="AJ103">
        <f ca="1"/>
        <v>-0.29305951602533775</v>
      </c>
      <c r="AK103">
        <f ca="1"/>
        <v>-9.655243236653897E-3</v>
      </c>
      <c r="AN103" s="9">
        <v>0.59639556947819794</v>
      </c>
      <c r="AO103" s="9">
        <v>9.4319237358759106E-2</v>
      </c>
    </row>
    <row r="104" spans="1:41" x14ac:dyDescent="0.2">
      <c r="A104" s="2">
        <v>45138</v>
      </c>
      <c r="B104">
        <v>87.166984558105469</v>
      </c>
      <c r="C104">
        <v>316.64797973632812</v>
      </c>
      <c r="D104">
        <v>438.97000122070312</v>
      </c>
      <c r="E104">
        <v>46.697624206542969</v>
      </c>
      <c r="F104">
        <v>267.42999267578119</v>
      </c>
      <c r="G104" s="10">
        <v>5.2499999999999998E-2</v>
      </c>
      <c r="H104" s="9">
        <f t="shared" si="13"/>
        <v>4.1510742186698701E-2</v>
      </c>
      <c r="I104" s="9">
        <f t="shared" si="14"/>
        <v>0.11018201731109634</v>
      </c>
      <c r="J104" s="9">
        <f t="shared" si="15"/>
        <v>-3.4506777619693896E-3</v>
      </c>
      <c r="K104" s="9">
        <f t="shared" si="16"/>
        <v>0.10476648246524745</v>
      </c>
      <c r="L104" s="9">
        <f t="shared" si="17"/>
        <v>2.1622049507797891E-2</v>
      </c>
      <c r="M104" s="24">
        <f t="shared" si="18"/>
        <v>8.0614676040699634E-3</v>
      </c>
      <c r="N104" s="24">
        <f t="shared" si="19"/>
        <v>8.6631481476633965E-2</v>
      </c>
      <c r="O104" s="24">
        <f t="shared" si="20"/>
        <v>-3.411621669190916E-2</v>
      </c>
      <c r="P104" s="24">
        <f t="shared" si="21"/>
        <v>4.761473206277364E-2</v>
      </c>
      <c r="Q104" s="24">
        <f t="shared" si="22"/>
        <v>-1.7927797448726801E-2</v>
      </c>
      <c r="AB104" s="9"/>
      <c r="AC104" s="20"/>
      <c r="AE104" s="22" cm="1">
        <f t="array" aca="1" ref="AE104" ca="1">SQRT(MMULT(MMULT(AG104:AK104,var_covar),TRANSPOSE(AG104:AK104)))</f>
        <v>0.31006147066562717</v>
      </c>
      <c r="AF104" s="22">
        <f t="shared" ca="1" si="23"/>
        <v>6.6050684398369183E-2</v>
      </c>
      <c r="AG104">
        <f ca="1"/>
        <v>-0.95120326450424275</v>
      </c>
      <c r="AH104">
        <f ca="1"/>
        <v>-1.2468033762480146</v>
      </c>
      <c r="AI104">
        <f ca="1"/>
        <v>1.255986680868193</v>
      </c>
      <c r="AJ104">
        <f ca="1"/>
        <v>0.67654788281901412</v>
      </c>
      <c r="AK104">
        <f ca="1"/>
        <v>1.2654720770650505</v>
      </c>
      <c r="AN104" s="9">
        <v>0.59555038150527617</v>
      </c>
      <c r="AO104" s="9">
        <v>-2.8872685278310717E-2</v>
      </c>
    </row>
    <row r="105" spans="1:41" x14ac:dyDescent="0.2">
      <c r="A105" s="2">
        <v>45169</v>
      </c>
      <c r="B105">
        <v>89.518203735351562</v>
      </c>
      <c r="C105">
        <v>294.07717895507812</v>
      </c>
      <c r="D105">
        <v>433.67999267578119</v>
      </c>
      <c r="E105">
        <v>49.321868896484382</v>
      </c>
      <c r="F105">
        <v>258.07998657226562</v>
      </c>
      <c r="G105" s="10">
        <v>5.2999999999999999E-2</v>
      </c>
      <c r="H105" s="9">
        <f t="shared" si="13"/>
        <v>2.6973735401834009E-2</v>
      </c>
      <c r="I105" s="9">
        <f t="shared" si="14"/>
        <v>-7.1280419347834245E-2</v>
      </c>
      <c r="J105" s="9">
        <f t="shared" si="15"/>
        <v>-1.2050956854024908E-2</v>
      </c>
      <c r="K105" s="9">
        <f t="shared" si="16"/>
        <v>5.6196535359795075E-2</v>
      </c>
      <c r="L105" s="9">
        <f t="shared" si="17"/>
        <v>-3.4962443852926572E-2</v>
      </c>
      <c r="M105" s="24">
        <f t="shared" si="18"/>
        <v>-6.4755391807947288E-3</v>
      </c>
      <c r="N105" s="24">
        <f t="shared" si="19"/>
        <v>-9.4830955182296617E-2</v>
      </c>
      <c r="O105" s="24">
        <f t="shared" si="20"/>
        <v>-4.2716495783964678E-2</v>
      </c>
      <c r="P105" s="24">
        <f t="shared" si="21"/>
        <v>-9.5521504267873092E-4</v>
      </c>
      <c r="Q105" s="24">
        <f t="shared" si="22"/>
        <v>-7.4512290809451265E-2</v>
      </c>
      <c r="AB105" s="9"/>
      <c r="AC105" s="20"/>
      <c r="AE105" s="22" cm="1">
        <f t="array" aca="1" ref="AE105" ca="1">SQRT(MMULT(MMULT(AG105:AK105,var_covar),TRANSPOSE(AG105:AK105)))</f>
        <v>0.14704040127140275</v>
      </c>
      <c r="AF105" s="22">
        <f t="shared" ca="1" si="23"/>
        <v>4.6888466944810525E-2</v>
      </c>
      <c r="AG105">
        <f ca="1"/>
        <v>-0.66862596264496044</v>
      </c>
      <c r="AH105">
        <f ca="1"/>
        <v>0.76312487700566878</v>
      </c>
      <c r="AI105">
        <f ca="1"/>
        <v>2.184483377016946E-2</v>
      </c>
      <c r="AJ105">
        <f ca="1"/>
        <v>0.88985645924060996</v>
      </c>
      <c r="AK105">
        <f ca="1"/>
        <v>-6.2002073714877513E-3</v>
      </c>
      <c r="AN105" s="9">
        <v>0.59413066632884726</v>
      </c>
      <c r="AO105" s="9">
        <v>-3.7880532279272933E-2</v>
      </c>
    </row>
    <row r="106" spans="1:41" x14ac:dyDescent="0.2">
      <c r="A106" s="2">
        <v>45199</v>
      </c>
      <c r="B106">
        <v>80.564353942871094</v>
      </c>
      <c r="C106">
        <v>298.37060546875</v>
      </c>
      <c r="D106">
        <v>377.60000610351562</v>
      </c>
      <c r="E106">
        <v>43.469795227050781</v>
      </c>
      <c r="F106">
        <v>250.2200012207031</v>
      </c>
      <c r="G106" s="10">
        <v>5.3200000000000004E-2</v>
      </c>
      <c r="H106" s="9">
        <f t="shared" si="13"/>
        <v>-0.1000226704609859</v>
      </c>
      <c r="I106" s="9">
        <f t="shared" si="14"/>
        <v>1.4599658936226723E-2</v>
      </c>
      <c r="J106" s="9">
        <f t="shared" si="15"/>
        <v>-0.12931190628890943</v>
      </c>
      <c r="K106" s="9">
        <f t="shared" si="16"/>
        <v>-0.11865068782603916</v>
      </c>
      <c r="L106" s="9">
        <f t="shared" si="17"/>
        <v>-3.0455617484936748E-2</v>
      </c>
      <c r="M106" s="24">
        <f t="shared" si="18"/>
        <v>-0.13347194504361465</v>
      </c>
      <c r="N106" s="24">
        <f t="shared" si="19"/>
        <v>-8.9508768982356421E-3</v>
      </c>
      <c r="O106" s="24">
        <f t="shared" si="20"/>
        <v>-0.15997744521884921</v>
      </c>
      <c r="P106" s="24">
        <f t="shared" si="21"/>
        <v>-0.17580243822851296</v>
      </c>
      <c r="Q106" s="24">
        <f t="shared" si="22"/>
        <v>-7.000546444146144E-2</v>
      </c>
      <c r="AB106" s="9"/>
      <c r="AC106" s="20"/>
      <c r="AE106" s="22" cm="1">
        <f t="array" aca="1" ref="AE106" ca="1">SQRT(MMULT(MMULT(AG106:AK106,var_covar),TRANSPOSE(AG106:AK106)))</f>
        <v>0.2041298832843795</v>
      </c>
      <c r="AF106" s="22">
        <f t="shared" ca="1" si="23"/>
        <v>5.4705192175365215E-2</v>
      </c>
      <c r="AG106">
        <f ca="1"/>
        <v>0.12647560114379131</v>
      </c>
      <c r="AH106">
        <f ca="1"/>
        <v>-0.31560571153737765</v>
      </c>
      <c r="AI106">
        <f ca="1"/>
        <v>-0.34001175423005009</v>
      </c>
      <c r="AJ106">
        <f ca="1"/>
        <v>0.44635375220926649</v>
      </c>
      <c r="AK106">
        <f ca="1"/>
        <v>1.0827881124143699</v>
      </c>
      <c r="AN106" s="9">
        <v>0.59115695813939972</v>
      </c>
      <c r="AO106" s="9">
        <v>0.18272894686197189</v>
      </c>
    </row>
    <row r="107" spans="1:41" x14ac:dyDescent="0.2">
      <c r="A107" s="2">
        <v>45230</v>
      </c>
      <c r="B107">
        <v>82.055442810058594</v>
      </c>
      <c r="C107">
        <v>299.42413330078119</v>
      </c>
      <c r="D107">
        <v>411.69000244140619</v>
      </c>
      <c r="E107">
        <v>40.755973815917969</v>
      </c>
      <c r="F107">
        <v>200.8399963378906</v>
      </c>
      <c r="G107" s="10">
        <v>5.3399999999999996E-2</v>
      </c>
      <c r="H107" s="9">
        <f t="shared" si="13"/>
        <v>1.850804722203625E-2</v>
      </c>
      <c r="I107" s="9">
        <f t="shared" si="14"/>
        <v>3.5309370719547317E-3</v>
      </c>
      <c r="J107" s="9">
        <f t="shared" si="15"/>
        <v>9.0280709181305152E-2</v>
      </c>
      <c r="K107" s="9">
        <f t="shared" si="16"/>
        <v>-6.2430048196869148E-2</v>
      </c>
      <c r="L107" s="9">
        <f t="shared" si="17"/>
        <v>-0.19734635377632159</v>
      </c>
      <c r="M107" s="24">
        <f t="shared" si="18"/>
        <v>-1.4941227360592488E-2</v>
      </c>
      <c r="N107" s="24">
        <f t="shared" si="19"/>
        <v>-2.0019598762507633E-2</v>
      </c>
      <c r="O107" s="24">
        <f t="shared" si="20"/>
        <v>5.9615170251365382E-2</v>
      </c>
      <c r="P107" s="24">
        <f t="shared" si="21"/>
        <v>-0.11958179859934295</v>
      </c>
      <c r="Q107" s="24">
        <f t="shared" si="22"/>
        <v>-0.23689620073284628</v>
      </c>
      <c r="AB107" s="9"/>
      <c r="AC107" s="20"/>
      <c r="AE107" s="22" cm="1">
        <f t="array" aca="1" ref="AE107" ca="1">SQRT(MMULT(MMULT(AG107:AK107,var_covar),TRANSPOSE(AG107:AK107)))</f>
        <v>0.78306433865931491</v>
      </c>
      <c r="AF107" s="22">
        <f t="shared" ca="1" si="23"/>
        <v>-0.11490901638174082</v>
      </c>
      <c r="AG107">
        <f ca="1"/>
        <v>-2.1412250817928324</v>
      </c>
      <c r="AH107">
        <f ca="1"/>
        <v>4.2008669093356739</v>
      </c>
      <c r="AI107">
        <f ca="1"/>
        <v>1.0421439505394328</v>
      </c>
      <c r="AJ107">
        <f ca="1"/>
        <v>-5.1728415434540027</v>
      </c>
      <c r="AK107">
        <f ca="1"/>
        <v>3.071055765371729</v>
      </c>
      <c r="AN107" s="9">
        <v>0.59030320313744034</v>
      </c>
      <c r="AO107" s="9">
        <v>-7.1175412286977657E-2</v>
      </c>
    </row>
    <row r="108" spans="1:41" x14ac:dyDescent="0.2">
      <c r="A108" s="2">
        <v>45260</v>
      </c>
      <c r="B108">
        <v>90.282737731933594</v>
      </c>
      <c r="C108">
        <v>325.14556884765619</v>
      </c>
      <c r="D108">
        <v>473.97000122070312</v>
      </c>
      <c r="E108">
        <v>46.742446899414062</v>
      </c>
      <c r="F108">
        <v>240.08000183105469</v>
      </c>
      <c r="G108" s="10">
        <v>5.2699999999999997E-2</v>
      </c>
      <c r="H108" s="9">
        <f t="shared" si="13"/>
        <v>0.10026507249396599</v>
      </c>
      <c r="I108" s="9">
        <f t="shared" si="14"/>
        <v>8.5903014106872178E-2</v>
      </c>
      <c r="J108" s="9">
        <f t="shared" si="15"/>
        <v>0.15127887101936843</v>
      </c>
      <c r="K108" s="9">
        <f t="shared" si="16"/>
        <v>0.14688578196009083</v>
      </c>
      <c r="L108" s="9">
        <f t="shared" si="17"/>
        <v>0.19537943740621877</v>
      </c>
      <c r="M108" s="24">
        <f t="shared" si="18"/>
        <v>6.6815797911337252E-2</v>
      </c>
      <c r="N108" s="24">
        <f t="shared" si="19"/>
        <v>6.2352478272409813E-2</v>
      </c>
      <c r="O108" s="24">
        <f t="shared" si="20"/>
        <v>0.12061333208942866</v>
      </c>
      <c r="P108" s="24">
        <f t="shared" si="21"/>
        <v>8.9734031557617028E-2</v>
      </c>
      <c r="Q108" s="24">
        <f t="shared" si="22"/>
        <v>0.15582959044969408</v>
      </c>
      <c r="AB108" s="9"/>
      <c r="AC108" s="20"/>
      <c r="AE108" s="22" cm="1">
        <f t="array" aca="1" ref="AE108" ca="1">SQRT(MMULT(MMULT(AG108:AK108,var_covar),TRANSPOSE(AG108:AK108)))</f>
        <v>0.12126453152128429</v>
      </c>
      <c r="AF108" s="22">
        <f t="shared" ca="1" si="23"/>
        <v>5.1370346983539747E-2</v>
      </c>
      <c r="AG108">
        <f ca="1"/>
        <v>-0.10544162949702941</v>
      </c>
      <c r="AH108">
        <f ca="1"/>
        <v>0.2102331628239342</v>
      </c>
      <c r="AI108">
        <f ca="1"/>
        <v>-4.4513112549528874E-2</v>
      </c>
      <c r="AJ108">
        <f ca="1"/>
        <v>0.80362691203067382</v>
      </c>
      <c r="AK108">
        <f ca="1"/>
        <v>0.13609466719195021</v>
      </c>
      <c r="AN108" s="9">
        <v>0.58337101702189786</v>
      </c>
      <c r="AO108" s="9">
        <v>-2.1452972309350671E-3</v>
      </c>
    </row>
    <row r="109" spans="1:41" x14ac:dyDescent="0.2">
      <c r="A109" s="2">
        <v>45291</v>
      </c>
      <c r="B109">
        <v>108.86338806152339</v>
      </c>
      <c r="C109">
        <v>351.79129028320312</v>
      </c>
      <c r="D109">
        <v>486.8800048828125</v>
      </c>
      <c r="E109">
        <v>49.492828369140618</v>
      </c>
      <c r="F109">
        <v>248.47999572753909</v>
      </c>
      <c r="G109" s="10">
        <v>5.2400000000000002E-2</v>
      </c>
      <c r="H109" s="9">
        <f t="shared" si="13"/>
        <v>0.20580512727426625</v>
      </c>
      <c r="I109" s="9">
        <f t="shared" si="14"/>
        <v>8.1950129383530079E-2</v>
      </c>
      <c r="J109" s="9">
        <f t="shared" si="15"/>
        <v>2.723801850087515E-2</v>
      </c>
      <c r="K109" s="9">
        <f t="shared" si="16"/>
        <v>5.884119579030922E-2</v>
      </c>
      <c r="L109" s="9">
        <f t="shared" si="17"/>
        <v>3.498831153123505E-2</v>
      </c>
      <c r="M109" s="24">
        <f t="shared" si="18"/>
        <v>0.1723558526916375</v>
      </c>
      <c r="N109" s="24">
        <f t="shared" si="19"/>
        <v>5.8399593549067715E-2</v>
      </c>
      <c r="O109" s="24">
        <f t="shared" si="20"/>
        <v>-3.4275204290646205E-3</v>
      </c>
      <c r="P109" s="24">
        <f t="shared" si="21"/>
        <v>1.6894453878354143E-3</v>
      </c>
      <c r="Q109" s="24">
        <f t="shared" si="22"/>
        <v>-4.5615354252896423E-3</v>
      </c>
      <c r="AB109" s="9"/>
      <c r="AC109" s="20"/>
      <c r="AE109" s="22" cm="1">
        <f t="array" aca="1" ref="AE109" ca="1">SQRT(MMULT(MMULT(AG109:AK109,var_covar),TRANSPOSE(AG109:AK109)))</f>
        <v>0.18502302586306238</v>
      </c>
      <c r="AF109" s="22">
        <f t="shared" ca="1" si="23"/>
        <v>3.679779649379214E-2</v>
      </c>
      <c r="AG109">
        <f ca="1"/>
        <v>1.5285889578050373</v>
      </c>
      <c r="AH109">
        <f ca="1"/>
        <v>0.15848365275325779</v>
      </c>
      <c r="AI109">
        <f ca="1"/>
        <v>-1.0856518481975395</v>
      </c>
      <c r="AJ109">
        <f ca="1"/>
        <v>-3.0475059598515382E-2</v>
      </c>
      <c r="AK109">
        <f ca="1"/>
        <v>0.4290542972377594</v>
      </c>
      <c r="AN109" s="9">
        <v>0.58335487321497292</v>
      </c>
      <c r="AO109" s="9">
        <v>0.13076481043347912</v>
      </c>
    </row>
    <row r="110" spans="1:41" x14ac:dyDescent="0.2">
      <c r="A110" s="2">
        <v>45322</v>
      </c>
      <c r="B110">
        <v>115.60984039306641</v>
      </c>
      <c r="C110">
        <v>387.74966430664062</v>
      </c>
      <c r="D110">
        <v>564.1099853515625</v>
      </c>
      <c r="E110">
        <v>61.496170043945312</v>
      </c>
      <c r="F110">
        <v>187.28999328613281</v>
      </c>
      <c r="G110" s="10">
        <v>5.2199999999999996E-2</v>
      </c>
      <c r="H110" s="9">
        <f t="shared" si="13"/>
        <v>6.1971728527595582E-2</v>
      </c>
      <c r="I110" s="9">
        <f t="shared" si="14"/>
        <v>0.1022150775662749</v>
      </c>
      <c r="J110" s="9">
        <f t="shared" si="15"/>
        <v>0.15862220607588617</v>
      </c>
      <c r="K110" s="9">
        <f t="shared" si="16"/>
        <v>0.24252688864896088</v>
      </c>
      <c r="L110" s="9">
        <f t="shared" si="17"/>
        <v>-0.24625725810339172</v>
      </c>
      <c r="M110" s="24">
        <f t="shared" si="18"/>
        <v>2.8522453944966844E-2</v>
      </c>
      <c r="N110" s="24">
        <f t="shared" si="19"/>
        <v>7.8664541731812532E-2</v>
      </c>
      <c r="O110" s="24">
        <f t="shared" si="20"/>
        <v>0.12795666714594639</v>
      </c>
      <c r="P110" s="24">
        <f t="shared" si="21"/>
        <v>0.18537513824648708</v>
      </c>
      <c r="Q110" s="24">
        <f t="shared" si="22"/>
        <v>-0.28580710505991641</v>
      </c>
      <c r="AB110" s="9"/>
      <c r="AC110" s="20"/>
      <c r="AE110" s="22" cm="1">
        <f t="array" aca="1" ref="AE110" ca="1">SQRT(MMULT(MMULT(AG110:AK110,var_covar),TRANSPOSE(AG110:AK110)))</f>
        <v>9.2811609717957724E-2</v>
      </c>
      <c r="AF110" s="22">
        <f t="shared" ca="1" si="23"/>
        <v>2.635106680415638E-2</v>
      </c>
      <c r="AG110">
        <f ca="1"/>
        <v>0.19237587049169241</v>
      </c>
      <c r="AH110">
        <f ca="1"/>
        <v>0.56212368012815372</v>
      </c>
      <c r="AI110">
        <f ca="1"/>
        <v>0.43733904231842707</v>
      </c>
      <c r="AJ110">
        <f ca="1"/>
        <v>4.8510047940953469E-2</v>
      </c>
      <c r="AK110">
        <f ca="1"/>
        <v>-0.24034864087922661</v>
      </c>
      <c r="AN110" s="9">
        <v>0.58049543063864917</v>
      </c>
      <c r="AO110" s="9">
        <v>7.5415570896354839E-2</v>
      </c>
    </row>
    <row r="111" spans="1:41" x14ac:dyDescent="0.2">
      <c r="A111" s="2">
        <v>45351</v>
      </c>
      <c r="B111">
        <v>127.41477203369141</v>
      </c>
      <c r="C111">
        <v>487.12701416015619</v>
      </c>
      <c r="D111">
        <v>602.91998291015625</v>
      </c>
      <c r="E111">
        <v>79.072349548339844</v>
      </c>
      <c r="F111">
        <v>201.8800048828125</v>
      </c>
      <c r="G111" s="10">
        <v>5.2400000000000002E-2</v>
      </c>
      <c r="H111" s="9">
        <f t="shared" si="13"/>
        <v>0.10211009374711488</v>
      </c>
      <c r="I111" s="9">
        <f t="shared" si="14"/>
        <v>0.25629254903732379</v>
      </c>
      <c r="J111" s="9">
        <f t="shared" si="15"/>
        <v>6.879863602202807E-2</v>
      </c>
      <c r="K111" s="9">
        <f t="shared" si="16"/>
        <v>0.2858093356356104</v>
      </c>
      <c r="L111" s="9">
        <f t="shared" si="17"/>
        <v>7.7900646696002385E-2</v>
      </c>
      <c r="M111" s="24">
        <f t="shared" si="18"/>
        <v>6.8660819164486145E-2</v>
      </c>
      <c r="N111" s="24">
        <f t="shared" si="19"/>
        <v>0.23274201320286142</v>
      </c>
      <c r="O111" s="24">
        <f t="shared" si="20"/>
        <v>3.81330970920883E-2</v>
      </c>
      <c r="P111" s="24">
        <f t="shared" si="21"/>
        <v>0.22865758523313659</v>
      </c>
      <c r="Q111" s="24">
        <f t="shared" si="22"/>
        <v>3.8350799739477692E-2</v>
      </c>
      <c r="AB111" s="9"/>
      <c r="AC111" s="20"/>
      <c r="AE111" s="22" cm="1">
        <f t="array" aca="1" ref="AE111" ca="1">SQRT(MMULT(MMULT(AG111:AK111,var_covar),TRANSPOSE(AG111:AK111)))</f>
        <v>0.51614651958286184</v>
      </c>
      <c r="AF111" s="22">
        <f t="shared" ca="1" si="23"/>
        <v>8.5599389378145332E-2</v>
      </c>
      <c r="AG111">
        <f ca="1"/>
        <v>0.70052488601957752</v>
      </c>
      <c r="AH111">
        <f ca="1"/>
        <v>-2.3390927114673961</v>
      </c>
      <c r="AI111">
        <f ca="1"/>
        <v>2.6133079126038399</v>
      </c>
      <c r="AJ111">
        <f ca="1"/>
        <v>2.0518636367465768</v>
      </c>
      <c r="AK111">
        <f ca="1"/>
        <v>-2.0266037239025985</v>
      </c>
      <c r="AN111" s="9">
        <v>0.57562421404114406</v>
      </c>
      <c r="AO111" s="9">
        <v>-6.2900690985895014E-2</v>
      </c>
    </row>
    <row r="112" spans="1:41" x14ac:dyDescent="0.2">
      <c r="A112" s="2">
        <v>45382</v>
      </c>
      <c r="B112">
        <v>129.85630798339841</v>
      </c>
      <c r="C112">
        <v>483.116943359375</v>
      </c>
      <c r="D112">
        <v>607.33001708984375</v>
      </c>
      <c r="E112">
        <v>90.310722351074219</v>
      </c>
      <c r="F112">
        <v>175.78999328613281</v>
      </c>
      <c r="G112" s="10">
        <v>5.2400000000000002E-2</v>
      </c>
      <c r="H112" s="9">
        <f t="shared" si="13"/>
        <v>1.9162110568007096E-2</v>
      </c>
      <c r="I112" s="9">
        <f t="shared" si="14"/>
        <v>-8.23208461902869E-3</v>
      </c>
      <c r="J112" s="9">
        <f t="shared" si="15"/>
        <v>7.3144601351597949E-3</v>
      </c>
      <c r="K112" s="9">
        <f t="shared" si="16"/>
        <v>0.14212772058662493</v>
      </c>
      <c r="L112" s="9">
        <f t="shared" si="17"/>
        <v>-0.12923524353897475</v>
      </c>
      <c r="M112" s="24">
        <f t="shared" si="18"/>
        <v>-1.4287164014621642E-2</v>
      </c>
      <c r="N112" s="24">
        <f t="shared" si="19"/>
        <v>-3.1782620453491055E-2</v>
      </c>
      <c r="O112" s="24">
        <f t="shared" si="20"/>
        <v>-2.3351078794779975E-2</v>
      </c>
      <c r="P112" s="24">
        <f t="shared" si="21"/>
        <v>8.4975970184151123E-2</v>
      </c>
      <c r="Q112" s="24">
        <f t="shared" si="22"/>
        <v>-0.16878509049549945</v>
      </c>
      <c r="AB112" s="9"/>
      <c r="AC112" s="20"/>
      <c r="AE112" s="22" cm="1">
        <f t="array" aca="1" ref="AE112" ca="1">SQRT(MMULT(MMULT(AG112:AK112,var_covar),TRANSPOSE(AG112:AK112)))</f>
        <v>0.14881755907618421</v>
      </c>
      <c r="AF112" s="22">
        <f t="shared" ca="1" si="23"/>
        <v>3.9487805516330368E-2</v>
      </c>
      <c r="AG112">
        <f ca="1"/>
        <v>8.1634035625207726E-2</v>
      </c>
      <c r="AH112">
        <f ca="1"/>
        <v>0.19802396381176382</v>
      </c>
      <c r="AI112">
        <f ca="1"/>
        <v>0.71790040900644181</v>
      </c>
      <c r="AJ112">
        <f ca="1"/>
        <v>0.56711300034319356</v>
      </c>
      <c r="AK112">
        <f ca="1"/>
        <v>-0.56467140878660671</v>
      </c>
      <c r="AN112" s="9">
        <v>0.57419064386050267</v>
      </c>
      <c r="AO112" s="9">
        <v>1.5000533008102751E-2</v>
      </c>
    </row>
    <row r="113" spans="1:41" x14ac:dyDescent="0.2">
      <c r="A113" s="2">
        <v>45412</v>
      </c>
      <c r="B113">
        <v>127.9357604980469</v>
      </c>
      <c r="C113">
        <v>427.98800659179688</v>
      </c>
      <c r="D113">
        <v>550.6400146484375</v>
      </c>
      <c r="E113">
        <v>86.362762451171875</v>
      </c>
      <c r="F113">
        <v>183.2799987792969</v>
      </c>
      <c r="G113" s="10">
        <v>5.2400000000000002E-2</v>
      </c>
      <c r="H113" s="9">
        <f t="shared" si="13"/>
        <v>-1.4789789692750577E-2</v>
      </c>
      <c r="I113" s="9">
        <f t="shared" si="14"/>
        <v>-0.11411095703710294</v>
      </c>
      <c r="J113" s="9">
        <f t="shared" si="15"/>
        <v>-9.3342994494243769E-2</v>
      </c>
      <c r="K113" s="9">
        <f t="shared" si="16"/>
        <v>-4.3715295339517124E-2</v>
      </c>
      <c r="L113" s="9">
        <f t="shared" si="17"/>
        <v>4.2607689739043497E-2</v>
      </c>
      <c r="M113" s="24">
        <f t="shared" si="18"/>
        <v>-4.8239064275379315E-2</v>
      </c>
      <c r="N113" s="24">
        <f t="shared" si="19"/>
        <v>-0.13766149287156532</v>
      </c>
      <c r="O113" s="24">
        <f t="shared" si="20"/>
        <v>-0.12400853342418354</v>
      </c>
      <c r="P113" s="24">
        <f t="shared" si="21"/>
        <v>-0.10086704574199093</v>
      </c>
      <c r="Q113" s="24">
        <f t="shared" si="22"/>
        <v>3.0578427825188048E-3</v>
      </c>
      <c r="AB113" s="9"/>
      <c r="AC113" s="20"/>
      <c r="AE113" s="22" cm="1">
        <f t="array" aca="1" ref="AE113" ca="1">SQRT(MMULT(MMULT(AG113:AK113,var_covar),TRANSPOSE(AG113:AK113)))</f>
        <v>4.1877129624811227</v>
      </c>
      <c r="AF113" s="22">
        <f t="shared" ca="1" si="23"/>
        <v>-0.54629461370242294</v>
      </c>
      <c r="AG113">
        <f ca="1"/>
        <v>-5.046166141633134</v>
      </c>
      <c r="AH113">
        <f ca="1"/>
        <v>36.653610295817487</v>
      </c>
      <c r="AI113">
        <f ca="1"/>
        <v>-8.3504545590557075</v>
      </c>
      <c r="AJ113">
        <f ca="1"/>
        <v>-5.9302937510287963</v>
      </c>
      <c r="AK113">
        <f ca="1"/>
        <v>-16.326695844099849</v>
      </c>
      <c r="AN113" s="9">
        <v>0.5727837513993741</v>
      </c>
      <c r="AO113" s="9">
        <v>6.7830412143685653E-2</v>
      </c>
    </row>
    <row r="114" spans="1:41" x14ac:dyDescent="0.2">
      <c r="A114" s="2">
        <v>45443</v>
      </c>
      <c r="B114">
        <v>130.71827697753909</v>
      </c>
      <c r="C114">
        <v>464.46206665039062</v>
      </c>
      <c r="D114">
        <v>641.6199951171875</v>
      </c>
      <c r="E114">
        <v>109.5831985473633</v>
      </c>
      <c r="F114">
        <v>178.08000183105469</v>
      </c>
      <c r="G114" s="10">
        <v>5.2499999999999998E-2</v>
      </c>
      <c r="H114" s="9">
        <f t="shared" si="13"/>
        <v>2.1749325354068372E-2</v>
      </c>
      <c r="I114" s="9">
        <f t="shared" si="14"/>
        <v>8.5222154585704812E-2</v>
      </c>
      <c r="J114" s="9">
        <f t="shared" si="15"/>
        <v>0.16522587906517705</v>
      </c>
      <c r="K114" s="9">
        <f t="shared" si="16"/>
        <v>0.26887092813085833</v>
      </c>
      <c r="L114" s="9">
        <f t="shared" si="17"/>
        <v>-2.8371873542535231E-2</v>
      </c>
      <c r="M114" s="24">
        <f t="shared" si="18"/>
        <v>-1.1699949228560366E-2</v>
      </c>
      <c r="N114" s="24">
        <f t="shared" si="19"/>
        <v>6.1671618751242448E-2</v>
      </c>
      <c r="O114" s="24">
        <f t="shared" si="20"/>
        <v>0.13456034013523727</v>
      </c>
      <c r="P114" s="24">
        <f t="shared" si="21"/>
        <v>0.21171917772838453</v>
      </c>
      <c r="Q114" s="24">
        <f t="shared" si="22"/>
        <v>-6.7921720499059923E-2</v>
      </c>
      <c r="AB114" s="9"/>
      <c r="AC114" s="20"/>
      <c r="AE114" s="22" cm="1">
        <f t="array" aca="1" ref="AE114" ca="1">SQRT(MMULT(MMULT(AG114:AK114,var_covar),TRANSPOSE(AG114:AK114)))</f>
        <v>1.0616441531068279</v>
      </c>
      <c r="AF114" s="22">
        <f t="shared" ca="1" si="23"/>
        <v>-6.9641832746045906E-2</v>
      </c>
      <c r="AG114">
        <f ca="1"/>
        <v>-0.11478683967901736</v>
      </c>
      <c r="AH114">
        <f ca="1"/>
        <v>4.8733480705728729</v>
      </c>
      <c r="AI114">
        <f ca="1"/>
        <v>2.7300486435564295</v>
      </c>
      <c r="AJ114">
        <f ca="1"/>
        <v>-0.43558584928236921</v>
      </c>
      <c r="AK114">
        <f ca="1"/>
        <v>-6.0530240251679164</v>
      </c>
      <c r="AN114" s="9">
        <v>0.57024369248545326</v>
      </c>
      <c r="AO114" s="9">
        <v>-0.11095858861429045</v>
      </c>
    </row>
    <row r="115" spans="1:41" x14ac:dyDescent="0.2">
      <c r="A115" s="2">
        <v>45473</v>
      </c>
      <c r="B115">
        <v>157.9707946777344</v>
      </c>
      <c r="C115">
        <v>501.66241455078119</v>
      </c>
      <c r="D115">
        <v>674.8800048828125</v>
      </c>
      <c r="E115">
        <v>123.48387145996089</v>
      </c>
      <c r="F115">
        <v>197.8800048828125</v>
      </c>
      <c r="G115" s="10">
        <v>5.2400000000000002E-2</v>
      </c>
      <c r="H115" s="9">
        <f t="shared" si="13"/>
        <v>0.2084828405814898</v>
      </c>
      <c r="I115" s="9">
        <f t="shared" si="14"/>
        <v>8.0093403899853755E-2</v>
      </c>
      <c r="J115" s="9">
        <f t="shared" si="15"/>
        <v>5.1837551851154906E-2</v>
      </c>
      <c r="K115" s="9">
        <f t="shared" si="16"/>
        <v>0.12685040313538165</v>
      </c>
      <c r="L115" s="9">
        <f t="shared" si="17"/>
        <v>0.11118599982126098</v>
      </c>
      <c r="M115" s="24">
        <f t="shared" si="18"/>
        <v>0.17503356599886105</v>
      </c>
      <c r="N115" s="24">
        <f t="shared" si="19"/>
        <v>5.654286806539139E-2</v>
      </c>
      <c r="O115" s="24">
        <f t="shared" si="20"/>
        <v>2.1172012921215136E-2</v>
      </c>
      <c r="P115" s="24">
        <f t="shared" si="21"/>
        <v>6.9698652732907845E-2</v>
      </c>
      <c r="Q115" s="24">
        <f t="shared" si="22"/>
        <v>7.1636152864736291E-2</v>
      </c>
      <c r="AB115" s="9"/>
      <c r="AC115" s="20"/>
      <c r="AE115" s="22" cm="1">
        <f t="array" aca="1" ref="AE115" ca="1">SQRT(MMULT(MMULT(AG115:AK115,var_covar),TRANSPOSE(AG115:AK115)))</f>
        <v>8.2460117590604537E-2</v>
      </c>
      <c r="AF115" s="22">
        <f t="shared" ca="1" si="23"/>
        <v>2.8067098176857801E-2</v>
      </c>
      <c r="AG115">
        <f ca="1"/>
        <v>0.11763592543823799</v>
      </c>
      <c r="AH115">
        <f ca="1"/>
        <v>0.52842492026393717</v>
      </c>
      <c r="AI115">
        <f ca="1"/>
        <v>0.22756333942155099</v>
      </c>
      <c r="AJ115">
        <f ca="1"/>
        <v>-1.6414406357519229E-2</v>
      </c>
      <c r="AK115">
        <f ca="1"/>
        <v>0.14279022123379309</v>
      </c>
      <c r="AN115" s="9">
        <v>0.57001816693090923</v>
      </c>
      <c r="AO115" s="9">
        <v>-5.1157630358052014E-2</v>
      </c>
    </row>
    <row r="116" spans="1:41" x14ac:dyDescent="0.2">
      <c r="A116" s="2">
        <v>45504</v>
      </c>
      <c r="B116">
        <v>158.5977478027344</v>
      </c>
      <c r="C116">
        <v>472.89053344726562</v>
      </c>
      <c r="D116">
        <v>628.3499755859375</v>
      </c>
      <c r="E116">
        <v>116.976432800293</v>
      </c>
      <c r="F116">
        <v>232.07000732421881</v>
      </c>
      <c r="G116" s="10">
        <v>5.2000000000000005E-2</v>
      </c>
      <c r="H116" s="9">
        <f t="shared" si="13"/>
        <v>3.9687913596877511E-3</v>
      </c>
      <c r="I116" s="9">
        <f t="shared" si="14"/>
        <v>-5.7353073040721347E-2</v>
      </c>
      <c r="J116" s="9">
        <f t="shared" si="15"/>
        <v>-6.8945633238837178E-2</v>
      </c>
      <c r="K116" s="9">
        <f t="shared" si="16"/>
        <v>-5.2698693219850212E-2</v>
      </c>
      <c r="L116" s="9">
        <f t="shared" si="17"/>
        <v>0.17278149180183289</v>
      </c>
      <c r="M116" s="24">
        <f t="shared" si="18"/>
        <v>-2.9480483222940987E-2</v>
      </c>
      <c r="N116" s="24">
        <f t="shared" si="19"/>
        <v>-8.0903608875183719E-2</v>
      </c>
      <c r="O116" s="24">
        <f t="shared" si="20"/>
        <v>-9.9611172168776949E-2</v>
      </c>
      <c r="P116" s="24">
        <f t="shared" si="21"/>
        <v>-0.10985044362232402</v>
      </c>
      <c r="Q116" s="24">
        <f t="shared" si="22"/>
        <v>0.13323164484530819</v>
      </c>
      <c r="AB116" s="9"/>
      <c r="AC116" s="20"/>
      <c r="AE116" s="22" cm="1">
        <f t="array" aca="1" ref="AE116" ca="1">SQRT(MMULT(MMULT(AG116:AK116,var_covar),TRANSPOSE(AG116:AK116)))</f>
        <v>0.16898444376789193</v>
      </c>
      <c r="AF116" s="22">
        <f t="shared" ca="1" si="23"/>
        <v>2.9879307711835935E-2</v>
      </c>
      <c r="AG116">
        <f ca="1"/>
        <v>2.0571415054470119</v>
      </c>
      <c r="AH116">
        <f ca="1"/>
        <v>-0.59506011076702126</v>
      </c>
      <c r="AI116">
        <f ca="1"/>
        <v>1.8673342840253123E-2</v>
      </c>
      <c r="AJ116">
        <f ca="1"/>
        <v>-0.36788354998424033</v>
      </c>
      <c r="AK116">
        <f ca="1"/>
        <v>-0.11287118753600354</v>
      </c>
      <c r="AN116" s="9">
        <v>0.56878524882476555</v>
      </c>
      <c r="AO116" s="9">
        <v>7.4114358102123856E-2</v>
      </c>
    </row>
    <row r="117" spans="1:41" x14ac:dyDescent="0.2">
      <c r="A117" s="2">
        <v>45535</v>
      </c>
      <c r="B117">
        <v>160.71002197265619</v>
      </c>
      <c r="C117">
        <v>519.18072509765625</v>
      </c>
      <c r="D117">
        <v>701.3499755859375</v>
      </c>
      <c r="E117">
        <v>119.32557678222661</v>
      </c>
      <c r="F117">
        <v>214.11000061035159</v>
      </c>
      <c r="G117" s="10">
        <v>5.0499999999999996E-2</v>
      </c>
      <c r="H117" s="9">
        <f t="shared" si="13"/>
        <v>1.3318437362358049E-2</v>
      </c>
      <c r="I117" s="9">
        <f t="shared" si="14"/>
        <v>9.7887752822932494E-2</v>
      </c>
      <c r="J117" s="9">
        <f t="shared" si="15"/>
        <v>0.1161772942410435</v>
      </c>
      <c r="K117" s="9">
        <f t="shared" si="16"/>
        <v>2.0082198830119635E-2</v>
      </c>
      <c r="L117" s="9">
        <f t="shared" si="17"/>
        <v>-7.7390469026769937E-2</v>
      </c>
      <c r="M117" s="24">
        <f t="shared" si="18"/>
        <v>-2.0130837220270689E-2</v>
      </c>
      <c r="N117" s="24">
        <f t="shared" si="19"/>
        <v>7.4337216988470123E-2</v>
      </c>
      <c r="O117" s="24">
        <f t="shared" si="20"/>
        <v>8.5511755311103735E-2</v>
      </c>
      <c r="P117" s="24">
        <f t="shared" si="21"/>
        <v>-3.706955157235417E-2</v>
      </c>
      <c r="Q117" s="24">
        <f t="shared" si="22"/>
        <v>-0.11694031598329463</v>
      </c>
      <c r="AB117" s="9"/>
      <c r="AC117" s="20"/>
      <c r="AE117" s="22" cm="1">
        <f t="array" aca="1" ref="AE117" ca="1">SQRT(MMULT(MMULT(AG117:AK117,var_covar),TRANSPOSE(AG117:AK117)))</f>
        <v>0.15817322176202128</v>
      </c>
      <c r="AF117" s="22">
        <f t="shared" ca="1" si="23"/>
        <v>5.0625695151595936E-2</v>
      </c>
      <c r="AG117">
        <f ca="1"/>
        <v>-0.28242399448391808</v>
      </c>
      <c r="AH117">
        <f ca="1"/>
        <v>-7.7123016054916144E-2</v>
      </c>
      <c r="AI117">
        <f ca="1"/>
        <v>0.12235358784631986</v>
      </c>
      <c r="AJ117">
        <f ca="1"/>
        <v>0.52301230028426771</v>
      </c>
      <c r="AK117">
        <f ca="1"/>
        <v>0.7141811224082466</v>
      </c>
      <c r="AN117" s="9">
        <v>0.56828024129304411</v>
      </c>
      <c r="AO117" s="9">
        <v>3.7340019779816144E-2</v>
      </c>
    </row>
    <row r="118" spans="1:41" x14ac:dyDescent="0.2">
      <c r="A118" s="2">
        <v>45565</v>
      </c>
      <c r="B118">
        <v>170.26458740234381</v>
      </c>
      <c r="C118">
        <v>570.101806640625</v>
      </c>
      <c r="D118">
        <v>709.27001953125</v>
      </c>
      <c r="E118">
        <v>121.3948059082031</v>
      </c>
      <c r="F118">
        <v>261.6300048828125</v>
      </c>
      <c r="G118" s="10">
        <v>4.7199999999999999E-2</v>
      </c>
      <c r="H118" s="9">
        <f t="shared" si="13"/>
        <v>5.9452206604223345E-2</v>
      </c>
      <c r="I118" s="9">
        <f t="shared" si="14"/>
        <v>9.8079684166608283E-2</v>
      </c>
      <c r="J118" s="9">
        <f t="shared" si="15"/>
        <v>1.1292570358608423E-2</v>
      </c>
      <c r="K118" s="9">
        <f t="shared" si="16"/>
        <v>1.7341036027447077E-2</v>
      </c>
      <c r="L118" s="9">
        <f t="shared" si="17"/>
        <v>0.22194201175563144</v>
      </c>
      <c r="M118" s="24">
        <f t="shared" si="18"/>
        <v>2.6002932021594607E-2</v>
      </c>
      <c r="N118" s="24">
        <f t="shared" si="19"/>
        <v>7.4529148332145911E-2</v>
      </c>
      <c r="O118" s="24">
        <f t="shared" si="20"/>
        <v>-1.9372968571331348E-2</v>
      </c>
      <c r="P118" s="24">
        <f t="shared" si="21"/>
        <v>-3.9810714375026729E-2</v>
      </c>
      <c r="Q118" s="24">
        <f t="shared" si="22"/>
        <v>0.18239216479910675</v>
      </c>
      <c r="AB118" s="9"/>
      <c r="AC118" s="20"/>
      <c r="AE118" s="22" cm="1">
        <f t="array" aca="1" ref="AE118" ca="1">SQRT(MMULT(MMULT(AG118:AK118,var_covar),TRANSPOSE(AG118:AK118)))</f>
        <v>0.17648399492987379</v>
      </c>
      <c r="AF118" s="22">
        <f t="shared" ca="1" si="23"/>
        <v>5.181583169355234E-2</v>
      </c>
      <c r="AG118">
        <f ca="1"/>
        <v>0.19340100414745875</v>
      </c>
      <c r="AH118">
        <f ca="1"/>
        <v>-0.85262873337400402</v>
      </c>
      <c r="AI118">
        <f ca="1"/>
        <v>0.68277994848552115</v>
      </c>
      <c r="AJ118">
        <f ca="1"/>
        <v>0.33350918995211942</v>
      </c>
      <c r="AK118">
        <f ca="1"/>
        <v>0.6429385907889047</v>
      </c>
      <c r="AN118" s="9">
        <v>0.56056602703559189</v>
      </c>
      <c r="AO118" s="9">
        <v>7.9073148532600279E-2</v>
      </c>
    </row>
    <row r="119" spans="1:41" x14ac:dyDescent="0.2">
      <c r="A119" s="2">
        <v>45596</v>
      </c>
      <c r="B119">
        <v>168.1211242675781</v>
      </c>
      <c r="C119">
        <v>565.80096435546875</v>
      </c>
      <c r="D119">
        <v>756.030029296875</v>
      </c>
      <c r="E119">
        <v>132.72193908691409</v>
      </c>
      <c r="F119">
        <v>249.8500061035156</v>
      </c>
      <c r="G119" s="10">
        <v>4.5100000000000001E-2</v>
      </c>
      <c r="H119" s="9">
        <f t="shared" si="13"/>
        <v>-1.258901317923844E-2</v>
      </c>
      <c r="I119" s="9">
        <f t="shared" si="14"/>
        <v>-7.5439899243598951E-3</v>
      </c>
      <c r="J119" s="9">
        <f t="shared" si="15"/>
        <v>6.5926950918534954E-2</v>
      </c>
      <c r="K119" s="9">
        <f t="shared" si="16"/>
        <v>9.3308219358877675E-2</v>
      </c>
      <c r="L119" s="9">
        <f t="shared" si="17"/>
        <v>-4.5025412068364745E-2</v>
      </c>
      <c r="M119" s="24">
        <f t="shared" si="18"/>
        <v>-4.6038287761867178E-2</v>
      </c>
      <c r="N119" s="24">
        <f t="shared" si="19"/>
        <v>-3.109452575882226E-2</v>
      </c>
      <c r="O119" s="24">
        <f t="shared" si="20"/>
        <v>3.5261411988595184E-2</v>
      </c>
      <c r="P119" s="24">
        <f t="shared" si="21"/>
        <v>3.615646895640387E-2</v>
      </c>
      <c r="Q119" s="24">
        <f t="shared" si="22"/>
        <v>-8.4575259024889438E-2</v>
      </c>
      <c r="AB119" s="9"/>
      <c r="AC119" s="20"/>
      <c r="AE119" s="22" cm="1">
        <f t="array" aca="1" ref="AE119" ca="1">SQRT(MMULT(MMULT(AG119:AK119,var_covar),TRANSPOSE(AG119:AK119)))</f>
        <v>0.11227896274689074</v>
      </c>
      <c r="AF119" s="22">
        <f t="shared" ca="1" si="23"/>
        <v>2.4363507411248785E-2</v>
      </c>
      <c r="AG119">
        <f ca="1"/>
        <v>0.298855565119092</v>
      </c>
      <c r="AH119">
        <f ca="1"/>
        <v>0.43835117999300605</v>
      </c>
      <c r="AI119">
        <f ca="1"/>
        <v>0.68936224230195386</v>
      </c>
      <c r="AJ119">
        <f ca="1"/>
        <v>-1.280123650707256E-2</v>
      </c>
      <c r="AK119">
        <f ca="1"/>
        <v>-0.4137677509069792</v>
      </c>
      <c r="AN119" s="9">
        <v>0.5560855805803504</v>
      </c>
      <c r="AO119" s="9">
        <v>0.10879512628944205</v>
      </c>
    </row>
    <row r="120" spans="1:41" x14ac:dyDescent="0.2">
      <c r="A120" s="2">
        <v>45626</v>
      </c>
      <c r="B120">
        <v>160.50579833984381</v>
      </c>
      <c r="C120">
        <v>572.51983642578125</v>
      </c>
      <c r="D120">
        <v>886.80999755859375</v>
      </c>
      <c r="E120">
        <v>138.21037292480469</v>
      </c>
      <c r="F120">
        <v>345.16000366210938</v>
      </c>
      <c r="G120" s="10">
        <v>4.4199999999999996E-2</v>
      </c>
      <c r="H120" s="9">
        <f t="shared" si="13"/>
        <v>-4.5296663110662383E-2</v>
      </c>
      <c r="I120" s="9">
        <f t="shared" si="14"/>
        <v>1.1874974582212428E-2</v>
      </c>
      <c r="J120" s="9">
        <f t="shared" si="15"/>
        <v>0.17298250491894751</v>
      </c>
      <c r="K120" s="9">
        <f t="shared" si="16"/>
        <v>4.1352875610839668E-2</v>
      </c>
      <c r="L120" s="9">
        <f t="shared" si="17"/>
        <v>0.38146886223851362</v>
      </c>
      <c r="M120" s="24">
        <f t="shared" si="18"/>
        <v>-7.8745937693291121E-2</v>
      </c>
      <c r="N120" s="24">
        <f t="shared" si="19"/>
        <v>-1.1675561252249937E-2</v>
      </c>
      <c r="O120" s="24">
        <f t="shared" si="20"/>
        <v>0.14231696598900773</v>
      </c>
      <c r="P120" s="24">
        <f t="shared" si="21"/>
        <v>-1.5798874791634138E-2</v>
      </c>
      <c r="Q120" s="24">
        <f t="shared" si="22"/>
        <v>0.34191901528198893</v>
      </c>
      <c r="AB120" s="9"/>
      <c r="AC120" s="20"/>
      <c r="AE120" s="22" cm="1">
        <f t="array" aca="1" ref="AE120" ca="1">SQRT(MMULT(MMULT(AG120:AK120,var_covar),TRANSPOSE(AG120:AK120)))</f>
        <v>0.32271699426108857</v>
      </c>
      <c r="AF120" s="22">
        <f t="shared" ca="1" si="23"/>
        <v>3.3092730310391241E-2</v>
      </c>
      <c r="AG120">
        <f ca="1"/>
        <v>0.53931289968074148</v>
      </c>
      <c r="AH120">
        <f ca="1"/>
        <v>-1.9140936948659824</v>
      </c>
      <c r="AI120">
        <f ca="1"/>
        <v>2.3615270722352255</v>
      </c>
      <c r="AJ120">
        <f ca="1"/>
        <v>-0.72779889554986199</v>
      </c>
      <c r="AK120">
        <f ca="1"/>
        <v>0.74105261849987736</v>
      </c>
      <c r="AN120" s="9">
        <v>0.55557898334607225</v>
      </c>
      <c r="AO120" s="9">
        <v>8.3496305778108709E-2</v>
      </c>
    </row>
    <row r="121" spans="1:41" x14ac:dyDescent="0.2">
      <c r="A121" s="2">
        <v>45657</v>
      </c>
      <c r="B121">
        <v>229.5882568359375</v>
      </c>
      <c r="C121">
        <v>583.6746826171875</v>
      </c>
      <c r="D121">
        <v>891.32000732421875</v>
      </c>
      <c r="E121">
        <v>134.25151062011719</v>
      </c>
      <c r="F121">
        <v>403.83999633789062</v>
      </c>
      <c r="G121" s="10">
        <v>4.2699999999999995E-2</v>
      </c>
      <c r="H121" s="9">
        <f t="shared" si="13"/>
        <v>0.43040475304090453</v>
      </c>
      <c r="I121" s="9">
        <f t="shared" si="14"/>
        <v>1.9483772406988509E-2</v>
      </c>
      <c r="J121" s="9">
        <f t="shared" si="15"/>
        <v>5.0856550761055885E-3</v>
      </c>
      <c r="K121" s="9">
        <f t="shared" si="16"/>
        <v>-2.8643742295966224E-2</v>
      </c>
      <c r="L121" s="9">
        <f t="shared" si="17"/>
        <v>0.17000808915631316</v>
      </c>
      <c r="M121" s="24">
        <f t="shared" si="18"/>
        <v>0.39695547845827578</v>
      </c>
      <c r="N121" s="24">
        <f t="shared" si="19"/>
        <v>-4.0667634274738559E-3</v>
      </c>
      <c r="O121" s="24">
        <f t="shared" si="20"/>
        <v>-2.5579883853834182E-2</v>
      </c>
      <c r="P121" s="24">
        <f t="shared" si="21"/>
        <v>-8.5795492698440029E-2</v>
      </c>
      <c r="Q121" s="24">
        <f t="shared" si="22"/>
        <v>0.13045824219978847</v>
      </c>
      <c r="AB121" s="9"/>
      <c r="AC121" s="20"/>
      <c r="AE121" s="22" cm="1">
        <f t="array" aca="1" ref="AE121" ca="1">SQRT(MMULT(MMULT(AG121:AK121,var_covar),TRANSPOSE(AG121:AK121)))</f>
        <v>9.2469516215300501E-2</v>
      </c>
      <c r="AF121" s="22">
        <f t="shared" ca="1" si="23"/>
        <v>3.3283078727985263E-2</v>
      </c>
      <c r="AG121">
        <f ca="1"/>
        <v>0.27526619648083933</v>
      </c>
      <c r="AH121">
        <f ca="1"/>
        <v>0.36146891207284065</v>
      </c>
      <c r="AI121">
        <f ca="1"/>
        <v>0.34801599513377418</v>
      </c>
      <c r="AJ121">
        <f ca="1"/>
        <v>0.24359001982364931</v>
      </c>
      <c r="AK121">
        <f ca="1"/>
        <v>-0.22834112351110364</v>
      </c>
      <c r="AN121" s="9">
        <v>0.55540222650075377</v>
      </c>
      <c r="AO121" s="9">
        <v>-1.3933659318485406E-2</v>
      </c>
    </row>
    <row r="122" spans="1:41" x14ac:dyDescent="0.2">
      <c r="A122" s="2">
        <v>45688</v>
      </c>
      <c r="B122">
        <v>219.70802307128909</v>
      </c>
      <c r="C122">
        <v>687.57391357421875</v>
      </c>
      <c r="D122">
        <v>976.760009765625</v>
      </c>
      <c r="E122">
        <v>120.0438537597656</v>
      </c>
      <c r="F122">
        <v>404.60000610351562</v>
      </c>
      <c r="G122" s="10">
        <v>4.2099999999999999E-2</v>
      </c>
      <c r="H122" s="9">
        <f t="shared" si="13"/>
        <v>-4.303457807821931E-2</v>
      </c>
      <c r="I122" s="9">
        <f t="shared" si="14"/>
        <v>0.1780088019085373</v>
      </c>
      <c r="J122" s="9">
        <f t="shared" si="15"/>
        <v>9.5857830789528586E-2</v>
      </c>
      <c r="K122" s="9">
        <f t="shared" si="16"/>
        <v>-0.10582865544473519</v>
      </c>
      <c r="L122" s="9">
        <f t="shared" si="17"/>
        <v>1.8819576379678349E-3</v>
      </c>
      <c r="M122" s="24">
        <f t="shared" si="18"/>
        <v>-7.6483852660848048E-2</v>
      </c>
      <c r="N122" s="24">
        <f t="shared" si="19"/>
        <v>0.15445826607407492</v>
      </c>
      <c r="O122" s="24">
        <f t="shared" si="20"/>
        <v>6.5192291859588816E-2</v>
      </c>
      <c r="P122" s="24">
        <f t="shared" si="21"/>
        <v>-0.16298040584720899</v>
      </c>
      <c r="Q122" s="24">
        <f t="shared" si="22"/>
        <v>-3.7667889318556858E-2</v>
      </c>
      <c r="AB122" s="9"/>
      <c r="AC122" s="20"/>
      <c r="AE122" s="22" cm="1">
        <f t="array" aca="1" ref="AE122" ca="1">SQRT(MMULT(MMULT(AG122:AK122,var_covar),TRANSPOSE(AG122:AK122)))</f>
        <v>9.786175666874139E-2</v>
      </c>
      <c r="AF122" s="22">
        <f t="shared" ca="1" si="23"/>
        <v>2.6751041362820062E-2</v>
      </c>
      <c r="AG122">
        <f ca="1"/>
        <v>0.14874954687109698</v>
      </c>
      <c r="AH122">
        <f ca="1"/>
        <v>0.65778552573176474</v>
      </c>
      <c r="AI122">
        <f ca="1"/>
        <v>0.36761583361225014</v>
      </c>
      <c r="AJ122">
        <f ca="1"/>
        <v>0.10787352444184467</v>
      </c>
      <c r="AK122">
        <f ca="1"/>
        <v>-0.28202443065695648</v>
      </c>
      <c r="AN122" s="9">
        <v>0.55196618721576562</v>
      </c>
      <c r="AO122" s="9">
        <v>-6.6054472923801941E-2</v>
      </c>
    </row>
    <row r="123" spans="1:41" x14ac:dyDescent="0.2">
      <c r="A123" s="2">
        <v>45716</v>
      </c>
      <c r="B123">
        <v>198.02217102050781</v>
      </c>
      <c r="C123">
        <v>666.642822265625</v>
      </c>
      <c r="D123">
        <v>980.55999755859375</v>
      </c>
      <c r="E123">
        <v>124.8927917480469</v>
      </c>
      <c r="F123">
        <v>292.98001098632812</v>
      </c>
      <c r="G123" s="10">
        <v>4.2199999999999994E-2</v>
      </c>
      <c r="H123" s="9">
        <f t="shared" si="13"/>
        <v>-9.8703050292090699E-2</v>
      </c>
      <c r="I123" s="9">
        <f t="shared" si="14"/>
        <v>-3.0441950887559965E-2</v>
      </c>
      <c r="J123" s="9">
        <f t="shared" si="15"/>
        <v>3.8904006664652879E-3</v>
      </c>
      <c r="K123" s="9">
        <f t="shared" si="16"/>
        <v>4.0393055007923229E-2</v>
      </c>
      <c r="L123" s="9">
        <f t="shared" si="17"/>
        <v>-0.27587739355750251</v>
      </c>
      <c r="M123" s="24">
        <f t="shared" si="18"/>
        <v>-0.13215232487471945</v>
      </c>
      <c r="N123" s="24">
        <f t="shared" si="19"/>
        <v>-5.399248672202233E-2</v>
      </c>
      <c r="O123" s="24">
        <f t="shared" si="20"/>
        <v>-2.6775138263474482E-2</v>
      </c>
      <c r="P123" s="24">
        <f t="shared" si="21"/>
        <v>-1.6758695394550577E-2</v>
      </c>
      <c r="Q123" s="24">
        <f t="shared" si="22"/>
        <v>-0.31542724051402721</v>
      </c>
      <c r="AB123" s="9"/>
      <c r="AC123" s="20"/>
      <c r="AE123" s="22" cm="1">
        <f t="array" aca="1" ref="AE123" ca="1">SQRT(MMULT(MMULT(AG123:AK123,var_covar),TRANSPOSE(AG123:AK123)))</f>
        <v>0.11612434058264302</v>
      </c>
      <c r="AF123" s="22">
        <f t="shared" ca="1" si="23"/>
        <v>4.0727582565054321E-2</v>
      </c>
      <c r="AG123">
        <f ca="1"/>
        <v>-0.17705638667565873</v>
      </c>
      <c r="AH123">
        <f ca="1"/>
        <v>2.7983353614026193E-2</v>
      </c>
      <c r="AI123">
        <f ca="1"/>
        <v>0.68164953770311665</v>
      </c>
      <c r="AJ123">
        <f ca="1"/>
        <v>0.37503268708797893</v>
      </c>
      <c r="AK123">
        <f ca="1"/>
        <v>9.2390808270537056E-2</v>
      </c>
      <c r="AN123" s="9">
        <v>0.54734296726700071</v>
      </c>
      <c r="AO123" s="9">
        <v>9.7367174399916073E-2</v>
      </c>
    </row>
    <row r="124" spans="1:41" x14ac:dyDescent="0.2">
      <c r="A124" s="2">
        <v>45747</v>
      </c>
      <c r="B124">
        <v>166.24806213378909</v>
      </c>
      <c r="C124">
        <v>575.01678466796875</v>
      </c>
      <c r="D124">
        <v>932.530029296875</v>
      </c>
      <c r="E124">
        <v>108.3563995361328</v>
      </c>
      <c r="F124">
        <v>259.16000366210938</v>
      </c>
      <c r="G124" s="10">
        <v>4.2000000000000003E-2</v>
      </c>
      <c r="H124" s="9">
        <f t="shared" si="13"/>
        <v>-0.16045733022201891</v>
      </c>
      <c r="I124" s="9">
        <f t="shared" si="14"/>
        <v>-0.13744397230027883</v>
      </c>
      <c r="J124" s="9">
        <f t="shared" si="15"/>
        <v>-4.8982181999371988E-2</v>
      </c>
      <c r="K124" s="9">
        <f t="shared" si="16"/>
        <v>-0.13240469670398491</v>
      </c>
      <c r="L124" s="9">
        <f t="shared" si="17"/>
        <v>-0.11543452131892018</v>
      </c>
      <c r="M124" s="24">
        <f t="shared" si="18"/>
        <v>-0.19390660480464766</v>
      </c>
      <c r="N124" s="24">
        <f t="shared" si="19"/>
        <v>-0.1609945081347412</v>
      </c>
      <c r="O124" s="24">
        <f t="shared" si="20"/>
        <v>-7.9647720929311758E-2</v>
      </c>
      <c r="P124" s="24">
        <f t="shared" si="21"/>
        <v>-0.18955644710645872</v>
      </c>
      <c r="Q124" s="24">
        <f t="shared" si="22"/>
        <v>-0.15498436827544487</v>
      </c>
      <c r="AB124" s="9"/>
      <c r="AC124" s="20"/>
      <c r="AE124" s="22" cm="1">
        <f t="array" aca="1" ref="AE124" ca="1">SQRT(MMULT(MMULT(AG124:AK124,var_covar),TRANSPOSE(AG124:AK124)))</f>
        <v>0.16771883378316299</v>
      </c>
      <c r="AF124" s="22">
        <f t="shared" ca="1" si="23"/>
        <v>2.7967159240622347E-2</v>
      </c>
      <c r="AG124">
        <f ca="1"/>
        <v>-0.2566764267177995</v>
      </c>
      <c r="AH124">
        <f ca="1"/>
        <v>0.66588764158128433</v>
      </c>
      <c r="AI124">
        <f ca="1"/>
        <v>-0.10079687804629631</v>
      </c>
      <c r="AJ124">
        <f ca="1"/>
        <v>-0.19261143017084581</v>
      </c>
      <c r="AK124">
        <f ca="1"/>
        <v>0.88419709335365726</v>
      </c>
      <c r="AN124" s="9">
        <v>0.54066719281037312</v>
      </c>
      <c r="AO124" s="9">
        <v>-8.7608624926451703E-2</v>
      </c>
    </row>
    <row r="125" spans="1:41" x14ac:dyDescent="0.2">
      <c r="A125" s="2">
        <v>45777</v>
      </c>
      <c r="B125">
        <v>191.6896057128906</v>
      </c>
      <c r="C125">
        <v>548.2078857421875</v>
      </c>
      <c r="D125">
        <v>1131.719970703125</v>
      </c>
      <c r="E125">
        <v>108.9062957763672</v>
      </c>
      <c r="F125">
        <v>282.16000366210938</v>
      </c>
      <c r="G125" s="10">
        <v>4.2099999999999999E-2</v>
      </c>
      <c r="H125" s="9">
        <f t="shared" si="13"/>
        <v>0.15303362488897632</v>
      </c>
      <c r="I125" s="9">
        <f t="shared" si="14"/>
        <v>-4.662281109109101E-2</v>
      </c>
      <c r="J125" s="9">
        <f t="shared" si="15"/>
        <v>0.21360163763995743</v>
      </c>
      <c r="K125" s="9">
        <f t="shared" si="16"/>
        <v>5.074884756123943E-3</v>
      </c>
      <c r="L125" s="9">
        <f t="shared" si="17"/>
        <v>8.8748262366854958E-2</v>
      </c>
      <c r="M125" s="24">
        <f t="shared" si="18"/>
        <v>0.11958435030634758</v>
      </c>
      <c r="N125" s="24">
        <f t="shared" si="19"/>
        <v>-7.0173346925553381E-2</v>
      </c>
      <c r="O125" s="24">
        <f t="shared" si="20"/>
        <v>0.18293609871001765</v>
      </c>
      <c r="P125" s="24">
        <f t="shared" si="21"/>
        <v>-5.2076865646349862E-2</v>
      </c>
      <c r="Q125" s="24">
        <f t="shared" si="22"/>
        <v>4.9198415410330265E-2</v>
      </c>
      <c r="AB125" s="9"/>
      <c r="AC125" s="20"/>
      <c r="AE125" s="22" cm="1">
        <f t="array" aca="1" ref="AE125" ca="1">SQRT(MMULT(MMULT(AG125:AK125,var_covar),TRANSPOSE(AG125:AK125)))</f>
        <v>0.11833384161633102</v>
      </c>
      <c r="AF125" s="22">
        <f t="shared" ca="1" si="23"/>
        <v>1.7390612066062669E-2</v>
      </c>
      <c r="AG125">
        <f ca="1"/>
        <v>0.7993682717321402</v>
      </c>
      <c r="AH125">
        <f ca="1"/>
        <v>0.94350669345030536</v>
      </c>
      <c r="AI125">
        <f ca="1"/>
        <v>-0.34852985226466299</v>
      </c>
      <c r="AJ125">
        <f ca="1"/>
        <v>-0.30017323645185739</v>
      </c>
      <c r="AK125">
        <f ca="1"/>
        <v>-9.4171876465925286E-2</v>
      </c>
      <c r="AN125" s="9">
        <v>0.53949287253599454</v>
      </c>
      <c r="AO125" s="9">
        <v>6.1143763704743795E-2</v>
      </c>
    </row>
    <row r="126" spans="1:41" x14ac:dyDescent="0.2">
      <c r="A126" s="2">
        <v>45808</v>
      </c>
      <c r="B126">
        <v>241.0885009765625</v>
      </c>
      <c r="C126">
        <v>646.5557861328125</v>
      </c>
      <c r="D126">
        <v>1207.22998046875</v>
      </c>
      <c r="E126">
        <v>135.1130065917969</v>
      </c>
      <c r="F126">
        <v>346.45999145507812</v>
      </c>
      <c r="G126" s="10">
        <v>4.2500000000000003E-2</v>
      </c>
      <c r="H126" s="9">
        <f t="shared" si="13"/>
        <v>0.25770252424464113</v>
      </c>
      <c r="I126" s="9">
        <f t="shared" si="14"/>
        <v>0.17939891590117751</v>
      </c>
      <c r="J126" s="9">
        <f t="shared" si="15"/>
        <v>6.6721460891700612E-2</v>
      </c>
      <c r="K126" s="9">
        <f t="shared" si="16"/>
        <v>0.24063540705896069</v>
      </c>
      <c r="L126" s="9">
        <f t="shared" si="17"/>
        <v>0.22788484178632529</v>
      </c>
      <c r="M126" s="24">
        <f t="shared" si="18"/>
        <v>0.22425324966201238</v>
      </c>
      <c r="N126" s="24">
        <f t="shared" si="19"/>
        <v>0.15584838006671514</v>
      </c>
      <c r="O126" s="24">
        <f t="shared" si="20"/>
        <v>3.6055921961760842E-2</v>
      </c>
      <c r="P126" s="24">
        <f t="shared" si="21"/>
        <v>0.18348365665648689</v>
      </c>
      <c r="Q126" s="24">
        <f t="shared" si="22"/>
        <v>0.18833499482980059</v>
      </c>
      <c r="AB126" s="9"/>
      <c r="AC126" s="20"/>
      <c r="AE126" s="22" cm="1">
        <f t="array" aca="1" ref="AE126" ca="1">SQRT(MMULT(MMULT(AG126:AK126,var_covar),TRANSPOSE(AG126:AK126)))</f>
        <v>1.6021935461083612</v>
      </c>
      <c r="AF126" s="22">
        <f t="shared" ca="1" si="23"/>
        <v>-0.25158397360412649</v>
      </c>
      <c r="AG126">
        <f ca="1"/>
        <v>2.2501243888998377</v>
      </c>
      <c r="AH126">
        <f ca="1"/>
        <v>3.9855450223302809</v>
      </c>
      <c r="AI126">
        <f ca="1"/>
        <v>0.2974008309183519</v>
      </c>
      <c r="AJ126">
        <f ca="1"/>
        <v>-11.987260305757925</v>
      </c>
      <c r="AK126">
        <f ca="1"/>
        <v>6.4541900636094551</v>
      </c>
      <c r="AN126" s="9">
        <v>0.53893788401041787</v>
      </c>
      <c r="AO126" s="9">
        <v>0.11248010655556558</v>
      </c>
    </row>
    <row r="127" spans="1:41" x14ac:dyDescent="0.2">
      <c r="A127" s="2">
        <v>45838</v>
      </c>
      <c r="B127">
        <v>274.5323486328125</v>
      </c>
      <c r="C127">
        <v>737.025146484375</v>
      </c>
      <c r="D127">
        <v>1339.130004882812</v>
      </c>
      <c r="E127">
        <v>157.9701232910156</v>
      </c>
      <c r="F127">
        <v>317.66000366210938</v>
      </c>
      <c r="G127" s="10">
        <v>4.2300000000000004E-2</v>
      </c>
      <c r="H127" s="9">
        <f t="shared" si="13"/>
        <v>0.13872021071424423</v>
      </c>
      <c r="I127" s="9">
        <f t="shared" si="14"/>
        <v>0.13992506492390855</v>
      </c>
      <c r="J127" s="9">
        <f t="shared" si="15"/>
        <v>0.10925840688850941</v>
      </c>
      <c r="K127" s="9">
        <f t="shared" si="16"/>
        <v>0.16917036542806385</v>
      </c>
      <c r="L127" s="9">
        <f t="shared" si="17"/>
        <v>-8.3126446063839232E-2</v>
      </c>
      <c r="M127" s="24">
        <f t="shared" si="18"/>
        <v>0.10527093613161549</v>
      </c>
      <c r="N127" s="24">
        <f t="shared" si="19"/>
        <v>0.11637452908944618</v>
      </c>
      <c r="O127" s="24">
        <f t="shared" si="20"/>
        <v>7.8592867958569637E-2</v>
      </c>
      <c r="P127" s="24">
        <f t="shared" si="21"/>
        <v>0.11201861502559005</v>
      </c>
      <c r="Q127" s="24">
        <f t="shared" si="22"/>
        <v>-0.12267629302036392</v>
      </c>
      <c r="AB127" s="9"/>
      <c r="AC127" s="20"/>
      <c r="AE127" s="22" cm="1">
        <f t="array" aca="1" ref="AE127" ca="1">SQRT(MMULT(MMULT(AG127:AK127,var_covar),TRANSPOSE(AG127:AK127)))</f>
        <v>0.24038575036771662</v>
      </c>
      <c r="AF127" s="22">
        <f t="shared" ca="1" si="23"/>
        <v>9.126732364903755E-3</v>
      </c>
      <c r="AG127">
        <f ca="1"/>
        <v>-1.5096997165441508</v>
      </c>
      <c r="AH127">
        <f ca="1"/>
        <v>1.6216357760105444</v>
      </c>
      <c r="AI127">
        <f ca="1"/>
        <v>1.4378169843532347</v>
      </c>
      <c r="AJ127">
        <f ca="1"/>
        <v>-5.193090032259283E-2</v>
      </c>
      <c r="AK127">
        <f ca="1"/>
        <v>-0.49782214349703546</v>
      </c>
      <c r="AN127" s="9">
        <v>0.53845155080272644</v>
      </c>
      <c r="AO127" s="9">
        <v>-2.3803509228813233E-3</v>
      </c>
    </row>
    <row r="128" spans="1:41" x14ac:dyDescent="0.2">
      <c r="A128" s="2">
        <v>45869</v>
      </c>
      <c r="B128">
        <v>293.19766235351562</v>
      </c>
      <c r="C128">
        <v>772.9183349609375</v>
      </c>
      <c r="D128">
        <v>1159.400024414062</v>
      </c>
      <c r="E128">
        <v>177.85997009277341</v>
      </c>
      <c r="F128">
        <v>308.26998901367188</v>
      </c>
      <c r="G128" s="10">
        <v>4.2500000000000003E-2</v>
      </c>
      <c r="H128" s="9">
        <f t="shared" si="13"/>
        <v>6.7989487627441836E-2</v>
      </c>
      <c r="I128" s="9">
        <f t="shared" si="14"/>
        <v>4.8700086622245786E-2</v>
      </c>
      <c r="J128" s="9">
        <f t="shared" si="15"/>
        <v>-0.13421398954052877</v>
      </c>
      <c r="K128" s="9">
        <f t="shared" si="16"/>
        <v>0.12590891484661526</v>
      </c>
      <c r="L128" s="9">
        <f t="shared" si="17"/>
        <v>-2.9559952591404981E-2</v>
      </c>
      <c r="M128" s="24">
        <f t="shared" si="18"/>
        <v>3.4540213044813098E-2</v>
      </c>
      <c r="N128" s="24">
        <f t="shared" si="19"/>
        <v>2.5149550787783422E-2</v>
      </c>
      <c r="O128" s="24">
        <f t="shared" si="20"/>
        <v>-0.16487952847046855</v>
      </c>
      <c r="P128" s="24">
        <f t="shared" si="21"/>
        <v>6.8757164444141455E-2</v>
      </c>
      <c r="Q128" s="24">
        <f t="shared" si="22"/>
        <v>-6.9109799547929673E-2</v>
      </c>
      <c r="AB128" s="9"/>
      <c r="AC128" s="20"/>
      <c r="AE128" s="22" cm="1">
        <f t="array" aca="1" ref="AE128" ca="1">SQRT(MMULT(MMULT(AG128:AK128,var_covar),TRANSPOSE(AG128:AK128)))</f>
        <v>0.31983040314438421</v>
      </c>
      <c r="AF128" s="22">
        <f t="shared" ca="1" si="23"/>
        <v>-2.6404324879720588E-2</v>
      </c>
      <c r="AG128">
        <f ca="1"/>
        <v>2.9743049852352237</v>
      </c>
      <c r="AH128">
        <f ca="1"/>
        <v>0.42423887782291619</v>
      </c>
      <c r="AI128">
        <f ca="1"/>
        <v>0.5857856960691834</v>
      </c>
      <c r="AJ128">
        <f ca="1"/>
        <v>-2.0348582620030071</v>
      </c>
      <c r="AK128">
        <f ca="1"/>
        <v>-0.94947129712431633</v>
      </c>
      <c r="AN128" s="9">
        <v>0.53824187013070168</v>
      </c>
      <c r="AO128" s="9">
        <v>3.3549188713624639E-2</v>
      </c>
    </row>
    <row r="129" spans="28:41" x14ac:dyDescent="0.2">
      <c r="AB129" s="9"/>
      <c r="AC129" s="20"/>
      <c r="AE129" s="22" cm="1">
        <f t="array" aca="1" ref="AE129" ca="1">SQRT(MMULT(MMULT(AG129:AK129,var_covar),TRANSPOSE(AG129:AK129)))</f>
        <v>9.7583385233524264E-2</v>
      </c>
      <c r="AF129" s="22">
        <f t="shared" ca="1" si="23"/>
        <v>3.9139709900445331E-2</v>
      </c>
      <c r="AG129">
        <f ca="1"/>
        <v>-4.9454198440225507E-2</v>
      </c>
      <c r="AH129">
        <f ca="1"/>
        <v>0.2671723309359475</v>
      </c>
      <c r="AI129">
        <f ca="1"/>
        <v>0.23015973230749395</v>
      </c>
      <c r="AJ129">
        <f ca="1"/>
        <v>0.31857618395358678</v>
      </c>
      <c r="AK129">
        <f ca="1"/>
        <v>0.23354595124319727</v>
      </c>
      <c r="AN129" s="9">
        <v>0.53065514644303702</v>
      </c>
      <c r="AO129" s="9">
        <v>0.10257845814153935</v>
      </c>
    </row>
    <row r="130" spans="28:41" x14ac:dyDescent="0.2">
      <c r="AB130" s="9"/>
      <c r="AC130" s="20"/>
      <c r="AE130" s="22" cm="1">
        <f t="array" aca="1" ref="AE130" ca="1">SQRT(MMULT(MMULT(AG130:AK130,var_covar),TRANSPOSE(AG130:AK130)))</f>
        <v>0.77318905870474264</v>
      </c>
      <c r="AF130" s="22">
        <f t="shared" ca="1" si="23"/>
        <v>0.12204861773535819</v>
      </c>
      <c r="AG130">
        <f ca="1"/>
        <v>-1.8928924310995012</v>
      </c>
      <c r="AH130">
        <f ca="1"/>
        <v>1.9125518992792874</v>
      </c>
      <c r="AI130">
        <f ca="1"/>
        <v>-1.0611913382728422</v>
      </c>
      <c r="AJ130">
        <f ca="1"/>
        <v>5.2336729342423984</v>
      </c>
      <c r="AK130">
        <f ca="1"/>
        <v>-3.1921410641493426</v>
      </c>
      <c r="AN130" s="9">
        <v>0.52698542111640945</v>
      </c>
      <c r="AO130" s="9">
        <v>6.3928755494908007E-2</v>
      </c>
    </row>
    <row r="131" spans="28:41" x14ac:dyDescent="0.2">
      <c r="AB131" s="9"/>
      <c r="AC131" s="20"/>
      <c r="AE131" s="22" cm="1">
        <f t="array" aca="1" ref="AE131" ca="1">SQRT(MMULT(MMULT(AG131:AK131,var_covar),TRANSPOSE(AG131:AK131)))</f>
        <v>0.1283409416551792</v>
      </c>
      <c r="AF131" s="22">
        <f t="shared" ca="1" si="23"/>
        <v>3.1306613376086187E-2</v>
      </c>
      <c r="AG131">
        <f ca="1"/>
        <v>0.4556150377866538</v>
      </c>
      <c r="AH131">
        <f ca="1"/>
        <v>-0.18604503863963959</v>
      </c>
      <c r="AI131">
        <f ca="1"/>
        <v>1.0084007713970047</v>
      </c>
      <c r="AJ131">
        <f ca="1"/>
        <v>2.9464401121846468E-2</v>
      </c>
      <c r="AK131">
        <f ca="1"/>
        <v>-0.30743517166586548</v>
      </c>
      <c r="AN131" s="9">
        <v>0.52150762115914129</v>
      </c>
      <c r="AO131" s="9">
        <v>2.2207004677601977E-2</v>
      </c>
    </row>
    <row r="132" spans="28:41" x14ac:dyDescent="0.2">
      <c r="AB132" s="9"/>
      <c r="AC132" s="20"/>
      <c r="AE132" s="22" cm="1">
        <f t="array" aca="1" ref="AE132" ca="1">SQRT(MMULT(MMULT(AG132:AK132,var_covar),TRANSPOSE(AG132:AK132)))</f>
        <v>0.1325805423026345</v>
      </c>
      <c r="AF132" s="22">
        <f t="shared" ref="AF132:AF195" ca="1" si="24">SUMPRODUCT(AG132:AK132,$S$2:$W$2)</f>
        <v>5.1403278381322498E-2</v>
      </c>
      <c r="AG132">
        <f ca="1"/>
        <v>5.5939751834074534E-2</v>
      </c>
      <c r="AH132">
        <f ca="1"/>
        <v>0.23325424064016556</v>
      </c>
      <c r="AI132">
        <f ca="1"/>
        <v>3.7329227897760955E-2</v>
      </c>
      <c r="AJ132">
        <f ca="1"/>
        <v>0.9236641653526233</v>
      </c>
      <c r="AK132">
        <f ca="1"/>
        <v>-0.25018738572462429</v>
      </c>
      <c r="AN132" s="9">
        <v>0.51448362570987394</v>
      </c>
      <c r="AO132" s="9">
        <v>3.1182740166539699E-2</v>
      </c>
    </row>
    <row r="133" spans="28:41" x14ac:dyDescent="0.2">
      <c r="AB133" s="9"/>
      <c r="AC133" s="20"/>
      <c r="AE133" s="22" cm="1">
        <f t="array" aca="1" ref="AE133" ca="1">SQRT(MMULT(MMULT(AG133:AK133,var_covar),TRANSPOSE(AG133:AK133)))</f>
        <v>0.10513157812924251</v>
      </c>
      <c r="AF133" s="22">
        <f t="shared" ca="1" si="24"/>
        <v>3.7963993551319415E-2</v>
      </c>
      <c r="AG133">
        <f ca="1"/>
        <v>8.6358461901986955E-2</v>
      </c>
      <c r="AH133">
        <f ca="1"/>
        <v>0.62776348968861961</v>
      </c>
      <c r="AI133">
        <f ca="1"/>
        <v>-0.2935625512145148</v>
      </c>
      <c r="AJ133">
        <f ca="1"/>
        <v>0.36227138240174694</v>
      </c>
      <c r="AK133">
        <f ca="1"/>
        <v>0.21716921722216129</v>
      </c>
      <c r="AN133" s="9">
        <v>0.50711222466112993</v>
      </c>
      <c r="AO133" s="9">
        <v>-8.7095783867205345E-2</v>
      </c>
    </row>
    <row r="134" spans="28:41" x14ac:dyDescent="0.2">
      <c r="AB134" s="9"/>
      <c r="AC134" s="20"/>
      <c r="AE134" s="22" cm="1">
        <f t="array" aca="1" ref="AE134" ca="1">SQRT(MMULT(MMULT(AG134:AK134,var_covar),TRANSPOSE(AG134:AK134)))</f>
        <v>0.1681921011594853</v>
      </c>
      <c r="AF134" s="22">
        <f t="shared" ca="1" si="24"/>
        <v>4.575659148998408E-2</v>
      </c>
      <c r="AG134">
        <f ca="1"/>
        <v>-0.60064820004808284</v>
      </c>
      <c r="AH134">
        <f ca="1"/>
        <v>0.80283803466891268</v>
      </c>
      <c r="AI134">
        <f ca="1"/>
        <v>0.22137506709882099</v>
      </c>
      <c r="AJ134">
        <f ca="1"/>
        <v>0.98591987814899584</v>
      </c>
      <c r="AK134">
        <f ca="1"/>
        <v>-0.40948477986864656</v>
      </c>
      <c r="AN134" s="9">
        <v>0.50425755823357232</v>
      </c>
      <c r="AO134" s="9">
        <v>-0.10434233822300429</v>
      </c>
    </row>
    <row r="135" spans="28:41" x14ac:dyDescent="0.2">
      <c r="AB135" s="9"/>
      <c r="AC135" s="20"/>
      <c r="AE135" s="22" cm="1">
        <f t="array" aca="1" ref="AE135" ca="1">SQRT(MMULT(MMULT(AG135:AK135,var_covar),TRANSPOSE(AG135:AK135)))</f>
        <v>0.2011360830847147</v>
      </c>
      <c r="AF135" s="22">
        <f t="shared" ca="1" si="24"/>
        <v>7.0900355055743547E-2</v>
      </c>
      <c r="AG135">
        <f ca="1"/>
        <v>-5.9710046401104513E-2</v>
      </c>
      <c r="AH135">
        <f ca="1"/>
        <v>-0.10698061197377157</v>
      </c>
      <c r="AI135">
        <f ca="1"/>
        <v>-0.78120201856128668</v>
      </c>
      <c r="AJ135">
        <f ca="1"/>
        <v>1.2688506813707601</v>
      </c>
      <c r="AK135">
        <f ca="1"/>
        <v>0.67904199556540257</v>
      </c>
      <c r="AN135" s="9">
        <v>0.50221651880886276</v>
      </c>
      <c r="AO135" s="9">
        <v>7.8833014673988816E-2</v>
      </c>
    </row>
    <row r="136" spans="28:41" x14ac:dyDescent="0.2">
      <c r="AB136" s="9"/>
      <c r="AC136" s="20"/>
      <c r="AE136" s="22" cm="1">
        <f t="array" aca="1" ref="AE136" ca="1">SQRT(MMULT(MMULT(AG136:AK136,var_covar),TRANSPOSE(AG136:AK136)))</f>
        <v>9.8609924815003414E-2</v>
      </c>
      <c r="AF136" s="22">
        <f t="shared" ca="1" si="24"/>
        <v>3.8992456477891631E-2</v>
      </c>
      <c r="AG136">
        <f ca="1"/>
        <v>-9.7923245459831956E-2</v>
      </c>
      <c r="AH136">
        <f ca="1"/>
        <v>0.2470745532879792</v>
      </c>
      <c r="AI136">
        <f ca="1"/>
        <v>0.38844674530380874</v>
      </c>
      <c r="AJ136">
        <f ca="1"/>
        <v>0.35503687883216034</v>
      </c>
      <c r="AK136">
        <f ca="1"/>
        <v>0.10736506803588361</v>
      </c>
      <c r="AN136" s="9">
        <v>0.50213877126512707</v>
      </c>
      <c r="AO136" s="9">
        <v>-4.2637756213322942E-2</v>
      </c>
    </row>
    <row r="137" spans="28:41" x14ac:dyDescent="0.2">
      <c r="AB137" s="9"/>
      <c r="AC137" s="20"/>
      <c r="AE137" s="22" cm="1">
        <f t="array" aca="1" ref="AE137" ca="1">SQRT(MMULT(MMULT(AG137:AK137,var_covar),TRANSPOSE(AG137:AK137)))</f>
        <v>7.9391002577110945E-2</v>
      </c>
      <c r="AF137" s="22">
        <f t="shared" ca="1" si="24"/>
        <v>2.4086447122554495E-2</v>
      </c>
      <c r="AG137">
        <f ca="1"/>
        <v>0.53790347167032937</v>
      </c>
      <c r="AH137">
        <f ca="1"/>
        <v>0.32527890701784218</v>
      </c>
      <c r="AI137">
        <f ca="1"/>
        <v>0.35589787380383014</v>
      </c>
      <c r="AJ137">
        <f ca="1"/>
        <v>-0.21677973719659901</v>
      </c>
      <c r="AK137">
        <f ca="1"/>
        <v>-2.3005152954024954E-3</v>
      </c>
      <c r="AN137" s="9">
        <v>0.50163253869164015</v>
      </c>
      <c r="AO137" s="9">
        <v>2.9186769602586433E-2</v>
      </c>
    </row>
    <row r="138" spans="28:41" x14ac:dyDescent="0.2">
      <c r="AB138" s="9"/>
      <c r="AC138" s="20"/>
      <c r="AE138" s="22" cm="1">
        <f t="array" aca="1" ref="AE138" ca="1">SQRT(MMULT(MMULT(AG138:AK138,var_covar),TRANSPOSE(AG138:AK138)))</f>
        <v>0.28468121028435595</v>
      </c>
      <c r="AF138" s="22">
        <f t="shared" ca="1" si="24"/>
        <v>4.5743369984451804E-2</v>
      </c>
      <c r="AG138">
        <f ca="1"/>
        <v>0.94102260764085743</v>
      </c>
      <c r="AH138">
        <f ca="1"/>
        <v>-0.75850470159853745</v>
      </c>
      <c r="AI138">
        <f ca="1"/>
        <v>1.4363673381439392</v>
      </c>
      <c r="AJ138">
        <f ca="1"/>
        <v>0.71355218785599728</v>
      </c>
      <c r="AK138">
        <f ca="1"/>
        <v>-1.3324374320422561</v>
      </c>
      <c r="AN138" s="9">
        <v>0.49477316911618319</v>
      </c>
      <c r="AO138" s="9">
        <v>1.0135306382619808E-2</v>
      </c>
    </row>
    <row r="139" spans="28:41" x14ac:dyDescent="0.2">
      <c r="AB139" s="9"/>
      <c r="AC139" s="20"/>
      <c r="AE139" s="22" cm="1">
        <f t="array" aca="1" ref="AE139" ca="1">SQRT(MMULT(MMULT(AG139:AK139,var_covar),TRANSPOSE(AG139:AK139)))</f>
        <v>0.17566712160267797</v>
      </c>
      <c r="AF139" s="22">
        <f t="shared" ca="1" si="24"/>
        <v>1.1808377149256699E-2</v>
      </c>
      <c r="AG139">
        <f ca="1"/>
        <v>2.7030809314541836E-2</v>
      </c>
      <c r="AH139">
        <f ca="1"/>
        <v>0.57895574682194417</v>
      </c>
      <c r="AI139">
        <f ca="1"/>
        <v>0.38419971224330823</v>
      </c>
      <c r="AJ139">
        <f ca="1"/>
        <v>-0.84651780631961815</v>
      </c>
      <c r="AK139">
        <f ca="1"/>
        <v>0.85633153793982397</v>
      </c>
      <c r="AN139" s="9">
        <v>0.48792799518538538</v>
      </c>
      <c r="AO139" s="9">
        <v>5.9098969273090649E-2</v>
      </c>
    </row>
    <row r="140" spans="28:41" x14ac:dyDescent="0.2">
      <c r="AB140" s="9"/>
      <c r="AC140" s="20"/>
      <c r="AE140" s="22" cm="1">
        <f t="array" aca="1" ref="AE140" ca="1">SQRT(MMULT(MMULT(AG140:AK140,var_covar),TRANSPOSE(AG140:AK140)))</f>
        <v>0.17386876087626124</v>
      </c>
      <c r="AF140" s="22">
        <f t="shared" ca="1" si="24"/>
        <v>7.1124156909176117E-2</v>
      </c>
      <c r="AG140">
        <f ca="1"/>
        <v>0.3201225773161967</v>
      </c>
      <c r="AH140">
        <f ca="1"/>
        <v>-0.75536214049373329</v>
      </c>
      <c r="AI140">
        <f ca="1"/>
        <v>4.4747507400634677E-2</v>
      </c>
      <c r="AJ140">
        <f ca="1"/>
        <v>1.2407474972654762</v>
      </c>
      <c r="AK140">
        <f ca="1"/>
        <v>0.14974455851142565</v>
      </c>
      <c r="AN140" s="9">
        <v>0.48244309673914665</v>
      </c>
      <c r="AO140" s="9">
        <v>-9.3039891791759977E-2</v>
      </c>
    </row>
    <row r="141" spans="28:41" x14ac:dyDescent="0.2">
      <c r="AB141" s="9"/>
      <c r="AC141" s="20"/>
      <c r="AE141" s="22" cm="1">
        <f t="array" aca="1" ref="AE141" ca="1">SQRT(MMULT(MMULT(AG141:AK141,var_covar),TRANSPOSE(AG141:AK141)))</f>
        <v>0.11152057999112588</v>
      </c>
      <c r="AF141" s="22">
        <f t="shared" ca="1" si="24"/>
        <v>4.6651977840313358E-2</v>
      </c>
      <c r="AG141">
        <f ca="1"/>
        <v>-8.6325264824848535E-2</v>
      </c>
      <c r="AH141">
        <f ca="1"/>
        <v>6.3599763632487399E-2</v>
      </c>
      <c r="AI141">
        <f ca="1"/>
        <v>0.25864112183392668</v>
      </c>
      <c r="AJ141">
        <f ca="1"/>
        <v>0.56192202103375954</v>
      </c>
      <c r="AK141">
        <f ca="1"/>
        <v>0.20216235832467488</v>
      </c>
      <c r="AN141" s="9">
        <v>0.48118181743421173</v>
      </c>
      <c r="AO141" s="9">
        <v>2.6815778805301976E-2</v>
      </c>
    </row>
    <row r="142" spans="28:41" x14ac:dyDescent="0.2">
      <c r="AB142" s="9"/>
      <c r="AC142" s="20"/>
      <c r="AE142" s="22" cm="1">
        <f t="array" aca="1" ref="AE142" ca="1">SQRT(MMULT(MMULT(AG142:AK142,var_covar),TRANSPOSE(AG142:AK142)))</f>
        <v>0.25072810931417439</v>
      </c>
      <c r="AF142" s="22">
        <f t="shared" ca="1" si="24"/>
        <v>5.644374262294341E-2</v>
      </c>
      <c r="AG142">
        <f ca="1"/>
        <v>2.3768267129803324</v>
      </c>
      <c r="AH142">
        <f ca="1"/>
        <v>-1.9306498125979534</v>
      </c>
      <c r="AI142">
        <f ca="1"/>
        <v>0.5003624628710569</v>
      </c>
      <c r="AJ142">
        <f ca="1"/>
        <v>0.28123130489531517</v>
      </c>
      <c r="AK142">
        <f ca="1"/>
        <v>-0.22777066814875124</v>
      </c>
      <c r="AN142" s="9">
        <v>0.47848447894134788</v>
      </c>
      <c r="AO142" s="9">
        <v>2.2171089740688793E-2</v>
      </c>
    </row>
    <row r="143" spans="28:41" x14ac:dyDescent="0.2">
      <c r="AB143" s="9"/>
      <c r="AC143" s="20"/>
      <c r="AE143" s="22" cm="1">
        <f t="array" aca="1" ref="AE143" ca="1">SQRT(MMULT(MMULT(AG143:AK143,var_covar),TRANSPOSE(AG143:AK143)))</f>
        <v>0.1510282313630594</v>
      </c>
      <c r="AF143" s="22">
        <f t="shared" ca="1" si="24"/>
        <v>4.4505921361841852E-2</v>
      </c>
      <c r="AG143">
        <f ca="1"/>
        <v>0.49030223247724819</v>
      </c>
      <c r="AH143">
        <f ca="1"/>
        <v>-0.44674254659564705</v>
      </c>
      <c r="AI143">
        <f ca="1"/>
        <v>0.13418393064896789</v>
      </c>
      <c r="AJ143">
        <f ca="1"/>
        <v>0.11315577564669074</v>
      </c>
      <c r="AK143">
        <f ca="1"/>
        <v>0.7091006078227402</v>
      </c>
      <c r="AN143" s="9">
        <v>0.47692396674628607</v>
      </c>
      <c r="AO143" s="9">
        <v>2.539094453413708E-2</v>
      </c>
    </row>
    <row r="144" spans="28:41" x14ac:dyDescent="0.2">
      <c r="AB144" s="9"/>
      <c r="AC144" s="20"/>
      <c r="AE144" s="22" cm="1">
        <f t="array" aca="1" ref="AE144" ca="1">SQRT(MMULT(MMULT(AG144:AK144,var_covar),TRANSPOSE(AG144:AK144)))</f>
        <v>9.2079629231976989E-2</v>
      </c>
      <c r="AF144" s="22">
        <f t="shared" ca="1" si="24"/>
        <v>3.376794405421326E-2</v>
      </c>
      <c r="AG144">
        <f ca="1"/>
        <v>0.12237446564512985</v>
      </c>
      <c r="AH144">
        <f ca="1"/>
        <v>0.12354637678191777</v>
      </c>
      <c r="AI144">
        <f ca="1"/>
        <v>0.56074318288393066</v>
      </c>
      <c r="AJ144">
        <f ca="1"/>
        <v>0.10925656243171986</v>
      </c>
      <c r="AK144">
        <f ca="1"/>
        <v>8.4079412257301964E-2</v>
      </c>
      <c r="AN144" s="9">
        <v>0.46824450327163869</v>
      </c>
      <c r="AO144" s="9">
        <v>9.7670093737218841E-2</v>
      </c>
    </row>
    <row r="145" spans="28:41" x14ac:dyDescent="0.2">
      <c r="AB145" s="9"/>
      <c r="AC145" s="20"/>
      <c r="AE145" s="22" cm="1">
        <f t="array" aca="1" ref="AE145" ca="1">SQRT(MMULT(MMULT(AG145:AK145,var_covar),TRANSPOSE(AG145:AK145)))</f>
        <v>0.18906370005729209</v>
      </c>
      <c r="AF145" s="22">
        <f t="shared" ca="1" si="24"/>
        <v>3.1838467756277251E-2</v>
      </c>
      <c r="AG145">
        <f ca="1"/>
        <v>0.71705007324057057</v>
      </c>
      <c r="AH145">
        <f ca="1"/>
        <v>-0.32788441700793464</v>
      </c>
      <c r="AI145">
        <f ca="1"/>
        <v>7.3920312110935277E-2</v>
      </c>
      <c r="AJ145">
        <f ca="1"/>
        <v>-0.45030114695528506</v>
      </c>
      <c r="AK145">
        <f ca="1"/>
        <v>0.98721517861171382</v>
      </c>
      <c r="AN145" s="9">
        <v>0.46690082982465486</v>
      </c>
      <c r="AO145" s="9">
        <v>3.3505264929532257E-2</v>
      </c>
    </row>
    <row r="146" spans="28:41" x14ac:dyDescent="0.2">
      <c r="AB146" s="9"/>
      <c r="AC146" s="20"/>
      <c r="AE146" s="22" cm="1">
        <f t="array" aca="1" ref="AE146" ca="1">SQRT(MMULT(MMULT(AG146:AK146,var_covar),TRANSPOSE(AG146:AK146)))</f>
        <v>0.1177729124667339</v>
      </c>
      <c r="AF146" s="22">
        <f t="shared" ca="1" si="24"/>
        <v>1.3853760444736945E-2</v>
      </c>
      <c r="AG146">
        <f ca="1"/>
        <v>0.43793973423784477</v>
      </c>
      <c r="AH146">
        <f ca="1"/>
        <v>1.0697643929088603</v>
      </c>
      <c r="AI146">
        <f ca="1"/>
        <v>-0.23064567784132944</v>
      </c>
      <c r="AJ146">
        <f ca="1"/>
        <v>-0.45211231782925942</v>
      </c>
      <c r="AK146">
        <f ca="1"/>
        <v>0.17505386852388391</v>
      </c>
      <c r="AN146" s="9">
        <v>0.46478932100385939</v>
      </c>
      <c r="AO146" s="9">
        <v>6.5553114815306276E-2</v>
      </c>
    </row>
    <row r="147" spans="28:41" x14ac:dyDescent="0.2">
      <c r="AB147" s="9"/>
      <c r="AC147" s="20"/>
      <c r="AE147" s="22" cm="1">
        <f t="array" aca="1" ref="AE147" ca="1">SQRT(MMULT(MMULT(AG147:AK147,var_covar),TRANSPOSE(AG147:AK147)))</f>
        <v>0.12694768911246468</v>
      </c>
      <c r="AF147" s="22">
        <f t="shared" ca="1" si="24"/>
        <v>4.9923780731050665E-2</v>
      </c>
      <c r="AG147">
        <f ca="1"/>
        <v>0.34815235656930194</v>
      </c>
      <c r="AH147">
        <f ca="1"/>
        <v>-0.23186959523854561</v>
      </c>
      <c r="AI147">
        <f ca="1"/>
        <v>0.41208475824025753</v>
      </c>
      <c r="AJ147">
        <f ca="1"/>
        <v>0.70726422244314491</v>
      </c>
      <c r="AK147">
        <f ca="1"/>
        <v>-0.23563174201415887</v>
      </c>
      <c r="AN147" s="9">
        <v>0.46230964273153663</v>
      </c>
      <c r="AO147" s="9">
        <v>3.9295184612203743E-2</v>
      </c>
    </row>
    <row r="148" spans="28:41" x14ac:dyDescent="0.2">
      <c r="AB148" s="9"/>
      <c r="AC148" s="20"/>
      <c r="AE148" s="22" cm="1">
        <f t="array" aca="1" ref="AE148" ca="1">SQRT(MMULT(MMULT(AG148:AK148,var_covar),TRANSPOSE(AG148:AK148)))</f>
        <v>0.27739224377053218</v>
      </c>
      <c r="AF148" s="22">
        <f t="shared" ca="1" si="24"/>
        <v>4.9589968365254235E-2</v>
      </c>
      <c r="AG148">
        <f ca="1"/>
        <v>-1.514020553862907</v>
      </c>
      <c r="AH148">
        <f ca="1"/>
        <v>1.4718613407403327</v>
      </c>
      <c r="AI148">
        <f ca="1"/>
        <v>-0.95539502393245201</v>
      </c>
      <c r="AJ148">
        <f ca="1"/>
        <v>0.90129305233360324</v>
      </c>
      <c r="AK148">
        <f ca="1"/>
        <v>1.096261184721423</v>
      </c>
      <c r="AN148" s="9">
        <v>0.46156942431424769</v>
      </c>
      <c r="AO148" s="9">
        <v>8.8728104284187176E-2</v>
      </c>
    </row>
    <row r="149" spans="28:41" x14ac:dyDescent="0.2">
      <c r="AB149" s="9"/>
      <c r="AC149" s="20"/>
      <c r="AE149" s="22" cm="1">
        <f t="array" aca="1" ref="AE149" ca="1">SQRT(MMULT(MMULT(AG149:AK149,var_covar),TRANSPOSE(AG149:AK149)))</f>
        <v>0.27028519850951405</v>
      </c>
      <c r="AF149" s="22">
        <f t="shared" ca="1" si="24"/>
        <v>1.9289229969371192E-3</v>
      </c>
      <c r="AG149">
        <f ca="1"/>
        <v>0.82037305183808551</v>
      </c>
      <c r="AH149">
        <f ca="1"/>
        <v>-0.85147172240182556</v>
      </c>
      <c r="AI149">
        <f ca="1"/>
        <v>2.1034622677816048</v>
      </c>
      <c r="AJ149">
        <f ca="1"/>
        <v>-1.5652473698047993</v>
      </c>
      <c r="AK149">
        <f ca="1"/>
        <v>0.49288377258693444</v>
      </c>
      <c r="AN149" s="9">
        <v>0.44712346322579538</v>
      </c>
      <c r="AO149" s="9">
        <v>3.3771316602750096E-2</v>
      </c>
    </row>
    <row r="150" spans="28:41" x14ac:dyDescent="0.2">
      <c r="AB150" s="9"/>
      <c r="AC150" s="20"/>
      <c r="AE150" s="22" cm="1">
        <f t="array" aca="1" ref="AE150" ca="1">SQRT(MMULT(MMULT(AG150:AK150,var_covar),TRANSPOSE(AG150:AK150)))</f>
        <v>1.2914242240094544</v>
      </c>
      <c r="AF150" s="22">
        <f t="shared" ca="1" si="24"/>
        <v>0.16832393808833632</v>
      </c>
      <c r="AG150">
        <f ca="1"/>
        <v>-10.328417561757721</v>
      </c>
      <c r="AH150">
        <f ca="1"/>
        <v>-1.161601443336957</v>
      </c>
      <c r="AI150">
        <f ca="1"/>
        <v>6.7999003433263532</v>
      </c>
      <c r="AJ150">
        <f ca="1"/>
        <v>6.1125445283395896</v>
      </c>
      <c r="AK150">
        <f ca="1"/>
        <v>-0.42242586657126568</v>
      </c>
      <c r="AN150" s="9">
        <v>0.44628102585299512</v>
      </c>
      <c r="AO150" s="9">
        <v>-9.5107420758133443E-3</v>
      </c>
    </row>
    <row r="151" spans="28:41" x14ac:dyDescent="0.2">
      <c r="AB151" s="9"/>
      <c r="AC151" s="20"/>
      <c r="AE151" s="22" cm="1">
        <f t="array" aca="1" ref="AE151" ca="1">SQRT(MMULT(MMULT(AG151:AK151,var_covar),TRANSPOSE(AG151:AK151)))</f>
        <v>0.54363264478725604</v>
      </c>
      <c r="AF151" s="22">
        <f t="shared" ca="1" si="24"/>
        <v>-4.7836635352745682E-2</v>
      </c>
      <c r="AG151">
        <f ca="1"/>
        <v>-0.89163043425107757</v>
      </c>
      <c r="AH151">
        <f ca="1"/>
        <v>0.95217810956350357</v>
      </c>
      <c r="AI151">
        <f ca="1"/>
        <v>1.9272064500142843</v>
      </c>
      <c r="AJ151">
        <f ca="1"/>
        <v>-3.4354153196330612</v>
      </c>
      <c r="AK151">
        <f ca="1"/>
        <v>2.4476611943063507</v>
      </c>
      <c r="AN151" s="9">
        <v>0.44414462385744102</v>
      </c>
      <c r="AO151" s="9">
        <v>-4.9352463317544129E-3</v>
      </c>
    </row>
    <row r="152" spans="28:41" x14ac:dyDescent="0.2">
      <c r="AB152" s="9"/>
      <c r="AC152" s="20"/>
      <c r="AE152" s="22" cm="1">
        <f t="array" aca="1" ref="AE152" ca="1">SQRT(MMULT(MMULT(AG152:AK152,var_covar),TRANSPOSE(AG152:AK152)))</f>
        <v>0.43168732428391354</v>
      </c>
      <c r="AF152" s="22">
        <f t="shared" ca="1" si="24"/>
        <v>0.11820938819375562</v>
      </c>
      <c r="AG152">
        <f ca="1"/>
        <v>1.7319559745362711</v>
      </c>
      <c r="AH152">
        <f ca="1"/>
        <v>-1.0942408369750158</v>
      </c>
      <c r="AI152">
        <f ca="1"/>
        <v>-1.693062502753137</v>
      </c>
      <c r="AJ152">
        <f ca="1"/>
        <v>3.2199174257705434</v>
      </c>
      <c r="AK152">
        <f ca="1"/>
        <v>-1.1645700605786622</v>
      </c>
      <c r="AN152" s="9">
        <v>0.44049998073384111</v>
      </c>
      <c r="AO152" s="9">
        <v>0.11413741178122766</v>
      </c>
    </row>
    <row r="153" spans="28:41" x14ac:dyDescent="0.2">
      <c r="AB153" s="9"/>
      <c r="AC153" s="20"/>
      <c r="AE153" s="22" cm="1">
        <f t="array" aca="1" ref="AE153" ca="1">SQRT(MMULT(MMULT(AG153:AK153,var_covar),TRANSPOSE(AG153:AK153)))</f>
        <v>9.9677775561855628E-2</v>
      </c>
      <c r="AF153" s="22">
        <f t="shared" ca="1" si="24"/>
        <v>4.2801023730675243E-2</v>
      </c>
      <c r="AG153">
        <f ca="1"/>
        <v>0.51693968831289761</v>
      </c>
      <c r="AH153">
        <f ca="1"/>
        <v>0.21950387911834346</v>
      </c>
      <c r="AI153">
        <f ca="1"/>
        <v>-0.12829245517668711</v>
      </c>
      <c r="AJ153">
        <f ca="1"/>
        <v>0.49863504522858426</v>
      </c>
      <c r="AK153">
        <f ca="1"/>
        <v>-0.10678615748313817</v>
      </c>
      <c r="AN153" s="9">
        <v>0.4376422078986264</v>
      </c>
      <c r="AO153" s="9">
        <v>-3.1416334299179116E-3</v>
      </c>
    </row>
    <row r="154" spans="28:41" x14ac:dyDescent="0.2">
      <c r="AB154" s="9"/>
      <c r="AC154" s="20"/>
      <c r="AE154" s="22" cm="1">
        <f t="array" aca="1" ref="AE154" ca="1">SQRT(MMULT(MMULT(AG154:AK154,var_covar),TRANSPOSE(AG154:AK154)))</f>
        <v>0.25903686081064486</v>
      </c>
      <c r="AF154" s="22">
        <f t="shared" ca="1" si="24"/>
        <v>2.3296264760505326E-2</v>
      </c>
      <c r="AG154">
        <f ca="1"/>
        <v>-0.48787813951438685</v>
      </c>
      <c r="AH154">
        <f ca="1"/>
        <v>-0.67748371085917869</v>
      </c>
      <c r="AI154">
        <f ca="1"/>
        <v>2.2506933713361028</v>
      </c>
      <c r="AJ154">
        <f ca="1"/>
        <v>-0.57228683321231144</v>
      </c>
      <c r="AK154">
        <f ca="1"/>
        <v>0.48695531224977417</v>
      </c>
      <c r="AN154" s="9">
        <v>0.437586412810409</v>
      </c>
      <c r="AO154" s="9">
        <v>0.11024562983953361</v>
      </c>
    </row>
    <row r="155" spans="28:41" x14ac:dyDescent="0.2">
      <c r="AB155" s="9"/>
      <c r="AC155" s="20"/>
      <c r="AE155" s="22" cm="1">
        <f t="array" aca="1" ref="AE155" ca="1">SQRT(MMULT(MMULT(AG155:AK155,var_covar),TRANSPOSE(AG155:AK155)))</f>
        <v>1.400540190846413</v>
      </c>
      <c r="AF155" s="22">
        <f t="shared" ca="1" si="24"/>
        <v>0.13029580567048421</v>
      </c>
      <c r="AG155">
        <f ca="1"/>
        <v>-13.852965947922776</v>
      </c>
      <c r="AH155">
        <f ca="1"/>
        <v>5.6891520730570484</v>
      </c>
      <c r="AI155">
        <f ca="1"/>
        <v>-0.32499566074238379</v>
      </c>
      <c r="AJ155">
        <f ca="1"/>
        <v>5.3613570899052627</v>
      </c>
      <c r="AK155">
        <f ca="1"/>
        <v>4.1274524457028496</v>
      </c>
      <c r="AN155" s="9">
        <v>0.43110847858167861</v>
      </c>
      <c r="AO155" s="9">
        <v>-9.4098370515850183E-3</v>
      </c>
    </row>
    <row r="156" spans="28:41" x14ac:dyDescent="0.2">
      <c r="AB156" s="9"/>
      <c r="AC156" s="20"/>
      <c r="AE156" s="22" cm="1">
        <f t="array" aca="1" ref="AE156" ca="1">SQRT(MMULT(MMULT(AG156:AK156,var_covar),TRANSPOSE(AG156:AK156)))</f>
        <v>0.16641900630863901</v>
      </c>
      <c r="AF156" s="22">
        <f t="shared" ca="1" si="24"/>
        <v>3.6743052340842054E-2</v>
      </c>
      <c r="AG156">
        <f ca="1"/>
        <v>0.21264086426078935</v>
      </c>
      <c r="AH156">
        <f ca="1"/>
        <v>-6.0376738944883379E-3</v>
      </c>
      <c r="AI156">
        <f ca="1"/>
        <v>-1.9768621040513544E-2</v>
      </c>
      <c r="AJ156">
        <f ca="1"/>
        <v>-0.10122727810430042</v>
      </c>
      <c r="AK156">
        <f ca="1"/>
        <v>0.91439270877851297</v>
      </c>
      <c r="AN156" s="9">
        <v>0.4309648922635369</v>
      </c>
      <c r="AO156" s="9">
        <v>-2.8315555171606693E-2</v>
      </c>
    </row>
    <row r="157" spans="28:41" x14ac:dyDescent="0.2">
      <c r="AB157" s="9"/>
      <c r="AC157" s="20"/>
      <c r="AE157" s="22" cm="1">
        <f t="array" aca="1" ref="AE157" ca="1">SQRT(MMULT(MMULT(AG157:AK157,var_covar),TRANSPOSE(AG157:AK157)))</f>
        <v>0.11652517741018178</v>
      </c>
      <c r="AF157" s="22">
        <f t="shared" ca="1" si="24"/>
        <v>5.004790921689567E-2</v>
      </c>
      <c r="AG157">
        <f ca="1"/>
        <v>-3.0133930596719417E-2</v>
      </c>
      <c r="AH157">
        <f ca="1"/>
        <v>0.10089909376191691</v>
      </c>
      <c r="AI157">
        <f ca="1"/>
        <v>8.3623334860368024E-3</v>
      </c>
      <c r="AJ157">
        <f ca="1"/>
        <v>0.68190565936549796</v>
      </c>
      <c r="AK157">
        <f ca="1"/>
        <v>0.23896684398326759</v>
      </c>
      <c r="AN157" s="9">
        <v>0.43091525961675692</v>
      </c>
      <c r="AO157" s="9">
        <v>0.1345946647385371</v>
      </c>
    </row>
    <row r="158" spans="28:41" x14ac:dyDescent="0.2">
      <c r="AB158" s="9"/>
      <c r="AC158" s="20"/>
      <c r="AE158" s="22" cm="1">
        <f t="array" aca="1" ref="AE158" ca="1">SQRT(MMULT(MMULT(AG158:AK158,var_covar),TRANSPOSE(AG158:AK158)))</f>
        <v>0.6537275587475353</v>
      </c>
      <c r="AF158" s="22">
        <f t="shared" ca="1" si="24"/>
        <v>0.1067046274476556</v>
      </c>
      <c r="AG158">
        <f ca="1"/>
        <v>-5.0320808002265274</v>
      </c>
      <c r="AH158">
        <f ca="1"/>
        <v>-7.8362463537267404E-2</v>
      </c>
      <c r="AI158">
        <f ca="1"/>
        <v>3.0241534088919346</v>
      </c>
      <c r="AJ158">
        <f ca="1"/>
        <v>3.5263216014379508</v>
      </c>
      <c r="AK158">
        <f ca="1"/>
        <v>-0.44003174656609045</v>
      </c>
      <c r="AN158" s="9">
        <v>0.42971102377510789</v>
      </c>
      <c r="AO158" s="9">
        <v>2.677901749463641E-2</v>
      </c>
    </row>
    <row r="159" spans="28:41" x14ac:dyDescent="0.2">
      <c r="AB159" s="9"/>
      <c r="AC159" s="20"/>
      <c r="AE159" s="22" cm="1">
        <f t="array" aca="1" ref="AE159" ca="1">SQRT(MMULT(MMULT(AG159:AK159,var_covar),TRANSPOSE(AG159:AK159)))</f>
        <v>0.1078371740832931</v>
      </c>
      <c r="AF159" s="22">
        <f t="shared" ca="1" si="24"/>
        <v>4.5011172788170385E-2</v>
      </c>
      <c r="AG159">
        <f ca="1"/>
        <v>0.15060894014792903</v>
      </c>
      <c r="AH159">
        <f ca="1"/>
        <v>-0.11748837548186372</v>
      </c>
      <c r="AI159">
        <f ca="1"/>
        <v>0.29095635976481288</v>
      </c>
      <c r="AJ159">
        <f ca="1"/>
        <v>0.40253256943577626</v>
      </c>
      <c r="AK159">
        <f ca="1"/>
        <v>0.27339050613334553</v>
      </c>
      <c r="AN159" s="9">
        <v>0.42747573297778824</v>
      </c>
      <c r="AO159" s="9">
        <v>4.2407825259699848E-2</v>
      </c>
    </row>
    <row r="160" spans="28:41" x14ac:dyDescent="0.2">
      <c r="AB160" s="9"/>
      <c r="AC160" s="20"/>
      <c r="AE160" s="22" cm="1">
        <f t="array" aca="1" ref="AE160" ca="1">SQRT(MMULT(MMULT(AG160:AK160,var_covar),TRANSPOSE(AG160:AK160)))</f>
        <v>6.5332618855959055</v>
      </c>
      <c r="AF160" s="22">
        <f t="shared" ca="1" si="24"/>
        <v>0.79866097387406998</v>
      </c>
      <c r="AG160">
        <f ca="1"/>
        <v>-57.439418067899474</v>
      </c>
      <c r="AH160">
        <f ca="1"/>
        <v>10.722393529540337</v>
      </c>
      <c r="AI160">
        <f ca="1"/>
        <v>-7.200994665213897</v>
      </c>
      <c r="AJ160">
        <f ca="1"/>
        <v>29.330512851291754</v>
      </c>
      <c r="AK160">
        <f ca="1"/>
        <v>25.587506352281267</v>
      </c>
      <c r="AN160" s="9">
        <v>0.4274030893075012</v>
      </c>
      <c r="AO160" s="9">
        <v>0.11546808486197931</v>
      </c>
    </row>
    <row r="161" spans="28:41" x14ac:dyDescent="0.2">
      <c r="AB161" s="9"/>
      <c r="AC161" s="20"/>
      <c r="AE161" s="22" cm="1">
        <f t="array" aca="1" ref="AE161" ca="1">SQRT(MMULT(MMULT(AG161:AK161,var_covar),TRANSPOSE(AG161:AK161)))</f>
        <v>1.2201565421714244</v>
      </c>
      <c r="AF161" s="22">
        <f t="shared" ca="1" si="24"/>
        <v>4.1573407790252981E-3</v>
      </c>
      <c r="AG161">
        <f ca="1"/>
        <v>2.9212594468796969</v>
      </c>
      <c r="AH161">
        <f ca="1"/>
        <v>0.17046699674223978</v>
      </c>
      <c r="AI161">
        <f ca="1"/>
        <v>-5.0855763097934297</v>
      </c>
      <c r="AJ161">
        <f ca="1"/>
        <v>-3.4101779728079373</v>
      </c>
      <c r="AK161">
        <f ca="1"/>
        <v>6.404027838979431</v>
      </c>
      <c r="AN161" s="9">
        <v>0.42628898544120042</v>
      </c>
      <c r="AO161" s="9">
        <v>8.9796262874104193E-2</v>
      </c>
    </row>
    <row r="162" spans="28:41" x14ac:dyDescent="0.2">
      <c r="AB162" s="9"/>
      <c r="AC162" s="20"/>
      <c r="AE162" s="22" cm="1">
        <f t="array" aca="1" ref="AE162" ca="1">SQRT(MMULT(MMULT(AG162:AK162,var_covar),TRANSPOSE(AG162:AK162)))</f>
        <v>0.1058359550332949</v>
      </c>
      <c r="AF162" s="22">
        <f t="shared" ca="1" si="24"/>
        <v>3.3009012730426043E-2</v>
      </c>
      <c r="AG162">
        <f ca="1"/>
        <v>0.19360362140592635</v>
      </c>
      <c r="AH162">
        <f ca="1"/>
        <v>0.37024490983032626</v>
      </c>
      <c r="AI162">
        <f ca="1"/>
        <v>-3.2812394561869185E-2</v>
      </c>
      <c r="AJ162">
        <f ca="1"/>
        <v>1.5475983170278583E-2</v>
      </c>
      <c r="AK162">
        <f ca="1"/>
        <v>0.45348788015533797</v>
      </c>
      <c r="AN162" s="9">
        <v>0.42446014020210571</v>
      </c>
      <c r="AO162" s="9">
        <v>7.457359219627549E-3</v>
      </c>
    </row>
    <row r="163" spans="28:41" x14ac:dyDescent="0.2">
      <c r="AB163" s="9"/>
      <c r="AC163" s="20"/>
      <c r="AE163" s="22" cm="1">
        <f t="array" aca="1" ref="AE163" ca="1">SQRT(MMULT(MMULT(AG163:AK163,var_covar),TRANSPOSE(AG163:AK163)))</f>
        <v>0.26368966641910213</v>
      </c>
      <c r="AF163" s="22">
        <f t="shared" ca="1" si="24"/>
        <v>7.7280345430907421E-2</v>
      </c>
      <c r="AG163">
        <f ca="1"/>
        <v>-0.10714858971544171</v>
      </c>
      <c r="AH163">
        <f ca="1"/>
        <v>-1.3912098160816231</v>
      </c>
      <c r="AI163">
        <f ca="1"/>
        <v>1.2730556766584273</v>
      </c>
      <c r="AJ163">
        <f ca="1"/>
        <v>1.4844218928461961</v>
      </c>
      <c r="AK163">
        <f ca="1"/>
        <v>-0.25911916370755889</v>
      </c>
      <c r="AN163" s="9">
        <v>0.41963992685308343</v>
      </c>
      <c r="AO163" s="9">
        <v>-2.2099960328493963E-2</v>
      </c>
    </row>
    <row r="164" spans="28:41" x14ac:dyDescent="0.2">
      <c r="AB164" s="9"/>
      <c r="AC164" s="20"/>
      <c r="AE164" s="22" cm="1">
        <f t="array" aca="1" ref="AE164" ca="1">SQRT(MMULT(MMULT(AG164:AK164,var_covar),TRANSPOSE(AG164:AK164)))</f>
        <v>0.1428956829231538</v>
      </c>
      <c r="AF164" s="22">
        <f t="shared" ca="1" si="24"/>
        <v>3.7163537061294175E-2</v>
      </c>
      <c r="AG164">
        <f ca="1"/>
        <v>0.35040402620389333</v>
      </c>
      <c r="AH164">
        <f ca="1"/>
        <v>-1.1850341092116547E-2</v>
      </c>
      <c r="AI164">
        <f ca="1"/>
        <v>0.81671018365322989</v>
      </c>
      <c r="AJ164">
        <f ca="1"/>
        <v>0.38732531363183775</v>
      </c>
      <c r="AK164">
        <f ca="1"/>
        <v>-0.5425891823968445</v>
      </c>
      <c r="AN164" s="9">
        <v>0.41775350072166173</v>
      </c>
      <c r="AO164" s="9">
        <v>6.1015958621882027E-2</v>
      </c>
    </row>
    <row r="165" spans="28:41" x14ac:dyDescent="0.2">
      <c r="AB165" s="9"/>
      <c r="AC165" s="20"/>
      <c r="AE165" s="22" cm="1">
        <f t="array" aca="1" ref="AE165" ca="1">SQRT(MMULT(MMULT(AG165:AK165,var_covar),TRANSPOSE(AG165:AK165)))</f>
        <v>9.2524506642530382E-2</v>
      </c>
      <c r="AF165" s="22">
        <f t="shared" ca="1" si="24"/>
        <v>3.9230633240902153E-2</v>
      </c>
      <c r="AG165">
        <f ca="1"/>
        <v>0.39334148930001134</v>
      </c>
      <c r="AH165">
        <f ca="1"/>
        <v>0.3844922789874573</v>
      </c>
      <c r="AI165">
        <f ca="1"/>
        <v>-0.15444157209437731</v>
      </c>
      <c r="AJ165">
        <f ca="1"/>
        <v>0.38972487410397516</v>
      </c>
      <c r="AK165">
        <f ca="1"/>
        <v>-1.3117070297066427E-2</v>
      </c>
      <c r="AN165" s="9">
        <v>0.41681755098393586</v>
      </c>
      <c r="AO165" s="9">
        <v>4.9823179118743788E-2</v>
      </c>
    </row>
    <row r="166" spans="28:41" x14ac:dyDescent="0.2">
      <c r="AB166" s="9"/>
      <c r="AC166" s="20"/>
      <c r="AE166" s="22" cm="1">
        <f t="array" aca="1" ref="AE166" ca="1">SQRT(MMULT(MMULT(AG166:AK166,var_covar),TRANSPOSE(AG166:AK166)))</f>
        <v>0.39019574169304011</v>
      </c>
      <c r="AF166" s="22">
        <f t="shared" ca="1" si="24"/>
        <v>0.11803369438056732</v>
      </c>
      <c r="AG166">
        <f ca="1"/>
        <v>0.78692288705121816</v>
      </c>
      <c r="AH166">
        <f ca="1"/>
        <v>-1.9135844006548179</v>
      </c>
      <c r="AI166">
        <f ca="1"/>
        <v>4.6276509911798207E-2</v>
      </c>
      <c r="AJ166">
        <f ca="1"/>
        <v>3.0155619360268435</v>
      </c>
      <c r="AK166">
        <f ca="1"/>
        <v>-0.93517693233504218</v>
      </c>
      <c r="AN166" s="9">
        <v>0.40096816292178294</v>
      </c>
      <c r="AO166" s="9">
        <v>2.1331879264108525E-2</v>
      </c>
    </row>
    <row r="167" spans="28:41" x14ac:dyDescent="0.2">
      <c r="AB167" s="9"/>
      <c r="AC167" s="20"/>
      <c r="AE167" s="22" cm="1">
        <f t="array" aca="1" ref="AE167" ca="1">SQRT(MMULT(MMULT(AG167:AK167,var_covar),TRANSPOSE(AG167:AK167)))</f>
        <v>0.64976407099892497</v>
      </c>
      <c r="AF167" s="22">
        <f t="shared" ca="1" si="24"/>
        <v>0.10457738915880217</v>
      </c>
      <c r="AG167">
        <f ca="1"/>
        <v>-1.7280666681711057</v>
      </c>
      <c r="AH167">
        <f ca="1"/>
        <v>0.97362783223208638</v>
      </c>
      <c r="AI167">
        <f ca="1"/>
        <v>-3.6004375399044806</v>
      </c>
      <c r="AJ167">
        <f ca="1"/>
        <v>2.1631367887621389</v>
      </c>
      <c r="AK167">
        <f ca="1"/>
        <v>3.1917395870813614</v>
      </c>
      <c r="AN167" s="9">
        <v>0.4005490598214253</v>
      </c>
      <c r="AO167" s="9">
        <v>-3.31212942884406E-2</v>
      </c>
    </row>
    <row r="168" spans="28:41" x14ac:dyDescent="0.2">
      <c r="AB168" s="9"/>
      <c r="AC168" s="20"/>
      <c r="AE168" s="22" cm="1">
        <f t="array" aca="1" ref="AE168" ca="1">SQRT(MMULT(MMULT(AG168:AK168,var_covar),TRANSPOSE(AG168:AK168)))</f>
        <v>0.11694039804978902</v>
      </c>
      <c r="AF168" s="22">
        <f t="shared" ca="1" si="24"/>
        <v>3.4210775752975764E-2</v>
      </c>
      <c r="AG168">
        <f ca="1"/>
        <v>0.29134003561388355</v>
      </c>
      <c r="AH168">
        <f ca="1"/>
        <v>-0.17177917465765008</v>
      </c>
      <c r="AI168">
        <f ca="1"/>
        <v>0.53207178472916228</v>
      </c>
      <c r="AJ168">
        <f ca="1"/>
        <v>-8.9932834115590346E-2</v>
      </c>
      <c r="AK168">
        <f ca="1"/>
        <v>0.43830018843019458</v>
      </c>
      <c r="AN168" s="9">
        <v>0.40000739870636454</v>
      </c>
      <c r="AO168" s="9">
        <v>4.1150295245205429E-2</v>
      </c>
    </row>
    <row r="169" spans="28:41" x14ac:dyDescent="0.2">
      <c r="AB169" s="9"/>
      <c r="AC169" s="20"/>
      <c r="AE169" s="22" cm="1">
        <f t="array" aca="1" ref="AE169" ca="1">SQRT(MMULT(MMULT(AG169:AK169,var_covar),TRANSPOSE(AG169:AK169)))</f>
        <v>0.2951998179912072</v>
      </c>
      <c r="AF169" s="22">
        <f t="shared" ca="1" si="24"/>
        <v>3.1321836823876126E-2</v>
      </c>
      <c r="AG169">
        <f ca="1"/>
        <v>0.37398168079620064</v>
      </c>
      <c r="AH169">
        <f ca="1"/>
        <v>0.69092676053552737</v>
      </c>
      <c r="AI169">
        <f ca="1"/>
        <v>-1.2727201957371848</v>
      </c>
      <c r="AJ169">
        <f ca="1"/>
        <v>-0.35220019742153835</v>
      </c>
      <c r="AK169">
        <f ca="1"/>
        <v>1.560011951826995</v>
      </c>
      <c r="AN169" s="9">
        <v>0.39636837408581882</v>
      </c>
      <c r="AO169" s="9">
        <v>5.0128870140606477E-2</v>
      </c>
    </row>
    <row r="170" spans="28:41" x14ac:dyDescent="0.2">
      <c r="AB170" s="9"/>
      <c r="AC170" s="20"/>
      <c r="AE170" s="22" cm="1">
        <f t="array" aca="1" ref="AE170" ca="1">SQRT(MMULT(MMULT(AG170:AK170,var_covar),TRANSPOSE(AG170:AK170)))</f>
        <v>0.19378557496767798</v>
      </c>
      <c r="AF170" s="22">
        <f t="shared" ca="1" si="24"/>
        <v>6.9657212520347886E-2</v>
      </c>
      <c r="AG170">
        <f ca="1"/>
        <v>1.225845362082383</v>
      </c>
      <c r="AH170">
        <f ca="1"/>
        <v>-0.79942976283735923</v>
      </c>
      <c r="AI170">
        <f ca="1"/>
        <v>-0.77728550939576968</v>
      </c>
      <c r="AJ170">
        <f ca="1"/>
        <v>1.0163534065166231</v>
      </c>
      <c r="AK170">
        <f ca="1"/>
        <v>0.33451650363412272</v>
      </c>
      <c r="AN170" s="9">
        <v>0.39496946793259397</v>
      </c>
      <c r="AO170" s="9">
        <v>-1.8012455541856209E-4</v>
      </c>
    </row>
    <row r="171" spans="28:41" x14ac:dyDescent="0.2">
      <c r="AB171" s="9"/>
      <c r="AC171" s="20"/>
      <c r="AE171" s="22" cm="1">
        <f t="array" aca="1" ref="AE171" ca="1">SQRT(MMULT(MMULT(AG171:AK171,var_covar),TRANSPOSE(AG171:AK171)))</f>
        <v>0.12243048455567822</v>
      </c>
      <c r="AF171" s="22">
        <f t="shared" ca="1" si="24"/>
        <v>3.8515876009211365E-2</v>
      </c>
      <c r="AG171">
        <f ca="1"/>
        <v>0.74313269014645267</v>
      </c>
      <c r="AH171">
        <f ca="1"/>
        <v>-0.25834434597511718</v>
      </c>
      <c r="AI171">
        <f ca="1"/>
        <v>0.60746305212950535</v>
      </c>
      <c r="AJ171">
        <f ca="1"/>
        <v>0.27060261573219857</v>
      </c>
      <c r="AK171">
        <f ca="1"/>
        <v>-0.3628540120330393</v>
      </c>
      <c r="AN171" s="9">
        <v>0.38922622857984635</v>
      </c>
      <c r="AO171" s="9">
        <v>1.2579286704863982E-2</v>
      </c>
    </row>
    <row r="172" spans="28:41" x14ac:dyDescent="0.2">
      <c r="AB172" s="9"/>
      <c r="AC172" s="20"/>
      <c r="AE172" s="22" cm="1">
        <f t="array" aca="1" ref="AE172" ca="1">SQRT(MMULT(MMULT(AG172:AK172,var_covar),TRANSPOSE(AG172:AK172)))</f>
        <v>0.89601907685312354</v>
      </c>
      <c r="AF172" s="22">
        <f t="shared" ca="1" si="24"/>
        <v>-0.18628014207115356</v>
      </c>
      <c r="AG172">
        <f ca="1"/>
        <v>0.44366164747362874</v>
      </c>
      <c r="AH172">
        <f ca="1"/>
        <v>8.2635307048022195</v>
      </c>
      <c r="AI172">
        <f ca="1"/>
        <v>-1.1175176203274291</v>
      </c>
      <c r="AJ172">
        <f ca="1"/>
        <v>-5.7289810388222691</v>
      </c>
      <c r="AK172">
        <f ca="1"/>
        <v>-0.86069369312614963</v>
      </c>
      <c r="AN172" s="9">
        <v>0.38598285561619666</v>
      </c>
      <c r="AO172" s="9">
        <v>-2.5685022148720649E-3</v>
      </c>
    </row>
    <row r="173" spans="28:41" x14ac:dyDescent="0.2">
      <c r="AB173" s="9"/>
      <c r="AC173" s="20"/>
      <c r="AE173" s="22" cm="1">
        <f t="array" aca="1" ref="AE173" ca="1">SQRT(MMULT(MMULT(AG173:AK173,var_covar),TRANSPOSE(AG173:AK173)))</f>
        <v>0.33293841254839507</v>
      </c>
      <c r="AF173" s="22">
        <f t="shared" ca="1" si="24"/>
        <v>6.281905302780641E-2</v>
      </c>
      <c r="AG173">
        <f ca="1"/>
        <v>0.69892087788775958</v>
      </c>
      <c r="AH173">
        <f ca="1"/>
        <v>0.94227315209760676</v>
      </c>
      <c r="AI173">
        <f ca="1"/>
        <v>-2.6697388083442828</v>
      </c>
      <c r="AJ173">
        <f ca="1"/>
        <v>1.0731772803428155</v>
      </c>
      <c r="AK173">
        <f ca="1"/>
        <v>0.95536749801610066</v>
      </c>
      <c r="AN173" s="9">
        <v>0.38508624033888722</v>
      </c>
      <c r="AO173" s="9">
        <v>6.2717606623260702E-3</v>
      </c>
    </row>
    <row r="174" spans="28:41" x14ac:dyDescent="0.2">
      <c r="AB174" s="9"/>
      <c r="AC174" s="20"/>
      <c r="AE174" s="22" cm="1">
        <f t="array" aca="1" ref="AE174" ca="1">SQRT(MMULT(MMULT(AG174:AK174,var_covar),TRANSPOSE(AG174:AK174)))</f>
        <v>0.20583139170427597</v>
      </c>
      <c r="AF174" s="22">
        <f t="shared" ca="1" si="24"/>
        <v>7.5719722310025966E-2</v>
      </c>
      <c r="AG174">
        <f ca="1"/>
        <v>0.87912463993337331</v>
      </c>
      <c r="AH174">
        <f ca="1"/>
        <v>-1.2829617780241305</v>
      </c>
      <c r="AI174">
        <f ca="1"/>
        <v>0.21372083984857787</v>
      </c>
      <c r="AJ174">
        <f ca="1"/>
        <v>1.3012965355717991</v>
      </c>
      <c r="AK174">
        <f ca="1"/>
        <v>-0.11118023732961983</v>
      </c>
      <c r="AN174" s="9">
        <v>0.38330018477692368</v>
      </c>
      <c r="AO174" s="9">
        <v>-3.7805377532278417E-3</v>
      </c>
    </row>
    <row r="175" spans="28:41" x14ac:dyDescent="0.2">
      <c r="AB175" s="9"/>
      <c r="AC175" s="20"/>
      <c r="AE175" s="22" cm="1">
        <f t="array" aca="1" ref="AE175" ca="1">SQRT(MMULT(MMULT(AG175:AK175,var_covar),TRANSPOSE(AG175:AK175)))</f>
        <v>0.71924261603105299</v>
      </c>
      <c r="AF175" s="22">
        <f t="shared" ca="1" si="24"/>
        <v>-9.2570170950250247E-2</v>
      </c>
      <c r="AG175">
        <f ca="1"/>
        <v>-1.4631061905437917</v>
      </c>
      <c r="AH175">
        <f ca="1"/>
        <v>0.63020965357208025</v>
      </c>
      <c r="AI175">
        <f ca="1"/>
        <v>6.6339447553447775</v>
      </c>
      <c r="AJ175">
        <f ca="1"/>
        <v>-4.0918798570049484</v>
      </c>
      <c r="AK175">
        <f ca="1"/>
        <v>-0.70916836136811756</v>
      </c>
      <c r="AN175" s="9">
        <v>0.38220181566789274</v>
      </c>
      <c r="AO175" s="9">
        <v>8.1516599149944372E-2</v>
      </c>
    </row>
    <row r="176" spans="28:41" x14ac:dyDescent="0.2">
      <c r="AB176" s="9"/>
      <c r="AC176" s="20"/>
      <c r="AE176" s="22" cm="1">
        <f t="array" aca="1" ref="AE176" ca="1">SQRT(MMULT(MMULT(AG176:AK176,var_covar),TRANSPOSE(AG176:AK176)))</f>
        <v>0.1249372087918813</v>
      </c>
      <c r="AF176" s="22">
        <f t="shared" ca="1" si="24"/>
        <v>3.7667078983442112E-2</v>
      </c>
      <c r="AG176">
        <f ca="1"/>
        <v>0.58610497951913998</v>
      </c>
      <c r="AH176">
        <f ca="1"/>
        <v>0.63172844995627309</v>
      </c>
      <c r="AI176">
        <f ca="1"/>
        <v>-0.70491336768934931</v>
      </c>
      <c r="AJ176">
        <f ca="1"/>
        <v>0.31458872701339596</v>
      </c>
      <c r="AK176">
        <f ca="1"/>
        <v>0.17249121120054017</v>
      </c>
      <c r="AN176" s="9">
        <v>0.37908951273161523</v>
      </c>
      <c r="AO176" s="9">
        <v>-2.0987072398912454E-2</v>
      </c>
    </row>
    <row r="177" spans="28:41" x14ac:dyDescent="0.2">
      <c r="AB177" s="9"/>
      <c r="AC177" s="20"/>
      <c r="AE177" s="22" cm="1">
        <f t="array" aca="1" ref="AE177" ca="1">SQRT(MMULT(MMULT(AG177:AK177,var_covar),TRANSPOSE(AG177:AK177)))</f>
        <v>0.28970275577900761</v>
      </c>
      <c r="AF177" s="22">
        <f t="shared" ca="1" si="24"/>
        <v>2.120379603144917E-2</v>
      </c>
      <c r="AG177">
        <f ca="1"/>
        <v>-1.8516954678908353</v>
      </c>
      <c r="AH177">
        <f ca="1"/>
        <v>0.96500519106570171</v>
      </c>
      <c r="AI177">
        <f ca="1"/>
        <v>0.91722239334501898</v>
      </c>
      <c r="AJ177">
        <f ca="1"/>
        <v>-0.34394851683657174</v>
      </c>
      <c r="AK177">
        <f ca="1"/>
        <v>1.3134164003166862</v>
      </c>
      <c r="AN177" s="9">
        <v>0.37814721054983508</v>
      </c>
      <c r="AO177" s="9">
        <v>-7.3852711769648333E-2</v>
      </c>
    </row>
    <row r="178" spans="28:41" x14ac:dyDescent="0.2">
      <c r="AB178" s="9"/>
      <c r="AC178" s="20"/>
      <c r="AE178" s="22" cm="1">
        <f t="array" aca="1" ref="AE178" ca="1">SQRT(MMULT(MMULT(AG178:AK178,var_covar),TRANSPOSE(AG178:AK178)))</f>
        <v>0.18731881886696741</v>
      </c>
      <c r="AF178" s="22">
        <f t="shared" ca="1" si="24"/>
        <v>1.3279026544903923E-2</v>
      </c>
      <c r="AG178">
        <f ca="1"/>
        <v>-0.76777492890396803</v>
      </c>
      <c r="AH178">
        <f ca="1"/>
        <v>1.1911345918583767</v>
      </c>
      <c r="AI178">
        <f ca="1"/>
        <v>0.28998385277304867</v>
      </c>
      <c r="AJ178">
        <f ca="1"/>
        <v>-0.52954773707970049</v>
      </c>
      <c r="AK178">
        <f ca="1"/>
        <v>0.81620422135224313</v>
      </c>
      <c r="AN178" s="9">
        <v>0.37659132770593623</v>
      </c>
      <c r="AO178" s="9">
        <v>5.0281510800670906E-2</v>
      </c>
    </row>
    <row r="179" spans="28:41" x14ac:dyDescent="0.2">
      <c r="AB179" s="9"/>
      <c r="AC179" s="20"/>
      <c r="AE179" s="22" cm="1">
        <f t="array" aca="1" ref="AE179" ca="1">SQRT(MMULT(MMULT(AG179:AK179,var_covar),TRANSPOSE(AG179:AK179)))</f>
        <v>0.70252980017301692</v>
      </c>
      <c r="AF179" s="22">
        <f t="shared" ca="1" si="24"/>
        <v>-0.15083095364453142</v>
      </c>
      <c r="AG179">
        <f ca="1"/>
        <v>0.3219478346799558</v>
      </c>
      <c r="AH179">
        <f ca="1"/>
        <v>2.4845929208033435</v>
      </c>
      <c r="AI179">
        <f ca="1"/>
        <v>4.2832601240302184</v>
      </c>
      <c r="AJ179">
        <f ca="1"/>
        <v>-6.2840452126755002</v>
      </c>
      <c r="AK179">
        <f ca="1"/>
        <v>0.19424433316198325</v>
      </c>
      <c r="AN179" s="9">
        <v>0.37573023072976336</v>
      </c>
      <c r="AO179" s="9">
        <v>-2.7179968220709033E-2</v>
      </c>
    </row>
    <row r="180" spans="28:41" x14ac:dyDescent="0.2">
      <c r="AB180" s="9"/>
      <c r="AC180" s="20"/>
      <c r="AE180" s="22" cm="1">
        <f t="array" aca="1" ref="AE180" ca="1">SQRT(MMULT(MMULT(AG180:AK180,var_covar),TRANSPOSE(AG180:AK180)))</f>
        <v>9.359274257967122E-2</v>
      </c>
      <c r="AF180" s="22">
        <f t="shared" ca="1" si="24"/>
        <v>3.7582108202686371E-2</v>
      </c>
      <c r="AG180">
        <f ca="1"/>
        <v>0.27940066395826235</v>
      </c>
      <c r="AH180">
        <f ca="1"/>
        <v>-6.1911967585042953E-3</v>
      </c>
      <c r="AI180">
        <f ca="1"/>
        <v>0.33757912785050254</v>
      </c>
      <c r="AJ180">
        <f ca="1"/>
        <v>0.14980580356342299</v>
      </c>
      <c r="AK180">
        <f ca="1"/>
        <v>0.23940560138631631</v>
      </c>
      <c r="AN180" s="9">
        <v>0.37506950342411877</v>
      </c>
      <c r="AO180" s="9">
        <v>5.4369290757655175E-2</v>
      </c>
    </row>
    <row r="181" spans="28:41" x14ac:dyDescent="0.2">
      <c r="AB181" s="9"/>
      <c r="AC181" s="20"/>
      <c r="AE181" s="22" cm="1">
        <f t="array" aca="1" ref="AE181" ca="1">SQRT(MMULT(MMULT(AG181:AK181,var_covar),TRANSPOSE(AG181:AK181)))</f>
        <v>0.26200803476427564</v>
      </c>
      <c r="AF181" s="22">
        <f t="shared" ca="1" si="24"/>
        <v>3.9617215387883015E-2</v>
      </c>
      <c r="AG181">
        <f ca="1"/>
        <v>0.197581555665265</v>
      </c>
      <c r="AH181">
        <f ca="1"/>
        <v>0.19126491750403857</v>
      </c>
      <c r="AI181">
        <f ca="1"/>
        <v>-0.75099652183989818</v>
      </c>
      <c r="AJ181">
        <f ca="1"/>
        <v>-0.13289747332036378</v>
      </c>
      <c r="AK181">
        <f ca="1"/>
        <v>1.4950475219909583</v>
      </c>
      <c r="AN181" s="9">
        <v>0.37466185769603422</v>
      </c>
      <c r="AO181" s="9">
        <v>3.3282352291870571E-2</v>
      </c>
    </row>
    <row r="182" spans="28:41" x14ac:dyDescent="0.2">
      <c r="AB182" s="9"/>
      <c r="AC182" s="20"/>
      <c r="AE182" s="22" cm="1">
        <f t="array" aca="1" ref="AE182" ca="1">SQRT(MMULT(MMULT(AG182:AK182,var_covar),TRANSPOSE(AG182:AK182)))</f>
        <v>1.8388880457696326</v>
      </c>
      <c r="AF182" s="22">
        <f t="shared" ca="1" si="24"/>
        <v>0.10457118124203937</v>
      </c>
      <c r="AG182">
        <f ca="1"/>
        <v>-12.422083354874358</v>
      </c>
      <c r="AH182">
        <f ca="1"/>
        <v>-4.6540598327846681</v>
      </c>
      <c r="AI182">
        <f ca="1"/>
        <v>13.781005189750589</v>
      </c>
      <c r="AJ182">
        <f ca="1"/>
        <v>2.1141156486342347</v>
      </c>
      <c r="AK182">
        <f ca="1"/>
        <v>2.1810223492742007</v>
      </c>
      <c r="AN182" s="9">
        <v>0.3745948001521302</v>
      </c>
      <c r="AO182" s="9">
        <v>-4.555707066615252E-2</v>
      </c>
    </row>
    <row r="183" spans="28:41" x14ac:dyDescent="0.2">
      <c r="AB183" s="9"/>
      <c r="AC183" s="20"/>
      <c r="AE183" s="22" cm="1">
        <f t="array" aca="1" ref="AE183" ca="1">SQRT(MMULT(MMULT(AG183:AK183,var_covar),TRANSPOSE(AG183:AK183)))</f>
        <v>0.28044352610773654</v>
      </c>
      <c r="AF183" s="22">
        <f t="shared" ca="1" si="24"/>
        <v>5.5897204541947937E-2</v>
      </c>
      <c r="AG183">
        <f ca="1"/>
        <v>-0.61041608115564661</v>
      </c>
      <c r="AH183">
        <f ca="1"/>
        <v>-1.0732774709157304</v>
      </c>
      <c r="AI183">
        <f ca="1"/>
        <v>1.1201523370079736</v>
      </c>
      <c r="AJ183">
        <f ca="1"/>
        <v>0.30698659050897531</v>
      </c>
      <c r="AK183">
        <f ca="1"/>
        <v>1.2565546245544281</v>
      </c>
      <c r="AN183" s="9">
        <v>0.37197747578858692</v>
      </c>
      <c r="AO183" s="9">
        <v>5.5344107123770886E-2</v>
      </c>
    </row>
    <row r="184" spans="28:41" x14ac:dyDescent="0.2">
      <c r="AB184" s="9"/>
      <c r="AC184" s="20"/>
      <c r="AE184" s="22" cm="1">
        <f t="array" aca="1" ref="AE184" ca="1">SQRT(MMULT(MMULT(AG184:AK184,var_covar),TRANSPOSE(AG184:AK184)))</f>
        <v>0.11262082667865232</v>
      </c>
      <c r="AF184" s="22">
        <f t="shared" ca="1" si="24"/>
        <v>1.9500492482489955E-2</v>
      </c>
      <c r="AG184">
        <f ca="1"/>
        <v>0.15666916926955676</v>
      </c>
      <c r="AH184">
        <f ca="1"/>
        <v>1.0925913226410517</v>
      </c>
      <c r="AI184">
        <f ca="1"/>
        <v>-0.23398728873183208</v>
      </c>
      <c r="AJ184">
        <f ca="1"/>
        <v>-0.20973240346892935</v>
      </c>
      <c r="AK184">
        <f ca="1"/>
        <v>0.19445920029015284</v>
      </c>
      <c r="AN184" s="9">
        <v>0.36575549771438176</v>
      </c>
      <c r="AO184" s="9">
        <v>2.5210824711341253E-2</v>
      </c>
    </row>
    <row r="185" spans="28:41" x14ac:dyDescent="0.2">
      <c r="AB185" s="9"/>
      <c r="AC185" s="20"/>
      <c r="AE185" s="22" cm="1">
        <f t="array" aca="1" ref="AE185" ca="1">SQRT(MMULT(MMULT(AG185:AK185,var_covar),TRANSPOSE(AG185:AK185)))</f>
        <v>9.8974780675080272</v>
      </c>
      <c r="AF185" s="22">
        <f t="shared" ca="1" si="24"/>
        <v>0.13994473003609986</v>
      </c>
      <c r="AG185">
        <f ca="1"/>
        <v>-38.459039442818543</v>
      </c>
      <c r="AH185">
        <f ca="1"/>
        <v>-1.6744634423627054</v>
      </c>
      <c r="AI185">
        <f ca="1"/>
        <v>-5.9841661110341713</v>
      </c>
      <c r="AJ185">
        <f ca="1"/>
        <v>-12.168156001941313</v>
      </c>
      <c r="AK185">
        <f ca="1"/>
        <v>59.285824998156734</v>
      </c>
      <c r="AN185" s="9">
        <v>0.36271730931950241</v>
      </c>
      <c r="AO185" s="9">
        <v>6.182897704543526E-2</v>
      </c>
    </row>
    <row r="186" spans="28:41" x14ac:dyDescent="0.2">
      <c r="AB186" s="9"/>
      <c r="AC186" s="20"/>
      <c r="AE186" s="22" cm="1">
        <f t="array" aca="1" ref="AE186" ca="1">SQRT(MMULT(MMULT(AG186:AK186,var_covar),TRANSPOSE(AG186:AK186)))</f>
        <v>0.13711544860811839</v>
      </c>
      <c r="AF186" s="22">
        <f t="shared" ca="1" si="24"/>
        <v>4.5560779359874265E-2</v>
      </c>
      <c r="AG186">
        <f ca="1"/>
        <v>0.44453906553414468</v>
      </c>
      <c r="AH186">
        <f ca="1"/>
        <v>-0.51671128465335348</v>
      </c>
      <c r="AI186">
        <f ca="1"/>
        <v>0.34429553140142349</v>
      </c>
      <c r="AJ186">
        <f ca="1"/>
        <v>0.1996760240251764</v>
      </c>
      <c r="AK186">
        <f ca="1"/>
        <v>0.52820066369260898</v>
      </c>
      <c r="AN186" s="9">
        <v>0.36139133292035053</v>
      </c>
      <c r="AO186" s="9">
        <v>9.2683577774740358E-2</v>
      </c>
    </row>
    <row r="187" spans="28:41" x14ac:dyDescent="0.2">
      <c r="AB187" s="9"/>
      <c r="AC187" s="20"/>
      <c r="AE187" s="22" cm="1">
        <f t="array" aca="1" ref="AE187" ca="1">SQRT(MMULT(MMULT(AG187:AK187,var_covar),TRANSPOSE(AG187:AK187)))</f>
        <v>0.11088011159321842</v>
      </c>
      <c r="AF187" s="22">
        <f t="shared" ca="1" si="24"/>
        <v>3.5561304998523405E-2</v>
      </c>
      <c r="AG187">
        <f ca="1"/>
        <v>0.2497318472332328</v>
      </c>
      <c r="AH187">
        <f ca="1"/>
        <v>0.15056636066531584</v>
      </c>
      <c r="AI187">
        <f ca="1"/>
        <v>0.61519568402279179</v>
      </c>
      <c r="AJ187">
        <f ca="1"/>
        <v>0.30732535654499599</v>
      </c>
      <c r="AK187">
        <f ca="1"/>
        <v>-0.32281924846633647</v>
      </c>
      <c r="AN187" s="9">
        <v>0.36071999880356986</v>
      </c>
      <c r="AO187" s="9">
        <v>5.6454937346679404E-2</v>
      </c>
    </row>
    <row r="188" spans="28:41" x14ac:dyDescent="0.2">
      <c r="AB188" s="9"/>
      <c r="AC188" s="20"/>
      <c r="AE188" s="22" cm="1">
        <f t="array" aca="1" ref="AE188" ca="1">SQRT(MMULT(MMULT(AG188:AK188,var_covar),TRANSPOSE(AG188:AK188)))</f>
        <v>0.10206709873924555</v>
      </c>
      <c r="AF188" s="22">
        <f t="shared" ca="1" si="24"/>
        <v>4.038865494061885E-2</v>
      </c>
      <c r="AG188">
        <f ca="1"/>
        <v>-6.76313762058562E-2</v>
      </c>
      <c r="AH188">
        <f ca="1"/>
        <v>0.12889411242955046</v>
      </c>
      <c r="AI188">
        <f ca="1"/>
        <v>0.40518373431817822</v>
      </c>
      <c r="AJ188">
        <f ca="1"/>
        <v>0.34588372826305819</v>
      </c>
      <c r="AK188">
        <f ca="1"/>
        <v>0.18766980119506924</v>
      </c>
      <c r="AN188" s="9">
        <v>0.35941812387631333</v>
      </c>
      <c r="AO188" s="9">
        <v>2.1425161098728721E-2</v>
      </c>
    </row>
    <row r="189" spans="28:41" x14ac:dyDescent="0.2">
      <c r="AB189" s="9"/>
      <c r="AC189" s="20"/>
      <c r="AE189" s="22" cm="1">
        <f t="array" aca="1" ref="AE189" ca="1">SQRT(MMULT(MMULT(AG189:AK189,var_covar),TRANSPOSE(AG189:AK189)))</f>
        <v>0.19724043232060501</v>
      </c>
      <c r="AF189" s="22">
        <f t="shared" ca="1" si="24"/>
        <v>2.8184425803891716E-2</v>
      </c>
      <c r="AG189">
        <f ca="1"/>
        <v>2.5796300427326758E-2</v>
      </c>
      <c r="AH189">
        <f ca="1"/>
        <v>-5.906582800823261E-2</v>
      </c>
      <c r="AI189">
        <f ca="1"/>
        <v>0.42991747919041401</v>
      </c>
      <c r="AJ189">
        <f ca="1"/>
        <v>-0.47344551277268654</v>
      </c>
      <c r="AK189">
        <f ca="1"/>
        <v>1.0767975611631784</v>
      </c>
      <c r="AN189" s="9">
        <v>0.35893019353313749</v>
      </c>
      <c r="AO189" s="9">
        <v>0.11090826688587141</v>
      </c>
    </row>
    <row r="190" spans="28:41" x14ac:dyDescent="0.2">
      <c r="AB190" s="9"/>
      <c r="AC190" s="20"/>
      <c r="AE190" s="22" cm="1">
        <f t="array" aca="1" ref="AE190" ca="1">SQRT(MMULT(MMULT(AG190:AK190,var_covar),TRANSPOSE(AG190:AK190)))</f>
        <v>9.2538272708508729E-2</v>
      </c>
      <c r="AF190" s="22">
        <f t="shared" ca="1" si="24"/>
        <v>3.4345753259619742E-2</v>
      </c>
      <c r="AG190">
        <f ca="1"/>
        <v>0.6169764055013881</v>
      </c>
      <c r="AH190">
        <f ca="1"/>
        <v>-6.6221524903299966E-2</v>
      </c>
      <c r="AI190">
        <f ca="1"/>
        <v>0.47266128348119946</v>
      </c>
      <c r="AJ190">
        <f ca="1"/>
        <v>9.6556896692683761E-2</v>
      </c>
      <c r="AK190">
        <f ca="1"/>
        <v>-0.11997306077197133</v>
      </c>
      <c r="AN190" s="9">
        <v>0.35565215941802386</v>
      </c>
      <c r="AO190" s="9">
        <v>5.4140307125196213E-2</v>
      </c>
    </row>
    <row r="191" spans="28:41" x14ac:dyDescent="0.2">
      <c r="AB191" s="9"/>
      <c r="AC191" s="20"/>
      <c r="AE191" s="22" cm="1">
        <f t="array" aca="1" ref="AE191" ca="1">SQRT(MMULT(MMULT(AG191:AK191,var_covar),TRANSPOSE(AG191:AK191)))</f>
        <v>0.12509653702609266</v>
      </c>
      <c r="AF191" s="22">
        <f t="shared" ca="1" si="24"/>
        <v>4.0855823736715854E-2</v>
      </c>
      <c r="AG191">
        <f ca="1"/>
        <v>-0.11626346476410605</v>
      </c>
      <c r="AH191">
        <f ca="1"/>
        <v>-0.12671515652540749</v>
      </c>
      <c r="AI191">
        <f ca="1"/>
        <v>0.62769403643024435</v>
      </c>
      <c r="AJ191">
        <f ca="1"/>
        <v>0.2355412904436692</v>
      </c>
      <c r="AK191">
        <f ca="1"/>
        <v>0.37974329441560001</v>
      </c>
      <c r="AN191" s="9">
        <v>0.35491989243334365</v>
      </c>
      <c r="AO191" s="9">
        <v>8.4863246700971173E-2</v>
      </c>
    </row>
    <row r="192" spans="28:41" x14ac:dyDescent="0.2">
      <c r="AB192" s="9"/>
      <c r="AC192" s="20"/>
      <c r="AE192" s="22" cm="1">
        <f t="array" aca="1" ref="AE192" ca="1">SQRT(MMULT(MMULT(AG192:AK192,var_covar),TRANSPOSE(AG192:AK192)))</f>
        <v>0.19811920603603608</v>
      </c>
      <c r="AF192" s="22">
        <f t="shared" ca="1" si="24"/>
        <v>6.6278634290494048E-2</v>
      </c>
      <c r="AG192">
        <f ca="1"/>
        <v>-0.72432900955666679</v>
      </c>
      <c r="AH192">
        <f ca="1"/>
        <v>-0.4321335146417018</v>
      </c>
      <c r="AI192">
        <f ca="1"/>
        <v>0.58092818189297468</v>
      </c>
      <c r="AJ192">
        <f ca="1"/>
        <v>1.1679005179196034</v>
      </c>
      <c r="AK192">
        <f ca="1"/>
        <v>0.40763382438579054</v>
      </c>
      <c r="AN192" s="9">
        <v>0.3534741508525448</v>
      </c>
      <c r="AO192" s="9">
        <v>1.5183732160139607E-2</v>
      </c>
    </row>
    <row r="193" spans="28:41" x14ac:dyDescent="0.2">
      <c r="AB193" s="9"/>
      <c r="AC193" s="20"/>
      <c r="AE193" s="22" cm="1">
        <f t="array" aca="1" ref="AE193" ca="1">SQRT(MMULT(MMULT(AG193:AK193,var_covar),TRANSPOSE(AG193:AK193)))</f>
        <v>0.10150347654710792</v>
      </c>
      <c r="AF193" s="22">
        <f t="shared" ca="1" si="24"/>
        <v>1.3422039645809614E-2</v>
      </c>
      <c r="AG193">
        <f ca="1"/>
        <v>0.78171076116972715</v>
      </c>
      <c r="AH193">
        <f ca="1"/>
        <v>0.6563739147096358</v>
      </c>
      <c r="AI193">
        <f ca="1"/>
        <v>9.7011609546381133E-2</v>
      </c>
      <c r="AJ193">
        <f ca="1"/>
        <v>-0.56786544547464368</v>
      </c>
      <c r="AK193">
        <f ca="1"/>
        <v>3.2769160048899577E-2</v>
      </c>
      <c r="AN193" s="9">
        <v>0.3512425286155923</v>
      </c>
      <c r="AO193" s="9">
        <v>3.9555727828090775E-2</v>
      </c>
    </row>
    <row r="194" spans="28:41" x14ac:dyDescent="0.2">
      <c r="AB194" s="9"/>
      <c r="AC194" s="20"/>
      <c r="AE194" s="22" cm="1">
        <f t="array" aca="1" ref="AE194" ca="1">SQRT(MMULT(MMULT(AG194:AK194,var_covar),TRANSPOSE(AG194:AK194)))</f>
        <v>0.13597549660373484</v>
      </c>
      <c r="AF194" s="22">
        <f t="shared" ca="1" si="24"/>
        <v>1.9560407989225245E-2</v>
      </c>
      <c r="AG194">
        <f ca="1"/>
        <v>0.27156873914288376</v>
      </c>
      <c r="AH194">
        <f ca="1"/>
        <v>0.33768757297340496</v>
      </c>
      <c r="AI194">
        <f ca="1"/>
        <v>0.32280136934189574</v>
      </c>
      <c r="AJ194">
        <f ca="1"/>
        <v>-0.57164720349002129</v>
      </c>
      <c r="AK194">
        <f ca="1"/>
        <v>0.63958952203183694</v>
      </c>
      <c r="AN194" s="9">
        <v>0.35050611607578058</v>
      </c>
      <c r="AO194" s="9">
        <v>-3.5458183026682744E-2</v>
      </c>
    </row>
    <row r="195" spans="28:41" x14ac:dyDescent="0.2">
      <c r="AB195" s="9"/>
      <c r="AC195" s="20"/>
      <c r="AE195" s="22" cm="1">
        <f t="array" aca="1" ref="AE195" ca="1">SQRT(MMULT(MMULT(AG195:AK195,var_covar),TRANSPOSE(AG195:AK195)))</f>
        <v>37.51845632299942</v>
      </c>
      <c r="AF195" s="22">
        <f t="shared" ca="1" si="24"/>
        <v>1.971240387456648</v>
      </c>
      <c r="AG195">
        <f ca="1"/>
        <v>-137.22425779674853</v>
      </c>
      <c r="AH195">
        <f ca="1"/>
        <v>117.535137106305</v>
      </c>
      <c r="AI195">
        <f ca="1"/>
        <v>22.728125150366921</v>
      </c>
      <c r="AJ195">
        <f ca="1"/>
        <v>180.4889411621389</v>
      </c>
      <c r="AK195">
        <f ca="1"/>
        <v>-182.52794562206228</v>
      </c>
      <c r="AN195" s="9">
        <v>0.34598182627143631</v>
      </c>
      <c r="AO195" s="9">
        <v>2.5948534619875202E-2</v>
      </c>
    </row>
    <row r="196" spans="28:41" x14ac:dyDescent="0.2">
      <c r="AB196" s="9"/>
      <c r="AC196" s="20"/>
      <c r="AE196" s="22" cm="1">
        <f t="array" aca="1" ref="AE196" ca="1">SQRT(MMULT(MMULT(AG196:AK196,var_covar),TRANSPOSE(AG196:AK196)))</f>
        <v>0.19672625663219834</v>
      </c>
      <c r="AF196" s="22">
        <f t="shared" ref="AF196:AF259" ca="1" si="25">SUMPRODUCT(AG196:AK196,$S$2:$W$2)</f>
        <v>2.0164848101263958E-2</v>
      </c>
      <c r="AG196">
        <f ca="1"/>
        <v>0.19042833220404576</v>
      </c>
      <c r="AH196">
        <f ca="1"/>
        <v>1.6974338710781505</v>
      </c>
      <c r="AI196">
        <f ca="1"/>
        <v>-0.43882897768599599</v>
      </c>
      <c r="AJ196">
        <f ca="1"/>
        <v>0.28609427307712648</v>
      </c>
      <c r="AK196">
        <f ca="1"/>
        <v>-0.73512749867332705</v>
      </c>
      <c r="AN196" s="9">
        <v>0.34359027854241231</v>
      </c>
      <c r="AO196" s="9">
        <v>6.9333335204690663E-2</v>
      </c>
    </row>
    <row r="197" spans="28:41" x14ac:dyDescent="0.2">
      <c r="AB197" s="9"/>
      <c r="AC197" s="20"/>
      <c r="AE197" s="22" cm="1">
        <f t="array" aca="1" ref="AE197" ca="1">SQRT(MMULT(MMULT(AG197:AK197,var_covar),TRANSPOSE(AG197:AK197)))</f>
        <v>0.14452687930108238</v>
      </c>
      <c r="AF197" s="22">
        <f t="shared" ca="1" si="25"/>
        <v>5.0514066475300649E-2</v>
      </c>
      <c r="AG197">
        <f ca="1"/>
        <v>-0.43674557323962138</v>
      </c>
      <c r="AH197">
        <f ca="1"/>
        <v>8.2980944523955699E-2</v>
      </c>
      <c r="AI197">
        <f ca="1"/>
        <v>0.20404707576222506</v>
      </c>
      <c r="AJ197">
        <f ca="1"/>
        <v>0.64994542192643978</v>
      </c>
      <c r="AK197">
        <f ca="1"/>
        <v>0.49977213102700085</v>
      </c>
      <c r="AN197" s="9">
        <v>0.33877918742072938</v>
      </c>
      <c r="AO197" s="9">
        <v>5.8626327271602774E-2</v>
      </c>
    </row>
    <row r="198" spans="28:41" x14ac:dyDescent="0.2">
      <c r="AB198" s="9"/>
      <c r="AC198" s="20"/>
      <c r="AE198" s="22" cm="1">
        <f t="array" aca="1" ref="AE198" ca="1">SQRT(MMULT(MMULT(AG198:AK198,var_covar),TRANSPOSE(AG198:AK198)))</f>
        <v>0.725301142327473</v>
      </c>
      <c r="AF198" s="22">
        <f t="shared" ca="1" si="25"/>
        <v>-1.7900349886847383E-2</v>
      </c>
      <c r="AG198">
        <f ca="1"/>
        <v>-0.72344943868373135</v>
      </c>
      <c r="AH198">
        <f ca="1"/>
        <v>-0.37014991482903747</v>
      </c>
      <c r="AI198">
        <f ca="1"/>
        <v>1.2964331139155063</v>
      </c>
      <c r="AJ198">
        <f ca="1"/>
        <v>-3.1966931988330307</v>
      </c>
      <c r="AK198">
        <f ca="1"/>
        <v>3.9938594384302935</v>
      </c>
      <c r="AN198" s="9">
        <v>0.3344490324130226</v>
      </c>
      <c r="AO198" s="9">
        <v>-5.9088218185798277E-2</v>
      </c>
    </row>
    <row r="199" spans="28:41" x14ac:dyDescent="0.2">
      <c r="AB199" s="9"/>
      <c r="AC199" s="20"/>
      <c r="AE199" s="22" cm="1">
        <f t="array" aca="1" ref="AE199" ca="1">SQRT(MMULT(MMULT(AG199:AK199,var_covar),TRANSPOSE(AG199:AK199)))</f>
        <v>8.283289624137978E-2</v>
      </c>
      <c r="AF199" s="22">
        <f t="shared" ca="1" si="25"/>
        <v>2.7056519607246067E-2</v>
      </c>
      <c r="AG199">
        <f ca="1"/>
        <v>0.52057300223897629</v>
      </c>
      <c r="AH199">
        <f ca="1"/>
        <v>0.1965287243778156</v>
      </c>
      <c r="AI199">
        <f ca="1"/>
        <v>0.31604342962469462</v>
      </c>
      <c r="AJ199">
        <f ca="1"/>
        <v>-0.19119424778410246</v>
      </c>
      <c r="AK199">
        <f ca="1"/>
        <v>0.15804909154261604</v>
      </c>
      <c r="AN199" s="9">
        <v>0.33231971531595628</v>
      </c>
      <c r="AO199" s="9">
        <v>4.5594714263648396E-2</v>
      </c>
    </row>
    <row r="200" spans="28:41" x14ac:dyDescent="0.2">
      <c r="AB200" s="9"/>
      <c r="AC200" s="20"/>
      <c r="AE200" s="22" cm="1">
        <f t="array" aca="1" ref="AE200" ca="1">SQRT(MMULT(MMULT(AG200:AK200,var_covar),TRANSPOSE(AG200:AK200)))</f>
        <v>0.21499028854340871</v>
      </c>
      <c r="AF200" s="22">
        <f t="shared" ca="1" si="25"/>
        <v>-8.7161567994954725E-4</v>
      </c>
      <c r="AG200">
        <f ca="1"/>
        <v>-0.90739878146825736</v>
      </c>
      <c r="AH200">
        <f ca="1"/>
        <v>0.84499623886687292</v>
      </c>
      <c r="AI200">
        <f ca="1"/>
        <v>1.7730749499019833</v>
      </c>
      <c r="AJ200">
        <f ca="1"/>
        <v>-0.94792093902161556</v>
      </c>
      <c r="AK200">
        <f ca="1"/>
        <v>0.23724853172101648</v>
      </c>
      <c r="AN200" s="9">
        <v>0.33230870779819366</v>
      </c>
      <c r="AO200" s="9">
        <v>4.7381963066347267E-2</v>
      </c>
    </row>
    <row r="201" spans="28:41" x14ac:dyDescent="0.2">
      <c r="AB201" s="9"/>
      <c r="AC201" s="20"/>
      <c r="AE201" s="22" cm="1">
        <f t="array" aca="1" ref="AE201" ca="1">SQRT(MMULT(MMULT(AG201:AK201,var_covar),TRANSPOSE(AG201:AK201)))</f>
        <v>0.11698735847566938</v>
      </c>
      <c r="AF201" s="22">
        <f t="shared" ca="1" si="25"/>
        <v>5.0583990547123273E-2</v>
      </c>
      <c r="AG201">
        <f ca="1"/>
        <v>0.18470341328068282</v>
      </c>
      <c r="AH201">
        <f ca="1"/>
        <v>-8.7005946795122872E-4</v>
      </c>
      <c r="AI201">
        <f ca="1"/>
        <v>-0.11923913702219159</v>
      </c>
      <c r="AJ201">
        <f ca="1"/>
        <v>0.62991270181765169</v>
      </c>
      <c r="AK201">
        <f ca="1"/>
        <v>0.30549308139180836</v>
      </c>
      <c r="AN201" s="9">
        <v>0.33044324587549884</v>
      </c>
      <c r="AO201" s="9">
        <v>5.0890093625074725E-2</v>
      </c>
    </row>
    <row r="202" spans="28:41" x14ac:dyDescent="0.2">
      <c r="AB202" s="9"/>
      <c r="AC202" s="20"/>
      <c r="AE202" s="22" cm="1">
        <f t="array" aca="1" ref="AE202" ca="1">SQRT(MMULT(MMULT(AG202:AK202,var_covar),TRANSPOSE(AG202:AK202)))</f>
        <v>0.2232202404317073</v>
      </c>
      <c r="AF202" s="22">
        <f t="shared" ca="1" si="25"/>
        <v>3.0799822140788285E-2</v>
      </c>
      <c r="AG202">
        <f ca="1"/>
        <v>2.0289262406712902</v>
      </c>
      <c r="AH202">
        <f ca="1"/>
        <v>-3.6417332711562209E-2</v>
      </c>
      <c r="AI202">
        <f ca="1"/>
        <v>-1.1345179765601405</v>
      </c>
      <c r="AJ202">
        <f ca="1"/>
        <v>-0.3996427356036632</v>
      </c>
      <c r="AK202">
        <f ca="1"/>
        <v>0.54165180420407566</v>
      </c>
      <c r="AN202" s="9">
        <v>0.32822759232579352</v>
      </c>
      <c r="AO202" s="9">
        <v>1.4805809933137667E-2</v>
      </c>
    </row>
    <row r="203" spans="28:41" x14ac:dyDescent="0.2">
      <c r="AB203" s="9"/>
      <c r="AC203" s="20"/>
      <c r="AE203" s="22" cm="1">
        <f t="array" aca="1" ref="AE203" ca="1">SQRT(MMULT(MMULT(AG203:AK203,var_covar),TRANSPOSE(AG203:AK203)))</f>
        <v>9.4111300761166125E-2</v>
      </c>
      <c r="AF203" s="22">
        <f t="shared" ca="1" si="25"/>
        <v>3.7869973899033522E-2</v>
      </c>
      <c r="AG203">
        <f ca="1"/>
        <v>0.82505152844469676</v>
      </c>
      <c r="AH203">
        <f ca="1"/>
        <v>7.7446391129549166E-2</v>
      </c>
      <c r="AI203">
        <f ca="1"/>
        <v>-0.13892246364412625</v>
      </c>
      <c r="AJ203">
        <f ca="1"/>
        <v>0.1907903007437623</v>
      </c>
      <c r="AK203">
        <f ca="1"/>
        <v>4.5634243326118033E-2</v>
      </c>
      <c r="AN203" s="9">
        <v>0.32820232444212488</v>
      </c>
      <c r="AO203" s="9">
        <v>4.3998641656901274E-2</v>
      </c>
    </row>
    <row r="204" spans="28:41" x14ac:dyDescent="0.2">
      <c r="AB204" s="9"/>
      <c r="AC204" s="20"/>
      <c r="AE204" s="22" cm="1">
        <f t="array" aca="1" ref="AE204" ca="1">SQRT(MMULT(MMULT(AG204:AK204,var_covar),TRANSPOSE(AG204:AK204)))</f>
        <v>1.4194268995876327</v>
      </c>
      <c r="AF204" s="22">
        <f t="shared" ca="1" si="25"/>
        <v>0.14126451296144329</v>
      </c>
      <c r="AG204">
        <f ca="1"/>
        <v>7.633453489820309</v>
      </c>
      <c r="AH204">
        <f ca="1"/>
        <v>2.3322763792630696</v>
      </c>
      <c r="AI204">
        <f ca="1"/>
        <v>-12.483906710245586</v>
      </c>
      <c r="AJ204">
        <f ca="1"/>
        <v>4.2431231677400891</v>
      </c>
      <c r="AK204">
        <f ca="1"/>
        <v>-0.72494632657788327</v>
      </c>
      <c r="AN204" s="9">
        <v>0.3279013446431065</v>
      </c>
      <c r="AO204" s="9">
        <v>3.6003941806263665E-2</v>
      </c>
    </row>
    <row r="205" spans="28:41" x14ac:dyDescent="0.2">
      <c r="AB205" s="9"/>
      <c r="AC205" s="20"/>
      <c r="AE205" s="22" cm="1">
        <f t="array" aca="1" ref="AE205" ca="1">SQRT(MMULT(MMULT(AG205:AK205,var_covar),TRANSPOSE(AG205:AK205)))</f>
        <v>0.63603527293221263</v>
      </c>
      <c r="AF205" s="22">
        <f t="shared" ca="1" si="25"/>
        <v>-3.5982967614228992E-2</v>
      </c>
      <c r="AG205">
        <f ca="1"/>
        <v>-0.52328005831683722</v>
      </c>
      <c r="AH205">
        <f ca="1"/>
        <v>-1.3949678206515548</v>
      </c>
      <c r="AI205">
        <f ca="1"/>
        <v>4.3698897210413339</v>
      </c>
      <c r="AJ205">
        <f ca="1"/>
        <v>-3.534856356491511</v>
      </c>
      <c r="AK205">
        <f ca="1"/>
        <v>2.0832145144185694</v>
      </c>
      <c r="AN205" s="9">
        <v>0.32641521017666464</v>
      </c>
      <c r="AO205" s="9">
        <v>5.3598685550303164E-2</v>
      </c>
    </row>
    <row r="206" spans="28:41" x14ac:dyDescent="0.2">
      <c r="AB206" s="9"/>
      <c r="AC206" s="20"/>
      <c r="AE206" s="22" cm="1">
        <f t="array" aca="1" ref="AE206" ca="1">SQRT(MMULT(MMULT(AG206:AK206,var_covar),TRANSPOSE(AG206:AK206)))</f>
        <v>1.9466617967111906</v>
      </c>
      <c r="AF206" s="22">
        <f t="shared" ca="1" si="25"/>
        <v>0.36065107987089945</v>
      </c>
      <c r="AG206">
        <f ca="1"/>
        <v>-14.880070918686592</v>
      </c>
      <c r="AH206">
        <f ca="1"/>
        <v>5.2180340662640674</v>
      </c>
      <c r="AI206">
        <f ca="1"/>
        <v>-4.6863958489009301</v>
      </c>
      <c r="AJ206">
        <f ca="1"/>
        <v>15.462750968810401</v>
      </c>
      <c r="AK206">
        <f ca="1"/>
        <v>-0.11431826748694636</v>
      </c>
      <c r="AN206" s="9">
        <v>0.32630073732879972</v>
      </c>
      <c r="AO206" s="9">
        <v>-3.9754032892933833E-3</v>
      </c>
    </row>
    <row r="207" spans="28:41" x14ac:dyDescent="0.2">
      <c r="AB207" s="9"/>
      <c r="AC207" s="20"/>
      <c r="AE207" s="22" cm="1">
        <f t="array" aca="1" ref="AE207" ca="1">SQRT(MMULT(MMULT(AG207:AK207,var_covar),TRANSPOSE(AG207:AK207)))</f>
        <v>0.1078558121481067</v>
      </c>
      <c r="AF207" s="22">
        <f t="shared" ca="1" si="25"/>
        <v>4.0938321972214864E-2</v>
      </c>
      <c r="AG207">
        <f ca="1"/>
        <v>-5.8756543178713906E-2</v>
      </c>
      <c r="AH207">
        <f ca="1"/>
        <v>1.419347378137265E-2</v>
      </c>
      <c r="AI207">
        <f ca="1"/>
        <v>0.4980741648886271</v>
      </c>
      <c r="AJ207">
        <f ca="1"/>
        <v>0.32281489288488302</v>
      </c>
      <c r="AK207">
        <f ca="1"/>
        <v>0.2236740116238311</v>
      </c>
      <c r="AN207" s="9">
        <v>0.32573503681080251</v>
      </c>
      <c r="AO207" s="9">
        <v>-3.2910600221884578E-3</v>
      </c>
    </row>
    <row r="208" spans="28:41" x14ac:dyDescent="0.2">
      <c r="AB208" s="9"/>
      <c r="AC208" s="20"/>
      <c r="AE208" s="22" cm="1">
        <f t="array" aca="1" ref="AE208" ca="1">SQRT(MMULT(MMULT(AG208:AK208,var_covar),TRANSPOSE(AG208:AK208)))</f>
        <v>0.59620327440491505</v>
      </c>
      <c r="AF208" s="22">
        <f t="shared" ca="1" si="25"/>
        <v>-1.2944880761485728E-2</v>
      </c>
      <c r="AG208">
        <f ca="1"/>
        <v>0.31953256131415209</v>
      </c>
      <c r="AH208">
        <f ca="1"/>
        <v>-0.43257025902610063</v>
      </c>
      <c r="AI208">
        <f ca="1"/>
        <v>0.76247648847824401</v>
      </c>
      <c r="AJ208">
        <f ca="1"/>
        <v>-2.8799241245243534</v>
      </c>
      <c r="AK208">
        <f ca="1"/>
        <v>3.2304853337580579</v>
      </c>
      <c r="AN208" s="9">
        <v>0.32281204144346237</v>
      </c>
      <c r="AO208" s="9">
        <v>4.7437683828651933E-2</v>
      </c>
    </row>
    <row r="209" spans="28:41" x14ac:dyDescent="0.2">
      <c r="AB209" s="9"/>
      <c r="AC209" s="20"/>
      <c r="AE209" s="22" cm="1">
        <f t="array" aca="1" ref="AE209" ca="1">SQRT(MMULT(MMULT(AG209:AK209,var_covar),TRANSPOSE(AG209:AK209)))</f>
        <v>0.14232404901959123</v>
      </c>
      <c r="AF209" s="22">
        <f t="shared" ca="1" si="25"/>
        <v>2.4055705653742678E-2</v>
      </c>
      <c r="AG209">
        <f ca="1"/>
        <v>1.0233929054852502</v>
      </c>
      <c r="AH209">
        <f ca="1"/>
        <v>0.65976255671552508</v>
      </c>
      <c r="AI209">
        <f ca="1"/>
        <v>-9.2514091057307998E-2</v>
      </c>
      <c r="AJ209">
        <f ca="1"/>
        <v>2.743816402423788E-2</v>
      </c>
      <c r="AK209">
        <f ca="1"/>
        <v>-0.6180795351677052</v>
      </c>
      <c r="AN209" s="9">
        <v>0.32261165643489975</v>
      </c>
      <c r="AO209" s="9">
        <v>7.8276780058335244E-2</v>
      </c>
    </row>
    <row r="210" spans="28:41" x14ac:dyDescent="0.2">
      <c r="AB210" s="9"/>
      <c r="AC210" s="20"/>
      <c r="AE210" s="22" cm="1">
        <f t="array" aca="1" ref="AE210" ca="1">SQRT(MMULT(MMULT(AG210:AK210,var_covar),TRANSPOSE(AG210:AK210)))</f>
        <v>0.19230936623202005</v>
      </c>
      <c r="AF210" s="22">
        <f t="shared" ca="1" si="25"/>
        <v>8.8868428227406177E-3</v>
      </c>
      <c r="AG210">
        <f ca="1"/>
        <v>0.77351394688366981</v>
      </c>
      <c r="AH210">
        <f ca="1"/>
        <v>0.90185805357018367</v>
      </c>
      <c r="AI210">
        <f ca="1"/>
        <v>-0.52094762676365969</v>
      </c>
      <c r="AJ210">
        <f ca="1"/>
        <v>-0.91713251143854946</v>
      </c>
      <c r="AK210">
        <f ca="1"/>
        <v>0.76270813774835577</v>
      </c>
      <c r="AN210" s="9">
        <v>0.32171719335789578</v>
      </c>
      <c r="AO210" s="9">
        <v>3.0986090867130958E-2</v>
      </c>
    </row>
    <row r="211" spans="28:41" x14ac:dyDescent="0.2">
      <c r="AB211" s="9"/>
      <c r="AC211" s="20"/>
      <c r="AE211" s="22" cm="1">
        <f t="array" aca="1" ref="AE211" ca="1">SQRT(MMULT(MMULT(AG211:AK211,var_covar),TRANSPOSE(AG211:AK211)))</f>
        <v>0.64669002924522079</v>
      </c>
      <c r="AF211" s="22">
        <f t="shared" ca="1" si="25"/>
        <v>-1.9112462879228881E-2</v>
      </c>
      <c r="AG211">
        <f ca="1"/>
        <v>1.5598771269194904</v>
      </c>
      <c r="AH211">
        <f ca="1"/>
        <v>-1.409303914352972</v>
      </c>
      <c r="AI211">
        <f ca="1"/>
        <v>1.1474315954354892</v>
      </c>
      <c r="AJ211">
        <f ca="1"/>
        <v>-3.4939359129787002</v>
      </c>
      <c r="AK211">
        <f ca="1"/>
        <v>3.1959311049766925</v>
      </c>
      <c r="AN211" s="9">
        <v>0.32004170561890743</v>
      </c>
      <c r="AO211" s="9">
        <v>7.0318653745839232E-2</v>
      </c>
    </row>
    <row r="212" spans="28:41" x14ac:dyDescent="0.2">
      <c r="AB212" s="9"/>
      <c r="AC212" s="20"/>
      <c r="AE212" s="22" cm="1">
        <f t="array" aca="1" ref="AE212" ca="1">SQRT(MMULT(MMULT(AG212:AK212,var_covar),TRANSPOSE(AG212:AK212)))</f>
        <v>0.19763737555901109</v>
      </c>
      <c r="AF212" s="22">
        <f t="shared" ca="1" si="25"/>
        <v>4.0445231462479803E-2</v>
      </c>
      <c r="AG212">
        <f ca="1"/>
        <v>0.67805706152784739</v>
      </c>
      <c r="AH212">
        <f ca="1"/>
        <v>-0.14839438522056231</v>
      </c>
      <c r="AI212">
        <f ca="1"/>
        <v>-0.48401082298952347</v>
      </c>
      <c r="AJ212">
        <f ca="1"/>
        <v>-9.3307436843812055E-2</v>
      </c>
      <c r="AK212">
        <f ca="1"/>
        <v>1.0476555835260504</v>
      </c>
      <c r="AN212" s="9">
        <v>0.31848955800015594</v>
      </c>
      <c r="AO212" s="9">
        <v>9.3711622306738629E-2</v>
      </c>
    </row>
    <row r="213" spans="28:41" x14ac:dyDescent="0.2">
      <c r="AB213" s="9"/>
      <c r="AC213" s="20"/>
      <c r="AE213" s="22" cm="1">
        <f t="array" aca="1" ref="AE213" ca="1">SQRT(MMULT(MMULT(AG213:AK213,var_covar),TRANSPOSE(AG213:AK213)))</f>
        <v>0.113980929587628</v>
      </c>
      <c r="AF213" s="22">
        <f t="shared" ca="1" si="25"/>
        <v>1.7962235507755164E-2</v>
      </c>
      <c r="AG213">
        <f ca="1"/>
        <v>0.72194273544651533</v>
      </c>
      <c r="AH213">
        <f ca="1"/>
        <v>0.60202133938187552</v>
      </c>
      <c r="AI213">
        <f ca="1"/>
        <v>0.37787089854424011</v>
      </c>
      <c r="AJ213">
        <f ca="1"/>
        <v>-0.23828669361859148</v>
      </c>
      <c r="AK213">
        <f ca="1"/>
        <v>-0.46354827975403928</v>
      </c>
      <c r="AN213" s="9">
        <v>0.31576427373243232</v>
      </c>
      <c r="AO213" s="9">
        <v>9.4904570523330234E-2</v>
      </c>
    </row>
    <row r="214" spans="28:41" x14ac:dyDescent="0.2">
      <c r="AB214" s="9"/>
      <c r="AC214" s="20"/>
      <c r="AE214" s="22" cm="1">
        <f t="array" aca="1" ref="AE214" ca="1">SQRT(MMULT(MMULT(AG214:AK214,var_covar),TRANSPOSE(AG214:AK214)))</f>
        <v>0.14123594048490831</v>
      </c>
      <c r="AF214" s="22">
        <f t="shared" ca="1" si="25"/>
        <v>3.9742060355306384E-2</v>
      </c>
      <c r="AG214">
        <f ca="1"/>
        <v>0.1935042824402454</v>
      </c>
      <c r="AH214">
        <f ca="1"/>
        <v>-0.5279630738204415</v>
      </c>
      <c r="AI214">
        <f ca="1"/>
        <v>1.0099103381324623</v>
      </c>
      <c r="AJ214">
        <f ca="1"/>
        <v>0.10782977696038573</v>
      </c>
      <c r="AK214">
        <f ca="1"/>
        <v>0.21671867628734809</v>
      </c>
      <c r="AN214" s="9">
        <v>0.31546453927166873</v>
      </c>
      <c r="AO214" s="9">
        <v>6.1424981379387761E-2</v>
      </c>
    </row>
    <row r="215" spans="28:41" x14ac:dyDescent="0.2">
      <c r="AB215" s="9"/>
      <c r="AC215" s="20"/>
      <c r="AE215" s="22" cm="1">
        <f t="array" aca="1" ref="AE215" ca="1">SQRT(MMULT(MMULT(AG215:AK215,var_covar),TRANSPOSE(AG215:AK215)))</f>
        <v>0.33920407593530794</v>
      </c>
      <c r="AF215" s="22">
        <f t="shared" ca="1" si="25"/>
        <v>9.5139959562192164E-2</v>
      </c>
      <c r="AG215">
        <f ca="1"/>
        <v>0.74576689540652397</v>
      </c>
      <c r="AH215">
        <f ca="1"/>
        <v>-2.7287423566952773</v>
      </c>
      <c r="AI215">
        <f ca="1"/>
        <v>1.3349584323795483</v>
      </c>
      <c r="AJ215">
        <f ca="1"/>
        <v>1.6101611732737218</v>
      </c>
      <c r="AK215">
        <f ca="1"/>
        <v>3.7855855635483035E-2</v>
      </c>
      <c r="AN215" s="9">
        <v>0.31515875910457303</v>
      </c>
      <c r="AO215" s="9">
        <v>5.2077197660346561E-2</v>
      </c>
    </row>
    <row r="216" spans="28:41" x14ac:dyDescent="0.2">
      <c r="AB216" s="9"/>
      <c r="AC216" s="20"/>
      <c r="AE216" s="22" cm="1">
        <f t="array" aca="1" ref="AE216" ca="1">SQRT(MMULT(MMULT(AG216:AK216,var_covar),TRANSPOSE(AG216:AK216)))</f>
        <v>0.15447743556660823</v>
      </c>
      <c r="AF216" s="22">
        <f t="shared" ca="1" si="25"/>
        <v>5.8326271752061162E-2</v>
      </c>
      <c r="AG216">
        <f ca="1"/>
        <v>0.8908660613852134</v>
      </c>
      <c r="AH216">
        <f ca="1"/>
        <v>-0.62325044907132665</v>
      </c>
      <c r="AI216">
        <f ca="1"/>
        <v>-0.33829809232939739</v>
      </c>
      <c r="AJ216">
        <f ca="1"/>
        <v>0.63823184885907103</v>
      </c>
      <c r="AK216">
        <f ca="1"/>
        <v>0.4324506311564395</v>
      </c>
      <c r="AN216" s="9">
        <v>0.31515865025446743</v>
      </c>
      <c r="AO216" s="9">
        <v>8.88391309655788E-2</v>
      </c>
    </row>
    <row r="217" spans="28:41" x14ac:dyDescent="0.2">
      <c r="AB217" s="9"/>
      <c r="AC217" s="20"/>
      <c r="AE217" s="22" cm="1">
        <f t="array" aca="1" ref="AE217" ca="1">SQRT(MMULT(MMULT(AG217:AK217,var_covar),TRANSPOSE(AG217:AK217)))</f>
        <v>0.19893747714957996</v>
      </c>
      <c r="AF217" s="22">
        <f t="shared" ca="1" si="25"/>
        <v>5.2037767773048728E-2</v>
      </c>
      <c r="AG217">
        <f ca="1"/>
        <v>0.95421617215529175</v>
      </c>
      <c r="AH217">
        <f ca="1"/>
        <v>-0.31779412672714674</v>
      </c>
      <c r="AI217">
        <f ca="1"/>
        <v>-0.84408676706315955</v>
      </c>
      <c r="AJ217">
        <f ca="1"/>
        <v>0.32528139395015027</v>
      </c>
      <c r="AK217">
        <f ca="1"/>
        <v>0.88238332768486427</v>
      </c>
      <c r="AN217" s="9">
        <v>0.31413056224801739</v>
      </c>
      <c r="AO217" s="9">
        <v>5.7545081430301313E-2</v>
      </c>
    </row>
    <row r="218" spans="28:41" x14ac:dyDescent="0.2">
      <c r="AB218" s="9"/>
      <c r="AC218" s="20"/>
      <c r="AE218" s="22" cm="1">
        <f t="array" aca="1" ref="AE218" ca="1">SQRT(MMULT(MMULT(AG218:AK218,var_covar),TRANSPOSE(AG218:AK218)))</f>
        <v>0.17977504186340096</v>
      </c>
      <c r="AF218" s="22">
        <f t="shared" ca="1" si="25"/>
        <v>4.8105660921117774E-2</v>
      </c>
      <c r="AG218">
        <f ca="1"/>
        <v>3.0510160866695977E-2</v>
      </c>
      <c r="AH218">
        <f ca="1"/>
        <v>4.8977356764527295E-2</v>
      </c>
      <c r="AI218">
        <f ca="1"/>
        <v>-0.3779517133705842</v>
      </c>
      <c r="AJ218">
        <f ca="1"/>
        <v>0.35040005509012762</v>
      </c>
      <c r="AK218">
        <f ca="1"/>
        <v>0.94806414064923339</v>
      </c>
      <c r="AN218" s="9">
        <v>0.31250317260654653</v>
      </c>
      <c r="AO218" s="9">
        <v>9.247548109992676E-4</v>
      </c>
    </row>
    <row r="219" spans="28:41" x14ac:dyDescent="0.2">
      <c r="AB219" s="9"/>
      <c r="AC219" s="20"/>
      <c r="AE219" s="22" cm="1">
        <f t="array" aca="1" ref="AE219" ca="1">SQRT(MMULT(MMULT(AG219:AK219,var_covar),TRANSPOSE(AG219:AK219)))</f>
        <v>0.18265493736629057</v>
      </c>
      <c r="AF219" s="22">
        <f t="shared" ca="1" si="25"/>
        <v>2.8149977076722205E-2</v>
      </c>
      <c r="AG219">
        <f ca="1"/>
        <v>1.030796262654931</v>
      </c>
      <c r="AH219">
        <f ca="1"/>
        <v>0.53736402889478041</v>
      </c>
      <c r="AI219">
        <f ca="1"/>
        <v>0.12688892325362247</v>
      </c>
      <c r="AJ219">
        <f ca="1"/>
        <v>0.26209392074392096</v>
      </c>
      <c r="AK219">
        <f ca="1"/>
        <v>-0.95714313554725472</v>
      </c>
      <c r="AN219" s="9">
        <v>0.31112019008881658</v>
      </c>
      <c r="AO219" s="9">
        <v>3.4463073653597673E-2</v>
      </c>
    </row>
    <row r="220" spans="28:41" x14ac:dyDescent="0.2">
      <c r="AB220" s="9"/>
      <c r="AC220" s="20"/>
      <c r="AE220" s="22" cm="1">
        <f t="array" aca="1" ref="AE220" ca="1">SQRT(MMULT(MMULT(AG220:AK220,var_covar),TRANSPOSE(AG220:AK220)))</f>
        <v>0.16529652510136264</v>
      </c>
      <c r="AF220" s="22">
        <f t="shared" ca="1" si="25"/>
        <v>4.2486285404218165E-2</v>
      </c>
      <c r="AG220">
        <f ca="1"/>
        <v>0.61607984556995821</v>
      </c>
      <c r="AH220">
        <f ca="1"/>
        <v>-0.451635995063212</v>
      </c>
      <c r="AI220">
        <f ca="1"/>
        <v>2.952367031094499E-2</v>
      </c>
      <c r="AJ220">
        <f ca="1"/>
        <v>-1.5264785706510917E-2</v>
      </c>
      <c r="AK220">
        <f ca="1"/>
        <v>0.82129726488881971</v>
      </c>
      <c r="AN220" s="9">
        <v>0.30884040856850625</v>
      </c>
      <c r="AO220" s="9">
        <v>-4.4534646304208413E-2</v>
      </c>
    </row>
    <row r="221" spans="28:41" x14ac:dyDescent="0.2">
      <c r="AB221" s="9"/>
      <c r="AC221" s="20"/>
      <c r="AE221" s="22" cm="1">
        <f t="array" aca="1" ref="AE221" ca="1">SQRT(MMULT(MMULT(AG221:AK221,var_covar),TRANSPOSE(AG221:AK221)))</f>
        <v>3.088284807164785</v>
      </c>
      <c r="AF221" s="22">
        <f t="shared" ca="1" si="25"/>
        <v>2.364599095269071E-2</v>
      </c>
      <c r="AG221">
        <f ca="1"/>
        <v>-11.712983429245922</v>
      </c>
      <c r="AH221">
        <f ca="1"/>
        <v>-13.013116040001691</v>
      </c>
      <c r="AI221">
        <f ca="1"/>
        <v>22.118866923408817</v>
      </c>
      <c r="AJ221">
        <f ca="1"/>
        <v>-5.6272223442896987</v>
      </c>
      <c r="AK221">
        <f ca="1"/>
        <v>9.2344548901284913</v>
      </c>
      <c r="AN221" s="9">
        <v>0.30633656391812414</v>
      </c>
      <c r="AO221" s="9">
        <v>6.3919921044994721E-2</v>
      </c>
    </row>
    <row r="222" spans="28:41" x14ac:dyDescent="0.2">
      <c r="AB222" s="9"/>
      <c r="AC222" s="20"/>
      <c r="AE222" s="22" cm="1">
        <f t="array" aca="1" ref="AE222" ca="1">SQRT(MMULT(MMULT(AG222:AK222,var_covar),TRANSPOSE(AG222:AK222)))</f>
        <v>0.12086518827934595</v>
      </c>
      <c r="AF222" s="22">
        <f t="shared" ca="1" si="25"/>
        <v>3.7901792821805308E-2</v>
      </c>
      <c r="AG222">
        <f ca="1"/>
        <v>0.19540839474427465</v>
      </c>
      <c r="AH222">
        <f ca="1"/>
        <v>-9.6119029057280314E-2</v>
      </c>
      <c r="AI222">
        <f ca="1"/>
        <v>0.32114802273319754</v>
      </c>
      <c r="AJ222">
        <f ca="1"/>
        <v>4.8823618876009695E-2</v>
      </c>
      <c r="AK222">
        <f ca="1"/>
        <v>0.53073899270379843</v>
      </c>
      <c r="AN222" s="9">
        <v>0.30625723284661943</v>
      </c>
      <c r="AO222" s="9">
        <v>7.9055755829784538E-2</v>
      </c>
    </row>
    <row r="223" spans="28:41" x14ac:dyDescent="0.2">
      <c r="AB223" s="9"/>
      <c r="AC223" s="20"/>
      <c r="AE223" s="22" cm="1">
        <f t="array" aca="1" ref="AE223" ca="1">SQRT(MMULT(MMULT(AG223:AK223,var_covar),TRANSPOSE(AG223:AK223)))</f>
        <v>0.11315525624058693</v>
      </c>
      <c r="AF223" s="22">
        <f t="shared" ca="1" si="25"/>
        <v>4.4282120054141678E-2</v>
      </c>
      <c r="AG223">
        <f ca="1"/>
        <v>0.16943375896126436</v>
      </c>
      <c r="AH223">
        <f ca="1"/>
        <v>-0.25075599784506525</v>
      </c>
      <c r="AI223">
        <f ca="1"/>
        <v>0.58123370657021534</v>
      </c>
      <c r="AJ223">
        <f ca="1"/>
        <v>0.39301727153210636</v>
      </c>
      <c r="AK223">
        <f ca="1"/>
        <v>0.1070712607814792</v>
      </c>
      <c r="AN223" s="9">
        <v>0.30414240273198062</v>
      </c>
      <c r="AO223" s="9">
        <v>5.5168221526215977E-2</v>
      </c>
    </row>
    <row r="224" spans="28:41" x14ac:dyDescent="0.2">
      <c r="AB224" s="9"/>
      <c r="AC224" s="20"/>
      <c r="AE224" s="22" cm="1">
        <f t="array" aca="1" ref="AE224" ca="1">SQRT(MMULT(MMULT(AG224:AK224,var_covar),TRANSPOSE(AG224:AK224)))</f>
        <v>0.84792011246147836</v>
      </c>
      <c r="AF224" s="22">
        <f t="shared" ca="1" si="25"/>
        <v>6.7377241068479587E-2</v>
      </c>
      <c r="AG224">
        <f ca="1"/>
        <v>-5.6809090531098478</v>
      </c>
      <c r="AH224">
        <f ca="1"/>
        <v>1.2428925936500814</v>
      </c>
      <c r="AI224">
        <f ca="1"/>
        <v>0.11794639072663737</v>
      </c>
      <c r="AJ224">
        <f ca="1"/>
        <v>0.80127099266286561</v>
      </c>
      <c r="AK224">
        <f ca="1"/>
        <v>4.5187990760702634</v>
      </c>
      <c r="AN224" s="9">
        <v>0.30411691403441599</v>
      </c>
      <c r="AO224" s="9">
        <v>3.3420456131464521E-2</v>
      </c>
    </row>
    <row r="225" spans="28:41" x14ac:dyDescent="0.2">
      <c r="AB225" s="9"/>
      <c r="AC225" s="20"/>
      <c r="AE225" s="22" cm="1">
        <f t="array" aca="1" ref="AE225" ca="1">SQRT(MMULT(MMULT(AG225:AK225,var_covar),TRANSPOSE(AG225:AK225)))</f>
        <v>0.25562632361509874</v>
      </c>
      <c r="AF225" s="22">
        <f t="shared" ca="1" si="25"/>
        <v>5.7518452914186571E-2</v>
      </c>
      <c r="AG225">
        <f ca="1"/>
        <v>-0.85916258487179253</v>
      </c>
      <c r="AH225">
        <f ca="1"/>
        <v>-0.13721817088560642</v>
      </c>
      <c r="AI225">
        <f ca="1"/>
        <v>2.6807897114473258E-2</v>
      </c>
      <c r="AJ225">
        <f ca="1"/>
        <v>0.61186540811854206</v>
      </c>
      <c r="AK225">
        <f ca="1"/>
        <v>1.3577074505243836</v>
      </c>
      <c r="AN225" s="9">
        <v>0.30344882256539252</v>
      </c>
      <c r="AO225" s="9">
        <v>6.4525189542642331E-2</v>
      </c>
    </row>
    <row r="226" spans="28:41" x14ac:dyDescent="0.2">
      <c r="AB226" s="9"/>
      <c r="AC226" s="20"/>
      <c r="AE226" s="22" cm="1">
        <f t="array" aca="1" ref="AE226" ca="1">SQRT(MMULT(MMULT(AG226:AK226,var_covar),TRANSPOSE(AG226:AK226)))</f>
        <v>0.12067200885249385</v>
      </c>
      <c r="AF226" s="22">
        <f t="shared" ca="1" si="25"/>
        <v>1.2822738736566138E-2</v>
      </c>
      <c r="AG226">
        <f ca="1"/>
        <v>0.97742154265831582</v>
      </c>
      <c r="AH226">
        <f ca="1"/>
        <v>0.42863860244001639</v>
      </c>
      <c r="AI226">
        <f ca="1"/>
        <v>8.5367396563155909E-2</v>
      </c>
      <c r="AJ226">
        <f ca="1"/>
        <v>-0.74696039514600365</v>
      </c>
      <c r="AK226">
        <f ca="1"/>
        <v>0.25553285348451543</v>
      </c>
      <c r="AN226" s="9">
        <v>0.30331316335797281</v>
      </c>
      <c r="AO226" s="9">
        <v>2.3988746348481249E-2</v>
      </c>
    </row>
    <row r="227" spans="28:41" x14ac:dyDescent="0.2">
      <c r="AB227" s="9"/>
      <c r="AC227" s="20"/>
      <c r="AE227" s="22" cm="1">
        <f t="array" aca="1" ref="AE227" ca="1">SQRT(MMULT(MMULT(AG227:AK227,var_covar),TRANSPOSE(AG227:AK227)))</f>
        <v>0.15370181390496918</v>
      </c>
      <c r="AF227" s="22">
        <f t="shared" ca="1" si="25"/>
        <v>3.3801318420247313E-2</v>
      </c>
      <c r="AG227">
        <f ca="1"/>
        <v>0.5203838325230723</v>
      </c>
      <c r="AH227">
        <f ca="1"/>
        <v>-4.2775439838612074E-2</v>
      </c>
      <c r="AI227">
        <f ca="1"/>
        <v>-6.2061101886479154E-2</v>
      </c>
      <c r="AJ227">
        <f ca="1"/>
        <v>-0.2164332301590674</v>
      </c>
      <c r="AK227">
        <f ca="1"/>
        <v>0.80088593936108632</v>
      </c>
      <c r="AN227" s="9">
        <v>0.3009086464996592</v>
      </c>
      <c r="AO227" s="9">
        <v>9.1030172429458434E-2</v>
      </c>
    </row>
    <row r="228" spans="28:41" x14ac:dyDescent="0.2">
      <c r="AB228" s="9"/>
      <c r="AC228" s="20"/>
      <c r="AE228" s="22" cm="1">
        <f t="array" aca="1" ref="AE228" ca="1">SQRT(MMULT(MMULT(AG228:AK228,var_covar),TRANSPOSE(AG228:AK228)))</f>
        <v>0.28163253963076801</v>
      </c>
      <c r="AF228" s="22">
        <f t="shared" ca="1" si="25"/>
        <v>6.840223923804406E-2</v>
      </c>
      <c r="AG228">
        <f ca="1"/>
        <v>1.1762638068105191</v>
      </c>
      <c r="AH228">
        <f ca="1"/>
        <v>-0.6446454143333139</v>
      </c>
      <c r="AI228">
        <f ca="1"/>
        <v>0.16706869795762322</v>
      </c>
      <c r="AJ228">
        <f ca="1"/>
        <v>1.5452125434165656</v>
      </c>
      <c r="AK228">
        <f ca="1"/>
        <v>-1.2438996338513937</v>
      </c>
      <c r="AN228" s="9">
        <v>0.29603792731231077</v>
      </c>
      <c r="AO228" s="9">
        <v>4.7755654213032107E-2</v>
      </c>
    </row>
    <row r="229" spans="28:41" x14ac:dyDescent="0.2">
      <c r="AB229" s="9"/>
      <c r="AC229" s="20"/>
      <c r="AE229" s="22" cm="1">
        <f t="array" aca="1" ref="AE229" ca="1">SQRT(MMULT(MMULT(AG229:AK229,var_covar),TRANSPOSE(AG229:AK229)))</f>
        <v>0.17746433497266689</v>
      </c>
      <c r="AF229" s="22">
        <f t="shared" ca="1" si="25"/>
        <v>3.589283363710475E-2</v>
      </c>
      <c r="AG229">
        <f ca="1"/>
        <v>-1.2433469006570397</v>
      </c>
      <c r="AH229">
        <f ca="1"/>
        <v>0.79841108432917141</v>
      </c>
      <c r="AI229">
        <f ca="1"/>
        <v>0.56539601863074229</v>
      </c>
      <c r="AJ229">
        <f ca="1"/>
        <v>0.37240510240254471</v>
      </c>
      <c r="AK229">
        <f ca="1"/>
        <v>0.50713469529458111</v>
      </c>
      <c r="AN229" s="9">
        <v>0.2960156711818574</v>
      </c>
      <c r="AO229" s="9">
        <v>4.4285570801308918E-2</v>
      </c>
    </row>
    <row r="230" spans="28:41" x14ac:dyDescent="0.2">
      <c r="AB230" s="9"/>
      <c r="AC230" s="20"/>
      <c r="AE230" s="22" cm="1">
        <f t="array" aca="1" ref="AE230" ca="1">SQRT(MMULT(MMULT(AG230:AK230,var_covar),TRANSPOSE(AG230:AK230)))</f>
        <v>0.38688131624505989</v>
      </c>
      <c r="AF230" s="22">
        <f t="shared" ca="1" si="25"/>
        <v>6.2329409984239095E-2</v>
      </c>
      <c r="AG230">
        <f ca="1"/>
        <v>-2.8832281042826891</v>
      </c>
      <c r="AH230">
        <f ca="1"/>
        <v>1.1620714449971035</v>
      </c>
      <c r="AI230">
        <f ca="1"/>
        <v>-0.199117781771147</v>
      </c>
      <c r="AJ230">
        <f ca="1"/>
        <v>1.2506340727542855</v>
      </c>
      <c r="AK230">
        <f ca="1"/>
        <v>1.6696403683024474</v>
      </c>
      <c r="AN230" s="9">
        <v>0.29593492269606408</v>
      </c>
      <c r="AO230" s="9">
        <v>5.556680716073864E-2</v>
      </c>
    </row>
    <row r="231" spans="28:41" x14ac:dyDescent="0.2">
      <c r="AB231" s="9"/>
      <c r="AC231" s="20"/>
      <c r="AE231" s="22" cm="1">
        <f t="array" aca="1" ref="AE231" ca="1">SQRT(MMULT(MMULT(AG231:AK231,var_covar),TRANSPOSE(AG231:AK231)))</f>
        <v>0.10893616276720841</v>
      </c>
      <c r="AF231" s="22">
        <f t="shared" ca="1" si="25"/>
        <v>3.0814517919814221E-2</v>
      </c>
      <c r="AG231">
        <f ca="1"/>
        <v>0.3298392114901888</v>
      </c>
      <c r="AH231">
        <f ca="1"/>
        <v>5.8600842732229805E-3</v>
      </c>
      <c r="AI231">
        <f ca="1"/>
        <v>0.83329390520795776</v>
      </c>
      <c r="AJ231">
        <f ca="1"/>
        <v>4.3965471640196201E-2</v>
      </c>
      <c r="AK231">
        <f ca="1"/>
        <v>-0.21295867261156565</v>
      </c>
      <c r="AN231" s="9">
        <v>0.2945316956518032</v>
      </c>
      <c r="AO231" s="9">
        <v>-3.9846240365821808E-3</v>
      </c>
    </row>
    <row r="232" spans="28:41" x14ac:dyDescent="0.2">
      <c r="AB232" s="9"/>
      <c r="AC232" s="20"/>
      <c r="AE232" s="22" cm="1">
        <f t="array" aca="1" ref="AE232" ca="1">SQRT(MMULT(MMULT(AG232:AK232,var_covar),TRANSPOSE(AG232:AK232)))</f>
        <v>0.16114891749271268</v>
      </c>
      <c r="AF232" s="22">
        <f t="shared" ca="1" si="25"/>
        <v>5.4432363898100217E-3</v>
      </c>
      <c r="AG232">
        <f ca="1"/>
        <v>-0.65316935605202875</v>
      </c>
      <c r="AH232">
        <f ca="1"/>
        <v>1.0477931457695757</v>
      </c>
      <c r="AI232">
        <f ca="1"/>
        <v>1.2100636033549961</v>
      </c>
      <c r="AJ232">
        <f ca="1"/>
        <v>-0.60088792178088657</v>
      </c>
      <c r="AK232">
        <f ca="1"/>
        <v>-3.7994712916563029E-3</v>
      </c>
      <c r="AN232" s="9">
        <v>0.29317455998366165</v>
      </c>
      <c r="AO232" s="9">
        <v>1.1928522350129101E-2</v>
      </c>
    </row>
    <row r="233" spans="28:41" x14ac:dyDescent="0.2">
      <c r="AB233" s="9"/>
      <c r="AC233" s="20"/>
      <c r="AE233" s="22" cm="1">
        <f t="array" aca="1" ref="AE233" ca="1">SQRT(MMULT(MMULT(AG233:AK233,var_covar),TRANSPOSE(AG233:AK233)))</f>
        <v>0.21207692525094038</v>
      </c>
      <c r="AF233" s="22">
        <f t="shared" ca="1" si="25"/>
        <v>4.609415275862748E-2</v>
      </c>
      <c r="AG233">
        <f ca="1"/>
        <v>-0.10060122792442026</v>
      </c>
      <c r="AH233">
        <f ca="1"/>
        <v>1.0768410234764716</v>
      </c>
      <c r="AI233">
        <f ca="1"/>
        <v>-0.31279401543063923</v>
      </c>
      <c r="AJ233">
        <f ca="1"/>
        <v>1.1578484664724888</v>
      </c>
      <c r="AK233">
        <f ca="1"/>
        <v>-0.82129424659390116</v>
      </c>
      <c r="AN233" s="9">
        <v>0.29207503351396136</v>
      </c>
      <c r="AO233" s="9">
        <v>4.1447956558391612E-2</v>
      </c>
    </row>
    <row r="234" spans="28:41" x14ac:dyDescent="0.2">
      <c r="AB234" s="9"/>
      <c r="AC234" s="20"/>
      <c r="AE234" s="22" cm="1">
        <f t="array" aca="1" ref="AE234" ca="1">SQRT(MMULT(MMULT(AG234:AK234,var_covar),TRANSPOSE(AG234:AK234)))</f>
        <v>0.15440352089911194</v>
      </c>
      <c r="AF234" s="22">
        <f t="shared" ca="1" si="25"/>
        <v>4.0030031190409765E-2</v>
      </c>
      <c r="AG234">
        <f ca="1"/>
        <v>-0.4469647540292106</v>
      </c>
      <c r="AH234">
        <f ca="1"/>
        <v>1.2262163484588589</v>
      </c>
      <c r="AI234">
        <f ca="1"/>
        <v>-0.47897088156103429</v>
      </c>
      <c r="AJ234">
        <f ca="1"/>
        <v>0.74518846544220019</v>
      </c>
      <c r="AK234">
        <f ca="1"/>
        <v>-4.5469178310814241E-2</v>
      </c>
      <c r="AN234" s="9">
        <v>0.28900293691027873</v>
      </c>
      <c r="AO234" s="9">
        <v>5.0998375717022093E-3</v>
      </c>
    </row>
    <row r="235" spans="28:41" x14ac:dyDescent="0.2">
      <c r="AB235" s="9"/>
      <c r="AC235" s="20"/>
      <c r="AE235" s="22" cm="1">
        <f t="array" aca="1" ref="AE235" ca="1">SQRT(MMULT(MMULT(AG235:AK235,var_covar),TRANSPOSE(AG235:AK235)))</f>
        <v>8.6866787512366372E-2</v>
      </c>
      <c r="AF235" s="22">
        <f t="shared" ca="1" si="25"/>
        <v>2.8180358854350357E-2</v>
      </c>
      <c r="AG235">
        <f ca="1"/>
        <v>0.69495047065436921</v>
      </c>
      <c r="AH235">
        <f ca="1"/>
        <v>0.17703477246360852</v>
      </c>
      <c r="AI235">
        <f ca="1"/>
        <v>0.36551710201971038</v>
      </c>
      <c r="AJ235">
        <f ca="1"/>
        <v>-5.965783959117308E-2</v>
      </c>
      <c r="AK235">
        <f ca="1"/>
        <v>-0.17784450554651507</v>
      </c>
      <c r="AN235" s="9">
        <v>0.28819463943097012</v>
      </c>
      <c r="AO235" s="9">
        <v>6.3247359920444002E-2</v>
      </c>
    </row>
    <row r="236" spans="28:41" x14ac:dyDescent="0.2">
      <c r="AB236" s="9"/>
      <c r="AC236" s="20"/>
      <c r="AE236" s="22" cm="1">
        <f t="array" aca="1" ref="AE236" ca="1">SQRT(MMULT(MMULT(AG236:AK236,var_covar),TRANSPOSE(AG236:AK236)))</f>
        <v>0.21614717829768412</v>
      </c>
      <c r="AF236" s="22">
        <f t="shared" ca="1" si="25"/>
        <v>5.3361087934106113E-2</v>
      </c>
      <c r="AG236">
        <f ca="1"/>
        <v>-6.0154145722662415E-2</v>
      </c>
      <c r="AH236">
        <f ca="1"/>
        <v>-1.0572455875912383</v>
      </c>
      <c r="AI236">
        <f ca="1"/>
        <v>1.0066727998012392</v>
      </c>
      <c r="AJ236">
        <f ca="1"/>
        <v>0.31091276133485163</v>
      </c>
      <c r="AK236">
        <f ca="1"/>
        <v>0.79981417217780981</v>
      </c>
      <c r="AN236" s="9">
        <v>0.28742100392813552</v>
      </c>
      <c r="AO236" s="9">
        <v>9.4085941420028477E-2</v>
      </c>
    </row>
    <row r="237" spans="28:41" x14ac:dyDescent="0.2">
      <c r="AB237" s="9"/>
      <c r="AC237" s="20"/>
      <c r="AE237" s="22" cm="1">
        <f t="array" aca="1" ref="AE237" ca="1">SQRT(MMULT(MMULT(AG237:AK237,var_covar),TRANSPOSE(AG237:AK237)))</f>
        <v>0.13006976666768708</v>
      </c>
      <c r="AF237" s="22">
        <f t="shared" ca="1" si="25"/>
        <v>3.5891248075523165E-2</v>
      </c>
      <c r="AG237">
        <f ca="1"/>
        <v>-6.758501982878469E-2</v>
      </c>
      <c r="AH237">
        <f ca="1"/>
        <v>-0.17799199996013429</v>
      </c>
      <c r="AI237">
        <f ca="1"/>
        <v>0.85500516774831248</v>
      </c>
      <c r="AJ237">
        <f ca="1"/>
        <v>3.8488661537074705E-2</v>
      </c>
      <c r="AK237">
        <f ca="1"/>
        <v>0.35208319050353182</v>
      </c>
      <c r="AN237" s="9">
        <v>0.28616614068794521</v>
      </c>
      <c r="AO237" s="9">
        <v>7.6805451382958093E-3</v>
      </c>
    </row>
    <row r="238" spans="28:41" x14ac:dyDescent="0.2">
      <c r="AB238" s="9"/>
      <c r="AC238" s="20"/>
      <c r="AE238" s="22" cm="1">
        <f t="array" aca="1" ref="AE238" ca="1">SQRT(MMULT(MMULT(AG238:AK238,var_covar),TRANSPOSE(AG238:AK238)))</f>
        <v>9.8321254759571472E-2</v>
      </c>
      <c r="AF238" s="22">
        <f t="shared" ca="1" si="25"/>
        <v>2.9374902540251185E-2</v>
      </c>
      <c r="AG238">
        <f ca="1"/>
        <v>0.21559231792334066</v>
      </c>
      <c r="AH238">
        <f ca="1"/>
        <v>0.21591150188777547</v>
      </c>
      <c r="AI238">
        <f ca="1"/>
        <v>0.33278931294311576</v>
      </c>
      <c r="AJ238">
        <f ca="1"/>
        <v>-0.13911392181924748</v>
      </c>
      <c r="AK238">
        <f ca="1"/>
        <v>0.37482078906501559</v>
      </c>
      <c r="AN238" s="9">
        <v>0.28594271767374296</v>
      </c>
      <c r="AO238" s="9">
        <v>3.5709358958796039E-2</v>
      </c>
    </row>
    <row r="239" spans="28:41" x14ac:dyDescent="0.2">
      <c r="AB239" s="9"/>
      <c r="AC239" s="20"/>
      <c r="AE239" s="22" cm="1">
        <f t="array" aca="1" ref="AE239" ca="1">SQRT(MMULT(MMULT(AG239:AK239,var_covar),TRANSPOSE(AG239:AK239)))</f>
        <v>0.14508990095260843</v>
      </c>
      <c r="AF239" s="22">
        <f t="shared" ca="1" si="25"/>
        <v>4.1747302262354506E-2</v>
      </c>
      <c r="AG239">
        <f ca="1"/>
        <v>1.0604633672315875</v>
      </c>
      <c r="AH239">
        <f ca="1"/>
        <v>-0.67178202859973823</v>
      </c>
      <c r="AI239">
        <f ca="1"/>
        <v>0.70762876513942174</v>
      </c>
      <c r="AJ239">
        <f ca="1"/>
        <v>0.23893047002553314</v>
      </c>
      <c r="AK239">
        <f ca="1"/>
        <v>-0.33524057379680411</v>
      </c>
      <c r="AN239" s="9">
        <v>0.28587557892456461</v>
      </c>
      <c r="AO239" s="9">
        <v>-3.9309576250731344E-2</v>
      </c>
    </row>
    <row r="240" spans="28:41" x14ac:dyDescent="0.2">
      <c r="AB240" s="9"/>
      <c r="AC240" s="20"/>
      <c r="AE240" s="22" cm="1">
        <f t="array" aca="1" ref="AE240" ca="1">SQRT(MMULT(MMULT(AG240:AK240,var_covar),TRANSPOSE(AG240:AK240)))</f>
        <v>9.8771564466288625E-2</v>
      </c>
      <c r="AF240" s="22">
        <f t="shared" ca="1" si="25"/>
        <v>3.5001471204060081E-2</v>
      </c>
      <c r="AG240">
        <f ca="1"/>
        <v>0.27131994348722394</v>
      </c>
      <c r="AH240">
        <f ca="1"/>
        <v>0.28102236604246056</v>
      </c>
      <c r="AI240">
        <f ca="1"/>
        <v>-1.7440146705542343E-2</v>
      </c>
      <c r="AJ240">
        <f ca="1"/>
        <v>8.2266775006333406E-2</v>
      </c>
      <c r="AK240">
        <f ca="1"/>
        <v>0.38283106216952434</v>
      </c>
      <c r="AN240" s="9">
        <v>0.28323300485111302</v>
      </c>
      <c r="AO240" s="9">
        <v>3.1679178446761005E-2</v>
      </c>
    </row>
    <row r="241" spans="28:41" x14ac:dyDescent="0.2">
      <c r="AB241" s="9"/>
      <c r="AC241" s="20"/>
      <c r="AE241" s="22" cm="1">
        <f t="array" aca="1" ref="AE241" ca="1">SQRT(MMULT(MMULT(AG241:AK241,var_covar),TRANSPOSE(AG241:AK241)))</f>
        <v>0.26705549137068524</v>
      </c>
      <c r="AF241" s="22">
        <f t="shared" ca="1" si="25"/>
        <v>1.0910710690385204E-2</v>
      </c>
      <c r="AG241">
        <f ca="1"/>
        <v>1.1087571320949667</v>
      </c>
      <c r="AH241">
        <f ca="1"/>
        <v>-0.46023669774516379</v>
      </c>
      <c r="AI241">
        <f ca="1"/>
        <v>0.50633422949704365</v>
      </c>
      <c r="AJ241">
        <f ca="1"/>
        <v>-1.4055368540369226</v>
      </c>
      <c r="AK241">
        <f ca="1"/>
        <v>1.250682190190076</v>
      </c>
      <c r="AN241" s="9">
        <v>0.28150431344962135</v>
      </c>
      <c r="AO241" s="9">
        <v>4.5905842389388177E-2</v>
      </c>
    </row>
    <row r="242" spans="28:41" x14ac:dyDescent="0.2">
      <c r="AB242" s="9"/>
      <c r="AC242" s="20"/>
      <c r="AE242" s="22" cm="1">
        <f t="array" aca="1" ref="AE242" ca="1">SQRT(MMULT(MMULT(AG242:AK242,var_covar),TRANSPOSE(AG242:AK242)))</f>
        <v>9.9254433132462058E-2</v>
      </c>
      <c r="AF242" s="22">
        <f t="shared" ca="1" si="25"/>
        <v>2.253141637246335E-2</v>
      </c>
      <c r="AG242">
        <f ca="1"/>
        <v>4.0999255057059564E-2</v>
      </c>
      <c r="AH242">
        <f ca="1"/>
        <v>0.72798905275891701</v>
      </c>
      <c r="AI242">
        <f ca="1"/>
        <v>0.50469565635777525</v>
      </c>
      <c r="AJ242">
        <f ca="1"/>
        <v>-3.6195894606458189E-2</v>
      </c>
      <c r="AK242">
        <f ca="1"/>
        <v>-0.23748806956729396</v>
      </c>
      <c r="AN242" s="9">
        <v>0.27967963109051908</v>
      </c>
      <c r="AO242" s="9">
        <v>4.1521333790077775E-2</v>
      </c>
    </row>
    <row r="243" spans="28:41" x14ac:dyDescent="0.2">
      <c r="AB243" s="9"/>
      <c r="AC243" s="20"/>
      <c r="AE243" s="22" cm="1">
        <f t="array" aca="1" ref="AE243" ca="1">SQRT(MMULT(MMULT(AG243:AK243,var_covar),TRANSPOSE(AG243:AK243)))</f>
        <v>0.44989885492165221</v>
      </c>
      <c r="AF243" s="22">
        <f t="shared" ca="1" si="25"/>
        <v>5.8286376475775593E-2</v>
      </c>
      <c r="AG243">
        <f ca="1"/>
        <v>0.19773127928449119</v>
      </c>
      <c r="AH243">
        <f ca="1"/>
        <v>4.9766182650282577E-2</v>
      </c>
      <c r="AI243">
        <f ca="1"/>
        <v>-1.9619105255087692</v>
      </c>
      <c r="AJ243">
        <f ca="1"/>
        <v>0.18798027836192321</v>
      </c>
      <c r="AK243">
        <f ca="1"/>
        <v>2.5264327852120725</v>
      </c>
      <c r="AN243" s="9">
        <v>0.27801872551194579</v>
      </c>
      <c r="AO243" s="9">
        <v>6.82486829774544E-2</v>
      </c>
    </row>
    <row r="244" spans="28:41" x14ac:dyDescent="0.2">
      <c r="AB244" s="9"/>
      <c r="AC244" s="20"/>
      <c r="AE244" s="22" cm="1">
        <f t="array" aca="1" ref="AE244" ca="1">SQRT(MMULT(MMULT(AG244:AK244,var_covar),TRANSPOSE(AG244:AK244)))</f>
        <v>0.1379942634400769</v>
      </c>
      <c r="AF244" s="22">
        <f t="shared" ca="1" si="25"/>
        <v>4.3187288509302306E-2</v>
      </c>
      <c r="AG244">
        <f ca="1"/>
        <v>1.5129351559002948E-3</v>
      </c>
      <c r="AH244">
        <f ca="1"/>
        <v>-0.11887829900683691</v>
      </c>
      <c r="AI244">
        <f ca="1"/>
        <v>0.85881767118937835</v>
      </c>
      <c r="AJ244">
        <f ca="1"/>
        <v>0.53259587464669933</v>
      </c>
      <c r="AK244">
        <f ca="1"/>
        <v>-0.27404818198514103</v>
      </c>
      <c r="AN244" s="9">
        <v>0.27797084771924147</v>
      </c>
      <c r="AO244" s="9">
        <v>3.2792987190035885E-2</v>
      </c>
    </row>
    <row r="245" spans="28:41" x14ac:dyDescent="0.2">
      <c r="AB245" s="9"/>
      <c r="AC245" s="20"/>
      <c r="AE245" s="22" cm="1">
        <f t="array" aca="1" ref="AE245" ca="1">SQRT(MMULT(MMULT(AG245:AK245,var_covar),TRANSPOSE(AG245:AK245)))</f>
        <v>0.12538400207659028</v>
      </c>
      <c r="AF245" s="22">
        <f t="shared" ca="1" si="25"/>
        <v>5.2614594719493153E-2</v>
      </c>
      <c r="AG245">
        <f ca="1"/>
        <v>0.34903466279294398</v>
      </c>
      <c r="AH245">
        <f ca="1"/>
        <v>0.17077290633121414</v>
      </c>
      <c r="AI245">
        <f ca="1"/>
        <v>-0.45599292514797968</v>
      </c>
      <c r="AJ245">
        <f ca="1"/>
        <v>0.78827419327664583</v>
      </c>
      <c r="AK245">
        <f ca="1"/>
        <v>0.14791116274717578</v>
      </c>
      <c r="AN245" s="9">
        <v>0.27785502790235583</v>
      </c>
      <c r="AO245" s="9">
        <v>1.8609769563824707E-2</v>
      </c>
    </row>
    <row r="246" spans="28:41" x14ac:dyDescent="0.2">
      <c r="AB246" s="9"/>
      <c r="AC246" s="20"/>
      <c r="AE246" s="22" cm="1">
        <f t="array" aca="1" ref="AE246" ca="1">SQRT(MMULT(MMULT(AG246:AK246,var_covar),TRANSPOSE(AG246:AK246)))</f>
        <v>0.12393320610577026</v>
      </c>
      <c r="AF246" s="22">
        <f t="shared" ca="1" si="25"/>
        <v>2.7621772590494049E-2</v>
      </c>
      <c r="AG246">
        <f ca="1"/>
        <v>0.78669932438857537</v>
      </c>
      <c r="AH246">
        <f ca="1"/>
        <v>0.33368727266202375</v>
      </c>
      <c r="AI246">
        <f ca="1"/>
        <v>0.36243105497037686</v>
      </c>
      <c r="AJ246">
        <f ca="1"/>
        <v>8.1238794817677762E-2</v>
      </c>
      <c r="AK246">
        <f ca="1"/>
        <v>-0.56405644683865375</v>
      </c>
      <c r="AN246" s="9">
        <v>0.27756293778671126</v>
      </c>
      <c r="AO246" s="9">
        <v>6.8926244454301414E-2</v>
      </c>
    </row>
    <row r="247" spans="28:41" x14ac:dyDescent="0.2">
      <c r="AB247" s="9"/>
      <c r="AC247" s="20"/>
      <c r="AE247" s="22" cm="1">
        <f t="array" aca="1" ref="AE247" ca="1">SQRT(MMULT(MMULT(AG247:AK247,var_covar),TRANSPOSE(AG247:AK247)))</f>
        <v>0.20565727424380814</v>
      </c>
      <c r="AF247" s="22">
        <f t="shared" ca="1" si="25"/>
        <v>2.3057983067482843E-2</v>
      </c>
      <c r="AG247">
        <f ca="1"/>
        <v>-8.4124287534275186E-2</v>
      </c>
      <c r="AH247">
        <f ca="1"/>
        <v>1.0561918641857886</v>
      </c>
      <c r="AI247">
        <f ca="1"/>
        <v>0.70340112316794157</v>
      </c>
      <c r="AJ247">
        <f ca="1"/>
        <v>0.34896818457640838</v>
      </c>
      <c r="AK247">
        <f ca="1"/>
        <v>-1.0244368843958633</v>
      </c>
      <c r="AN247" s="9">
        <v>0.27717029173013075</v>
      </c>
      <c r="AO247" s="9">
        <v>-1.0159138477440113E-2</v>
      </c>
    </row>
    <row r="248" spans="28:41" x14ac:dyDescent="0.2">
      <c r="AB248" s="9"/>
      <c r="AC248" s="20"/>
      <c r="AE248" s="22" cm="1">
        <f t="array" aca="1" ref="AE248" ca="1">SQRT(MMULT(MMULT(AG248:AK248,var_covar),TRANSPOSE(AG248:AK248)))</f>
        <v>9.4979200085362273E-2</v>
      </c>
      <c r="AF248" s="22">
        <f t="shared" ca="1" si="25"/>
        <v>3.9492923939578366E-2</v>
      </c>
      <c r="AG248">
        <f ca="1"/>
        <v>0.41819755896827288</v>
      </c>
      <c r="AH248">
        <f ca="1"/>
        <v>0.39456021527185681</v>
      </c>
      <c r="AI248">
        <f ca="1"/>
        <v>-0.23911112790273911</v>
      </c>
      <c r="AJ248">
        <f ca="1"/>
        <v>0.37965645058202174</v>
      </c>
      <c r="AK248">
        <f ca="1"/>
        <v>4.6696903080587562E-2</v>
      </c>
      <c r="AN248" s="9">
        <v>0.27358234223567618</v>
      </c>
      <c r="AO248" s="9">
        <v>7.4537664917008056E-2</v>
      </c>
    </row>
    <row r="249" spans="28:41" x14ac:dyDescent="0.2">
      <c r="AB249" s="9"/>
      <c r="AC249" s="20"/>
      <c r="AE249" s="22" cm="1">
        <f t="array" aca="1" ref="AE249" ca="1">SQRT(MMULT(MMULT(AG249:AK249,var_covar),TRANSPOSE(AG249:AK249)))</f>
        <v>0.20865408341528244</v>
      </c>
      <c r="AF249" s="22">
        <f t="shared" ca="1" si="25"/>
        <v>6.2215073392969604E-2</v>
      </c>
      <c r="AG249">
        <f ca="1"/>
        <v>0.45538607163782241</v>
      </c>
      <c r="AH249">
        <f ca="1"/>
        <v>-0.41804934915165282</v>
      </c>
      <c r="AI249">
        <f ca="1"/>
        <v>-0.71735854200506188</v>
      </c>
      <c r="AJ249">
        <f ca="1"/>
        <v>0.70342428069944429</v>
      </c>
      <c r="AK249">
        <f ca="1"/>
        <v>0.97659753881944811</v>
      </c>
      <c r="AN249" s="9">
        <v>0.27354568435539789</v>
      </c>
      <c r="AO249" s="9">
        <v>6.5895941202889413E-2</v>
      </c>
    </row>
    <row r="250" spans="28:41" x14ac:dyDescent="0.2">
      <c r="AB250" s="9"/>
      <c r="AC250" s="20"/>
      <c r="AE250" s="22" cm="1">
        <f t="array" aca="1" ref="AE250" ca="1">SQRT(MMULT(MMULT(AG250:AK250,var_covar),TRANSPOSE(AG250:AK250)))</f>
        <v>0.16358151970659693</v>
      </c>
      <c r="AF250" s="22">
        <f t="shared" ca="1" si="25"/>
        <v>3.6784307351987719E-2</v>
      </c>
      <c r="AG250">
        <f ca="1"/>
        <v>-0.15316797151834588</v>
      </c>
      <c r="AH250">
        <f ca="1"/>
        <v>0.31733880296546402</v>
      </c>
      <c r="AI250">
        <f ca="1"/>
        <v>0.90884470793004768</v>
      </c>
      <c r="AJ250">
        <f ca="1"/>
        <v>0.53697071468467683</v>
      </c>
      <c r="AK250">
        <f ca="1"/>
        <v>-0.6099862540618427</v>
      </c>
      <c r="AN250" s="9">
        <v>0.27328480275803668</v>
      </c>
      <c r="AO250" s="9">
        <v>7.2597307942162861E-2</v>
      </c>
    </row>
    <row r="251" spans="28:41" x14ac:dyDescent="0.2">
      <c r="AB251" s="9"/>
      <c r="AC251" s="20"/>
      <c r="AE251" s="22" cm="1">
        <f t="array" aca="1" ref="AE251" ca="1">SQRT(MMULT(MMULT(AG251:AK251,var_covar),TRANSPOSE(AG251:AK251)))</f>
        <v>0.46240620857574977</v>
      </c>
      <c r="AF251" s="22">
        <f t="shared" ca="1" si="25"/>
        <v>4.4450512824662246E-2</v>
      </c>
      <c r="AG251">
        <f ca="1"/>
        <v>1.4228495146607203</v>
      </c>
      <c r="AH251">
        <f ca="1"/>
        <v>-3.4528844087777442</v>
      </c>
      <c r="AI251">
        <f ca="1"/>
        <v>3.5065101993610779</v>
      </c>
      <c r="AJ251">
        <f ca="1"/>
        <v>-0.59709411188700778</v>
      </c>
      <c r="AK251">
        <f ca="1"/>
        <v>0.12061880664295382</v>
      </c>
      <c r="AN251" s="9">
        <v>0.27189593641684501</v>
      </c>
      <c r="AO251" s="9">
        <v>2.282305889166595E-2</v>
      </c>
    </row>
    <row r="252" spans="28:41" x14ac:dyDescent="0.2">
      <c r="AB252" s="9"/>
      <c r="AC252" s="20"/>
      <c r="AE252" s="22" cm="1">
        <f t="array" aca="1" ref="AE252" ca="1">SQRT(MMULT(MMULT(AG252:AK252,var_covar),TRANSPOSE(AG252:AK252)))</f>
        <v>0.15194991361596433</v>
      </c>
      <c r="AF252" s="22">
        <f t="shared" ca="1" si="25"/>
        <v>3.950114184300646E-2</v>
      </c>
      <c r="AG252">
        <f ca="1"/>
        <v>-0.57142260898984587</v>
      </c>
      <c r="AH252">
        <f ca="1"/>
        <v>0.53930754545024406</v>
      </c>
      <c r="AI252">
        <f ca="1"/>
        <v>4.0501424134841951E-2</v>
      </c>
      <c r="AJ252">
        <f ca="1"/>
        <v>0.30983389146912893</v>
      </c>
      <c r="AK252">
        <f ca="1"/>
        <v>0.6817797479356309</v>
      </c>
      <c r="AN252" s="9">
        <v>0.2708537659654861</v>
      </c>
      <c r="AO252" s="9">
        <v>7.7480451927119692E-2</v>
      </c>
    </row>
    <row r="253" spans="28:41" x14ac:dyDescent="0.2">
      <c r="AB253" s="9"/>
      <c r="AC253" s="20"/>
      <c r="AE253" s="22" cm="1">
        <f t="array" aca="1" ref="AE253" ca="1">SQRT(MMULT(MMULT(AG253:AK253,var_covar),TRANSPOSE(AG253:AK253)))</f>
        <v>0.14923748140933948</v>
      </c>
      <c r="AF253" s="22">
        <f t="shared" ca="1" si="25"/>
        <v>5.2294280962757067E-2</v>
      </c>
      <c r="AG253">
        <f ca="1"/>
        <v>0.39229627269718192</v>
      </c>
      <c r="AH253">
        <f ca="1"/>
        <v>0.23975734436612048</v>
      </c>
      <c r="AI253">
        <f ca="1"/>
        <v>-0.76851067198568057</v>
      </c>
      <c r="AJ253">
        <f ca="1"/>
        <v>0.69003518067251146</v>
      </c>
      <c r="AK253">
        <f ca="1"/>
        <v>0.44642187424986673</v>
      </c>
      <c r="AN253" s="9">
        <v>0.26980807821302866</v>
      </c>
      <c r="AO253" s="9">
        <v>-2.3109033628466766E-2</v>
      </c>
    </row>
    <row r="254" spans="28:41" x14ac:dyDescent="0.2">
      <c r="AB254" s="9"/>
      <c r="AC254" s="20"/>
      <c r="AE254" s="22" cm="1">
        <f t="array" aca="1" ref="AE254" ca="1">SQRT(MMULT(MMULT(AG254:AK254,var_covar),TRANSPOSE(AG254:AK254)))</f>
        <v>0.2043620605255598</v>
      </c>
      <c r="AF254" s="22">
        <f t="shared" ca="1" si="25"/>
        <v>6.4837146708626281E-2</v>
      </c>
      <c r="AG254">
        <f ca="1"/>
        <v>0.36863897107963356</v>
      </c>
      <c r="AH254">
        <f ca="1"/>
        <v>-1.1666310288112374</v>
      </c>
      <c r="AI254">
        <f ca="1"/>
        <v>0.3565437940320772</v>
      </c>
      <c r="AJ254">
        <f ca="1"/>
        <v>0.68393515556566442</v>
      </c>
      <c r="AK254">
        <f ca="1"/>
        <v>0.75751310813386219</v>
      </c>
      <c r="AN254" s="9">
        <v>0.26853341138085007</v>
      </c>
      <c r="AO254" s="9">
        <v>7.2316839133611172E-2</v>
      </c>
    </row>
    <row r="255" spans="28:41" x14ac:dyDescent="0.2">
      <c r="AB255" s="9"/>
      <c r="AC255" s="20"/>
      <c r="AE255" s="22" cm="1">
        <f t="array" aca="1" ref="AE255" ca="1">SQRT(MMULT(MMULT(AG255:AK255,var_covar),TRANSPOSE(AG255:AK255)))</f>
        <v>0.1136268803541526</v>
      </c>
      <c r="AF255" s="22">
        <f t="shared" ca="1" si="25"/>
        <v>1.5686310028661238E-2</v>
      </c>
      <c r="AG255">
        <f ca="1"/>
        <v>-5.3057257939754E-2</v>
      </c>
      <c r="AH255">
        <f ca="1"/>
        <v>0.56227939044648856</v>
      </c>
      <c r="AI255">
        <f ca="1"/>
        <v>0.94298150884123844</v>
      </c>
      <c r="AJ255">
        <f ca="1"/>
        <v>-0.38708287984940148</v>
      </c>
      <c r="AK255">
        <f ca="1"/>
        <v>-6.5120761498571419E-2</v>
      </c>
      <c r="AN255" s="9">
        <v>0.26785804945808839</v>
      </c>
      <c r="AO255" s="9">
        <v>7.5191706852232226E-2</v>
      </c>
    </row>
    <row r="256" spans="28:41" x14ac:dyDescent="0.2">
      <c r="AB256" s="9"/>
      <c r="AC256" s="20"/>
      <c r="AE256" s="22" cm="1">
        <f t="array" aca="1" ref="AE256" ca="1">SQRT(MMULT(MMULT(AG256:AK256,var_covar),TRANSPOSE(AG256:AK256)))</f>
        <v>9.9296888380759937E-2</v>
      </c>
      <c r="AF256" s="22">
        <f t="shared" ca="1" si="25"/>
        <v>2.8787922017033896E-2</v>
      </c>
      <c r="AG256">
        <f ca="1"/>
        <v>0.29551830199184087</v>
      </c>
      <c r="AH256">
        <f ca="1"/>
        <v>0.73419261003526448</v>
      </c>
      <c r="AI256">
        <f ca="1"/>
        <v>5.9429424849502296E-2</v>
      </c>
      <c r="AJ256">
        <f ca="1"/>
        <v>0.18835867197437808</v>
      </c>
      <c r="AK256">
        <f ca="1"/>
        <v>-0.27749900885098566</v>
      </c>
      <c r="AN256" s="9">
        <v>0.26626388710472931</v>
      </c>
      <c r="AO256" s="9">
        <v>7.1641046052829505E-2</v>
      </c>
    </row>
    <row r="257" spans="28:41" x14ac:dyDescent="0.2">
      <c r="AB257" s="9"/>
      <c r="AC257" s="20"/>
      <c r="AE257" s="22" cm="1">
        <f t="array" aca="1" ref="AE257" ca="1">SQRT(MMULT(MMULT(AG257:AK257,var_covar),TRANSPOSE(AG257:AK257)))</f>
        <v>0.25294616452219915</v>
      </c>
      <c r="AF257" s="22">
        <f t="shared" ca="1" si="25"/>
        <v>4.5627710550902256E-2</v>
      </c>
      <c r="AG257">
        <f ca="1"/>
        <v>-1.2739042455650718</v>
      </c>
      <c r="AH257">
        <f ca="1"/>
        <v>-0.2142182471048677</v>
      </c>
      <c r="AI257">
        <f ca="1"/>
        <v>1.1555107027892817</v>
      </c>
      <c r="AJ257">
        <f ca="1"/>
        <v>0.29229152351818916</v>
      </c>
      <c r="AK257">
        <f ca="1"/>
        <v>1.0403202663624684</v>
      </c>
      <c r="AN257" s="9">
        <v>0.26552832881733768</v>
      </c>
      <c r="AO257" s="9">
        <v>1.3214925712715722E-2</v>
      </c>
    </row>
    <row r="258" spans="28:41" x14ac:dyDescent="0.2">
      <c r="AB258" s="9"/>
      <c r="AC258" s="20"/>
      <c r="AE258" s="22" cm="1">
        <f t="array" aca="1" ref="AE258" ca="1">SQRT(MMULT(MMULT(AG258:AK258,var_covar),TRANSPOSE(AG258:AK258)))</f>
        <v>0.27349642471969526</v>
      </c>
      <c r="AF258" s="22">
        <f t="shared" ca="1" si="25"/>
        <v>-1.9293809843120339E-2</v>
      </c>
      <c r="AG258">
        <f ca="1"/>
        <v>-0.43247261899621053</v>
      </c>
      <c r="AH258">
        <f ca="1"/>
        <v>1.7276674512054275</v>
      </c>
      <c r="AI258">
        <f ca="1"/>
        <v>1.757232671855937</v>
      </c>
      <c r="AJ258">
        <f ca="1"/>
        <v>-1.0356096980700025</v>
      </c>
      <c r="AK258">
        <f ca="1"/>
        <v>-1.0168178059951518</v>
      </c>
      <c r="AN258" s="9">
        <v>0.26523955780707692</v>
      </c>
      <c r="AO258" s="9">
        <v>6.5734439703208178E-2</v>
      </c>
    </row>
    <row r="259" spans="28:41" x14ac:dyDescent="0.2">
      <c r="AB259" s="9"/>
      <c r="AC259" s="20"/>
      <c r="AE259" s="22" cm="1">
        <f t="array" aca="1" ref="AE259" ca="1">SQRT(MMULT(MMULT(AG259:AK259,var_covar),TRANSPOSE(AG259:AK259)))</f>
        <v>0.10258455778090289</v>
      </c>
      <c r="AF259" s="22">
        <f t="shared" ca="1" si="25"/>
        <v>4.0764382538755209E-2</v>
      </c>
      <c r="AG259">
        <f ca="1"/>
        <v>0.33905440531900261</v>
      </c>
      <c r="AH259">
        <f ca="1"/>
        <v>-2.7383642135976327E-2</v>
      </c>
      <c r="AI259">
        <f ca="1"/>
        <v>0.1096218657523078</v>
      </c>
      <c r="AJ259">
        <f ca="1"/>
        <v>0.21695133960355467</v>
      </c>
      <c r="AK259">
        <f ca="1"/>
        <v>0.36175603146111129</v>
      </c>
      <c r="AN259" s="9">
        <v>0.26511261394717317</v>
      </c>
      <c r="AO259" s="9">
        <v>7.3965308360738224E-2</v>
      </c>
    </row>
    <row r="260" spans="28:41" x14ac:dyDescent="0.2">
      <c r="AB260" s="9"/>
      <c r="AC260" s="20"/>
      <c r="AE260" s="22" cm="1">
        <f t="array" aca="1" ref="AE260" ca="1">SQRT(MMULT(MMULT(AG260:AK260,var_covar),TRANSPOSE(AG260:AK260)))</f>
        <v>0.74476198903979263</v>
      </c>
      <c r="AF260" s="22">
        <f t="shared" ref="AF260:AF323" ca="1" si="26">SUMPRODUCT(AG260:AK260,$S$2:$W$2)</f>
        <v>8.4946768878358031E-2</v>
      </c>
      <c r="AG260">
        <f ca="1"/>
        <v>-6.7127548888563009</v>
      </c>
      <c r="AH260">
        <f ca="1"/>
        <v>2.9730947100699061</v>
      </c>
      <c r="AI260">
        <f ca="1"/>
        <v>-0.57813769981886154</v>
      </c>
      <c r="AJ260">
        <f ca="1"/>
        <v>2.6631431590839516</v>
      </c>
      <c r="AK260">
        <f ca="1"/>
        <v>2.6546547195213055</v>
      </c>
      <c r="AN260" s="9">
        <v>0.26452028282894957</v>
      </c>
      <c r="AO260" s="9">
        <v>7.920657114611987E-2</v>
      </c>
    </row>
    <row r="261" spans="28:41" x14ac:dyDescent="0.2">
      <c r="AB261" s="9"/>
      <c r="AC261" s="20"/>
      <c r="AE261" s="22" cm="1">
        <f t="array" aca="1" ref="AE261" ca="1">SQRT(MMULT(MMULT(AG261:AK261,var_covar),TRANSPOSE(AG261:AK261)))</f>
        <v>0.76011114778772293</v>
      </c>
      <c r="AF261" s="22">
        <f t="shared" ca="1" si="26"/>
        <v>-1.3337076089498051E-2</v>
      </c>
      <c r="AG261">
        <f ca="1"/>
        <v>1.7493392582157938</v>
      </c>
      <c r="AH261">
        <f ca="1"/>
        <v>1.8201656260661823</v>
      </c>
      <c r="AI261">
        <f ca="1"/>
        <v>1.8200468497321569</v>
      </c>
      <c r="AJ261">
        <f ca="1"/>
        <v>0.17477091018132754</v>
      </c>
      <c r="AK261">
        <f ca="1"/>
        <v>-4.5643226441954603</v>
      </c>
      <c r="AN261" s="9">
        <v>0.26236216388402339</v>
      </c>
      <c r="AO261" s="9">
        <v>5.4198687124117066E-2</v>
      </c>
    </row>
    <row r="262" spans="28:41" x14ac:dyDescent="0.2">
      <c r="AB262" s="9"/>
      <c r="AC262" s="20"/>
      <c r="AE262" s="22" cm="1">
        <f t="array" aca="1" ref="AE262" ca="1">SQRT(MMULT(MMULT(AG262:AK262,var_covar),TRANSPOSE(AG262:AK262)))</f>
        <v>0.11358938476364447</v>
      </c>
      <c r="AF262" s="22">
        <f t="shared" ca="1" si="26"/>
        <v>3.6857944434693035E-2</v>
      </c>
      <c r="AG262">
        <f ca="1"/>
        <v>0.80364070623412054</v>
      </c>
      <c r="AH262">
        <f ca="1"/>
        <v>0.24021432556173314</v>
      </c>
      <c r="AI262">
        <f ca="1"/>
        <v>-0.45223121652537657</v>
      </c>
      <c r="AJ262">
        <f ca="1"/>
        <v>0.11568453827741841</v>
      </c>
      <c r="AK262">
        <f ca="1"/>
        <v>0.29269164645210444</v>
      </c>
      <c r="AN262" s="9">
        <v>0.26075618970500741</v>
      </c>
      <c r="AO262" s="9">
        <v>1.1269878532782773E-2</v>
      </c>
    </row>
    <row r="263" spans="28:41" x14ac:dyDescent="0.2">
      <c r="AB263" s="9"/>
      <c r="AC263" s="20"/>
      <c r="AE263" s="22" cm="1">
        <f t="array" aca="1" ref="AE263" ca="1">SQRT(MMULT(MMULT(AG263:AK263,var_covar),TRANSPOSE(AG263:AK263)))</f>
        <v>0.16519350296472243</v>
      </c>
      <c r="AF263" s="22">
        <f t="shared" ca="1" si="26"/>
        <v>4.1667981210691221E-2</v>
      </c>
      <c r="AG263">
        <f ca="1"/>
        <v>-0.27473505270403675</v>
      </c>
      <c r="AH263">
        <f ca="1"/>
        <v>-4.7855260898419412E-2</v>
      </c>
      <c r="AI263">
        <f ca="1"/>
        <v>0.33720004257794262</v>
      </c>
      <c r="AJ263">
        <f ca="1"/>
        <v>0.15181488903196599</v>
      </c>
      <c r="AK263">
        <f ca="1"/>
        <v>0.83357538199254755</v>
      </c>
      <c r="AN263" s="9">
        <v>0.25932372905449447</v>
      </c>
      <c r="AO263" s="9">
        <v>-1.2124645893742785E-2</v>
      </c>
    </row>
    <row r="264" spans="28:41" x14ac:dyDescent="0.2">
      <c r="AB264" s="9"/>
      <c r="AC264" s="20"/>
      <c r="AE264" s="22" cm="1">
        <f t="array" aca="1" ref="AE264" ca="1">SQRT(MMULT(MMULT(AG264:AK264,var_covar),TRANSPOSE(AG264:AK264)))</f>
        <v>0.18470966760073396</v>
      </c>
      <c r="AF264" s="22">
        <f t="shared" ca="1" si="26"/>
        <v>1.1920041751917477E-2</v>
      </c>
      <c r="AG264">
        <f ca="1"/>
        <v>2.0949001507191931</v>
      </c>
      <c r="AH264">
        <f ca="1"/>
        <v>-0.40401346063554211</v>
      </c>
      <c r="AI264">
        <f ca="1"/>
        <v>0.46437263312565669</v>
      </c>
      <c r="AJ264">
        <f ca="1"/>
        <v>-0.97648659500057289</v>
      </c>
      <c r="AK264">
        <f ca="1"/>
        <v>-0.17877272820873488</v>
      </c>
      <c r="AN264" s="9">
        <v>0.25822121008121096</v>
      </c>
      <c r="AO264" s="9">
        <v>5.1935623970958696E-2</v>
      </c>
    </row>
    <row r="265" spans="28:41" x14ac:dyDescent="0.2">
      <c r="AB265" s="9"/>
      <c r="AC265" s="20"/>
      <c r="AE265" s="22" cm="1">
        <f t="array" aca="1" ref="AE265" ca="1">SQRT(MMULT(MMULT(AG265:AK265,var_covar),TRANSPOSE(AG265:AK265)))</f>
        <v>0.10490729698311388</v>
      </c>
      <c r="AF265" s="22">
        <f t="shared" ca="1" si="26"/>
        <v>2.849861576521745E-2</v>
      </c>
      <c r="AG265">
        <f ca="1"/>
        <v>-0.21058958145283868</v>
      </c>
      <c r="AH265">
        <f ca="1"/>
        <v>0.43926264015948163</v>
      </c>
      <c r="AI265">
        <f ca="1"/>
        <v>0.72635125661356392</v>
      </c>
      <c r="AJ265">
        <f ca="1"/>
        <v>6.5054314883017453E-2</v>
      </c>
      <c r="AK265">
        <f ca="1"/>
        <v>-2.0078630203224375E-2</v>
      </c>
      <c r="AN265" s="9">
        <v>0.2580385578674646</v>
      </c>
      <c r="AO265" s="9">
        <v>4.6458502676629598E-2</v>
      </c>
    </row>
    <row r="266" spans="28:41" x14ac:dyDescent="0.2">
      <c r="AB266" s="9"/>
      <c r="AC266" s="20"/>
      <c r="AE266" s="22" cm="1">
        <f t="array" aca="1" ref="AE266" ca="1">SQRT(MMULT(MMULT(AG266:AK266,var_covar),TRANSPOSE(AG266:AK266)))</f>
        <v>0.1387306447504805</v>
      </c>
      <c r="AF266" s="22">
        <f t="shared" ca="1" si="26"/>
        <v>5.996047680762194E-2</v>
      </c>
      <c r="AG266">
        <f ca="1"/>
        <v>0.24908359111816142</v>
      </c>
      <c r="AH266">
        <f ca="1"/>
        <v>-0.41577422292680499</v>
      </c>
      <c r="AI266">
        <f ca="1"/>
        <v>9.2431225542708606E-2</v>
      </c>
      <c r="AJ266">
        <f ca="1"/>
        <v>0.91463225583282504</v>
      </c>
      <c r="AK266">
        <f ca="1"/>
        <v>0.1596271504331099</v>
      </c>
      <c r="AN266" s="9">
        <v>0.25776698688018018</v>
      </c>
      <c r="AO266" s="9">
        <v>5.2827070556083155E-2</v>
      </c>
    </row>
    <row r="267" spans="28:41" x14ac:dyDescent="0.2">
      <c r="AB267" s="9"/>
      <c r="AC267" s="20"/>
      <c r="AE267" s="22" cm="1">
        <f t="array" aca="1" ref="AE267" ca="1">SQRT(MMULT(MMULT(AG267:AK267,var_covar),TRANSPOSE(AG267:AK267)))</f>
        <v>8.7387790871625931E-2</v>
      </c>
      <c r="AF267" s="22">
        <f t="shared" ca="1" si="26"/>
        <v>3.5178768383693042E-2</v>
      </c>
      <c r="AG267">
        <f ca="1"/>
        <v>0.15875404312139654</v>
      </c>
      <c r="AH267">
        <f ca="1"/>
        <v>0.22884475343635155</v>
      </c>
      <c r="AI267">
        <f ca="1"/>
        <v>0.25660767401023571</v>
      </c>
      <c r="AJ267">
        <f ca="1"/>
        <v>0.14422031068665495</v>
      </c>
      <c r="AK267">
        <f ca="1"/>
        <v>0.21157321874536122</v>
      </c>
      <c r="AN267" s="9">
        <v>0.25652174691079443</v>
      </c>
      <c r="AO267" s="9">
        <v>5.9772148823186474E-2</v>
      </c>
    </row>
    <row r="268" spans="28:41" x14ac:dyDescent="0.2">
      <c r="AB268" s="9"/>
      <c r="AC268" s="20"/>
      <c r="AE268" s="22" cm="1">
        <f t="array" aca="1" ref="AE268" ca="1">SQRT(MMULT(MMULT(AG268:AK268,var_covar),TRANSPOSE(AG268:AK268)))</f>
        <v>9.5067762906682174E-2</v>
      </c>
      <c r="AF268" s="22">
        <f t="shared" ca="1" si="26"/>
        <v>3.6227204629417406E-2</v>
      </c>
      <c r="AG268">
        <f ca="1"/>
        <v>0.44988448167281719</v>
      </c>
      <c r="AH268">
        <f ca="1"/>
        <v>-7.3180646708221303E-2</v>
      </c>
      <c r="AI268">
        <f ca="1"/>
        <v>0.29781058490711826</v>
      </c>
      <c r="AJ268">
        <f ca="1"/>
        <v>5.0955372586736949E-2</v>
      </c>
      <c r="AK268">
        <f ca="1"/>
        <v>0.27453020754154883</v>
      </c>
      <c r="AN268" s="9">
        <v>0.25595542985920522</v>
      </c>
      <c r="AO268" s="9">
        <v>7.2161828202998768E-2</v>
      </c>
    </row>
    <row r="269" spans="28:41" x14ac:dyDescent="0.2">
      <c r="AB269" s="9"/>
      <c r="AC269" s="20"/>
      <c r="AE269" s="22" cm="1">
        <f t="array" aca="1" ref="AE269" ca="1">SQRT(MMULT(MMULT(AG269:AK269,var_covar),TRANSPOSE(AG269:AK269)))</f>
        <v>0.14135974708842008</v>
      </c>
      <c r="AF269" s="22">
        <f t="shared" ca="1" si="26"/>
        <v>4.1510838538190667E-2</v>
      </c>
      <c r="AG269">
        <f ca="1"/>
        <v>0.53862996711087918</v>
      </c>
      <c r="AH269">
        <f ca="1"/>
        <v>8.1418051367120672E-3</v>
      </c>
      <c r="AI269">
        <f ca="1"/>
        <v>0.48162880159834065</v>
      </c>
      <c r="AJ269">
        <f ca="1"/>
        <v>0.54858524873623282</v>
      </c>
      <c r="AK269">
        <f ca="1"/>
        <v>-0.57698582258216446</v>
      </c>
      <c r="AN269" s="9">
        <v>0.25565176637281589</v>
      </c>
      <c r="AO269" s="9">
        <v>2.9805981358743558E-2</v>
      </c>
    </row>
    <row r="270" spans="28:41" x14ac:dyDescent="0.2">
      <c r="AB270" s="9"/>
      <c r="AC270" s="20"/>
      <c r="AE270" s="22" cm="1">
        <f t="array" aca="1" ref="AE270" ca="1">SQRT(MMULT(MMULT(AG270:AK270,var_covar),TRANSPOSE(AG270:AK270)))</f>
        <v>0.42595265728587406</v>
      </c>
      <c r="AF270" s="22">
        <f t="shared" ca="1" si="26"/>
        <v>6.7123070605894869E-2</v>
      </c>
      <c r="AG270">
        <f ca="1"/>
        <v>-0.68760577734906636</v>
      </c>
      <c r="AH270">
        <f ca="1"/>
        <v>0.6642934952319588</v>
      </c>
      <c r="AI270">
        <f ca="1"/>
        <v>0.74162016640640638</v>
      </c>
      <c r="AJ270">
        <f ca="1"/>
        <v>2.3063105230784462</v>
      </c>
      <c r="AK270">
        <f ca="1"/>
        <v>-2.0246184073677447</v>
      </c>
      <c r="AN270" s="9">
        <v>0.255187290821353</v>
      </c>
      <c r="AO270" s="9">
        <v>9.0269178294404534E-2</v>
      </c>
    </row>
    <row r="271" spans="28:41" x14ac:dyDescent="0.2">
      <c r="AB271" s="9"/>
      <c r="AC271" s="20"/>
      <c r="AE271" s="22" cm="1">
        <f t="array" aca="1" ref="AE271" ca="1">SQRT(MMULT(MMULT(AG271:AK271,var_covar),TRANSPOSE(AG271:AK271)))</f>
        <v>0.11307107594586734</v>
      </c>
      <c r="AF271" s="22">
        <f t="shared" ca="1" si="26"/>
        <v>4.5268119939642873E-2</v>
      </c>
      <c r="AG271">
        <f ca="1"/>
        <v>0.29526535803640436</v>
      </c>
      <c r="AH271">
        <f ca="1"/>
        <v>0.43121042456094516</v>
      </c>
      <c r="AI271">
        <f ca="1"/>
        <v>-0.29877453088542372</v>
      </c>
      <c r="AJ271">
        <f ca="1"/>
        <v>0.66834961822118233</v>
      </c>
      <c r="AK271">
        <f ca="1"/>
        <v>-9.6050869933108227E-2</v>
      </c>
      <c r="AN271" s="9">
        <v>0.2529158352061403</v>
      </c>
      <c r="AO271" s="9">
        <v>9.372796075866964E-2</v>
      </c>
    </row>
    <row r="272" spans="28:41" x14ac:dyDescent="0.2">
      <c r="AB272" s="9"/>
      <c r="AC272" s="20"/>
      <c r="AE272" s="22" cm="1">
        <f t="array" aca="1" ref="AE272" ca="1">SQRT(MMULT(MMULT(AG272:AK272,var_covar),TRANSPOSE(AG272:AK272)))</f>
        <v>9.2721476785515011E-2</v>
      </c>
      <c r="AF272" s="22">
        <f t="shared" ca="1" si="26"/>
        <v>3.7837318378829379E-2</v>
      </c>
      <c r="AG272">
        <f ca="1"/>
        <v>0.25889196742563547</v>
      </c>
      <c r="AH272">
        <f ca="1"/>
        <v>0.16438356156360504</v>
      </c>
      <c r="AI272">
        <f ca="1"/>
        <v>9.676791540236275E-2</v>
      </c>
      <c r="AJ272">
        <f ca="1"/>
        <v>0.19069530345091609</v>
      </c>
      <c r="AK272">
        <f ca="1"/>
        <v>0.28926125215748066</v>
      </c>
      <c r="AN272" s="9">
        <v>0.25197369214338766</v>
      </c>
      <c r="AO272" s="9">
        <v>2.2940580297165003E-2</v>
      </c>
    </row>
    <row r="273" spans="28:41" x14ac:dyDescent="0.2">
      <c r="AB273" s="9"/>
      <c r="AC273" s="20"/>
      <c r="AE273" s="22" cm="1">
        <f t="array" aca="1" ref="AE273" ca="1">SQRT(MMULT(MMULT(AG273:AK273,var_covar),TRANSPOSE(AG273:AK273)))</f>
        <v>0.12328054076746181</v>
      </c>
      <c r="AF273" s="22">
        <f t="shared" ca="1" si="26"/>
        <v>3.7523749263080788E-2</v>
      </c>
      <c r="AG273">
        <f ca="1"/>
        <v>-0.57615767695082487</v>
      </c>
      <c r="AH273">
        <f ca="1"/>
        <v>0.6535778350927286</v>
      </c>
      <c r="AI273">
        <f ca="1"/>
        <v>0.40207152904934651</v>
      </c>
      <c r="AJ273">
        <f ca="1"/>
        <v>0.48221677641471927</v>
      </c>
      <c r="AK273">
        <f ca="1"/>
        <v>3.8291536394030434E-2</v>
      </c>
      <c r="AN273" s="9">
        <v>0.25057660847487045</v>
      </c>
      <c r="AO273" s="9">
        <v>7.273070932773204E-2</v>
      </c>
    </row>
    <row r="274" spans="28:41" x14ac:dyDescent="0.2">
      <c r="AB274" s="9"/>
      <c r="AC274" s="20"/>
      <c r="AE274" s="22" cm="1">
        <f t="array" aca="1" ref="AE274" ca="1">SQRT(MMULT(MMULT(AG274:AK274,var_covar),TRANSPOSE(AG274:AK274)))</f>
        <v>0.1080106601049244</v>
      </c>
      <c r="AF274" s="22">
        <f t="shared" ca="1" si="26"/>
        <v>3.7038015236810877E-2</v>
      </c>
      <c r="AG274">
        <f ca="1"/>
        <v>0.12032366032213913</v>
      </c>
      <c r="AH274">
        <f ca="1"/>
        <v>0.38157233233761728</v>
      </c>
      <c r="AI274">
        <f ca="1"/>
        <v>-0.12056216328433945</v>
      </c>
      <c r="AJ274">
        <f ca="1"/>
        <v>0.18497968438713419</v>
      </c>
      <c r="AK274">
        <f ca="1"/>
        <v>0.43368648623744871</v>
      </c>
      <c r="AN274" s="9">
        <v>0.248542511010404</v>
      </c>
      <c r="AO274" s="9">
        <v>2.963838469036344E-2</v>
      </c>
    </row>
    <row r="275" spans="28:41" x14ac:dyDescent="0.2">
      <c r="AB275" s="9"/>
      <c r="AC275" s="20"/>
      <c r="AE275" s="22" cm="1">
        <f t="array" aca="1" ref="AE275" ca="1">SQRT(MMULT(MMULT(AG275:AK275,var_covar),TRANSPOSE(AG275:AK275)))</f>
        <v>2.5890873760761255</v>
      </c>
      <c r="AF275" s="22">
        <f t="shared" ca="1" si="26"/>
        <v>5.2432802379962173E-2</v>
      </c>
      <c r="AG275">
        <f ca="1"/>
        <v>-6.0407041424535457</v>
      </c>
      <c r="AH275">
        <f ca="1"/>
        <v>-9.328692007418768</v>
      </c>
      <c r="AI275">
        <f ca="1"/>
        <v>8.3748965244367799</v>
      </c>
      <c r="AJ275">
        <f ca="1"/>
        <v>-5.6139543694833849</v>
      </c>
      <c r="AK275">
        <f ca="1"/>
        <v>13.608453994918916</v>
      </c>
      <c r="AN275" s="9">
        <v>0.24778958605641171</v>
      </c>
      <c r="AO275" s="9">
        <v>-2.08889777764701E-2</v>
      </c>
    </row>
    <row r="276" spans="28:41" x14ac:dyDescent="0.2">
      <c r="AB276" s="9"/>
      <c r="AC276" s="20"/>
      <c r="AE276" s="22" cm="1">
        <f t="array" aca="1" ref="AE276" ca="1">SQRT(MMULT(MMULT(AG276:AK276,var_covar),TRANSPOSE(AG276:AK276)))</f>
        <v>0.10551914422162884</v>
      </c>
      <c r="AF276" s="22">
        <f t="shared" ca="1" si="26"/>
        <v>4.2844473930829199E-2</v>
      </c>
      <c r="AG276">
        <f ca="1"/>
        <v>-5.6572331645839795E-3</v>
      </c>
      <c r="AH276">
        <f ca="1"/>
        <v>0.15805651776970692</v>
      </c>
      <c r="AI276">
        <f ca="1"/>
        <v>0.13257199596075325</v>
      </c>
      <c r="AJ276">
        <f ca="1"/>
        <v>0.39579358481443638</v>
      </c>
      <c r="AK276">
        <f ca="1"/>
        <v>0.31923513461968744</v>
      </c>
      <c r="AN276" s="9">
        <v>0.2475077053506631</v>
      </c>
      <c r="AO276" s="9">
        <v>4.3916866777975808E-2</v>
      </c>
    </row>
    <row r="277" spans="28:41" x14ac:dyDescent="0.2">
      <c r="AB277" s="9"/>
      <c r="AC277" s="20"/>
      <c r="AE277" s="22" cm="1">
        <f t="array" aca="1" ref="AE277" ca="1">SQRT(MMULT(MMULT(AG277:AK277,var_covar),TRANSPOSE(AG277:AK277)))</f>
        <v>0.24227857026876348</v>
      </c>
      <c r="AF277" s="22">
        <f t="shared" ca="1" si="26"/>
        <v>1.4467441331487071E-3</v>
      </c>
      <c r="AG277">
        <f ca="1"/>
        <v>-1.3125296830964968</v>
      </c>
      <c r="AH277">
        <f ca="1"/>
        <v>1.9236682934017457</v>
      </c>
      <c r="AI277">
        <f ca="1"/>
        <v>0.25486531193023287</v>
      </c>
      <c r="AJ277">
        <f ca="1"/>
        <v>-0.74245468564591177</v>
      </c>
      <c r="AK277">
        <f ca="1"/>
        <v>0.87645076341042993</v>
      </c>
      <c r="AN277" s="9">
        <v>0.24708998329888635</v>
      </c>
      <c r="AO277" s="9">
        <v>2.7285533109711241E-2</v>
      </c>
    </row>
    <row r="278" spans="28:41" x14ac:dyDescent="0.2">
      <c r="AB278" s="9"/>
      <c r="AC278" s="20"/>
      <c r="AE278" s="22" cm="1">
        <f t="array" aca="1" ref="AE278" ca="1">SQRT(MMULT(MMULT(AG278:AK278,var_covar),TRANSPOSE(AG278:AK278)))</f>
        <v>0.12141881660327468</v>
      </c>
      <c r="AF278" s="22">
        <f t="shared" ca="1" si="26"/>
        <v>4.3348903269876574E-2</v>
      </c>
      <c r="AG278">
        <f ca="1"/>
        <v>0.93564661226326729</v>
      </c>
      <c r="AH278">
        <f ca="1"/>
        <v>-0.47291526556289148</v>
      </c>
      <c r="AI278">
        <f ca="1"/>
        <v>7.0782144218852164E-2</v>
      </c>
      <c r="AJ278">
        <f ca="1"/>
        <v>0.1459823989862232</v>
      </c>
      <c r="AK278">
        <f ca="1"/>
        <v>0.32050411009454893</v>
      </c>
      <c r="AN278" s="9">
        <v>0.24651900465619395</v>
      </c>
      <c r="AO278" s="9">
        <v>3.2800371800677929E-2</v>
      </c>
    </row>
    <row r="279" spans="28:41" x14ac:dyDescent="0.2">
      <c r="AB279" s="9"/>
      <c r="AC279" s="20"/>
      <c r="AE279" s="22" cm="1">
        <f t="array" aca="1" ref="AE279" ca="1">SQRT(MMULT(MMULT(AG279:AK279,var_covar),TRANSPOSE(AG279:AK279)))</f>
        <v>0.10294920234503224</v>
      </c>
      <c r="AF279" s="22">
        <f t="shared" ca="1" si="26"/>
        <v>1.9328279478978763E-2</v>
      </c>
      <c r="AG279">
        <f ca="1"/>
        <v>6.3844371651044758E-3</v>
      </c>
      <c r="AH279">
        <f ca="1"/>
        <v>0.836849173128979</v>
      </c>
      <c r="AI279">
        <f ca="1"/>
        <v>0.51744593593098753</v>
      </c>
      <c r="AJ279">
        <f ca="1"/>
        <v>-0.12478533348690528</v>
      </c>
      <c r="AK279">
        <f ca="1"/>
        <v>-0.23589421273816566</v>
      </c>
      <c r="AN279" s="9">
        <v>0.24634975848146753</v>
      </c>
      <c r="AO279" s="9">
        <v>2.2694364451577784E-2</v>
      </c>
    </row>
    <row r="280" spans="28:41" x14ac:dyDescent="0.2">
      <c r="AB280" s="9"/>
      <c r="AC280" s="20"/>
      <c r="AE280" s="22" cm="1">
        <f t="array" aca="1" ref="AE280" ca="1">SQRT(MMULT(MMULT(AG280:AK280,var_covar),TRANSPOSE(AG280:AK280)))</f>
        <v>8.4866064599319377E-2</v>
      </c>
      <c r="AF280" s="22">
        <f t="shared" ca="1" si="26"/>
        <v>2.9481855086330916E-2</v>
      </c>
      <c r="AG280">
        <f ca="1"/>
        <v>0.63747245763172178</v>
      </c>
      <c r="AH280">
        <f ca="1"/>
        <v>0.2867395071748895</v>
      </c>
      <c r="AI280">
        <f ca="1"/>
        <v>0.23320637768752256</v>
      </c>
      <c r="AJ280">
        <f ca="1"/>
        <v>2.7296302064556563E-2</v>
      </c>
      <c r="AK280">
        <f ca="1"/>
        <v>-0.18471464455869022</v>
      </c>
      <c r="AN280" s="9">
        <v>0.24515077668785007</v>
      </c>
      <c r="AO280" s="9">
        <v>5.1384902578919672E-2</v>
      </c>
    </row>
    <row r="281" spans="28:41" x14ac:dyDescent="0.2">
      <c r="AB281" s="9"/>
      <c r="AC281" s="20"/>
      <c r="AE281" s="22" cm="1">
        <f t="array" aca="1" ref="AE281" ca="1">SQRT(MMULT(MMULT(AG281:AK281,var_covar),TRANSPOSE(AG281:AK281)))</f>
        <v>1.0744799093837329</v>
      </c>
      <c r="AF281" s="22">
        <f t="shared" ca="1" si="26"/>
        <v>2.4149955634814591E-3</v>
      </c>
      <c r="AG281">
        <f ca="1"/>
        <v>2.1545636113195679</v>
      </c>
      <c r="AH281">
        <f ca="1"/>
        <v>-2.0512537745640622</v>
      </c>
      <c r="AI281">
        <f ca="1"/>
        <v>-1.2416279624513817</v>
      </c>
      <c r="AJ281">
        <f ca="1"/>
        <v>-3.854153214664549</v>
      </c>
      <c r="AK281">
        <f ca="1"/>
        <v>5.9924713403604244</v>
      </c>
      <c r="AN281" s="9">
        <v>0.24421279396534731</v>
      </c>
      <c r="AO281" s="9">
        <v>3.1708759967034948E-2</v>
      </c>
    </row>
    <row r="282" spans="28:41" x14ac:dyDescent="0.2">
      <c r="AB282" s="9"/>
      <c r="AC282" s="20"/>
      <c r="AE282" s="22" cm="1">
        <f t="array" aca="1" ref="AE282" ca="1">SQRT(MMULT(MMULT(AG282:AK282,var_covar),TRANSPOSE(AG282:AK282)))</f>
        <v>0.13289557480523723</v>
      </c>
      <c r="AF282" s="22">
        <f t="shared" ca="1" si="26"/>
        <v>1.0301363765460259E-2</v>
      </c>
      <c r="AG282">
        <f ca="1"/>
        <v>-0.16816230597985243</v>
      </c>
      <c r="AH282">
        <f ca="1"/>
        <v>1.0242024452451595</v>
      </c>
      <c r="AI282">
        <f ca="1"/>
        <v>0.33056255928501571</v>
      </c>
      <c r="AJ282">
        <f ca="1"/>
        <v>-0.62214955164848251</v>
      </c>
      <c r="AK282">
        <f ca="1"/>
        <v>0.43554685309815955</v>
      </c>
      <c r="AN282" s="9">
        <v>0.24388747588081378</v>
      </c>
      <c r="AO282" s="9">
        <v>1.7353225581621244E-2</v>
      </c>
    </row>
    <row r="283" spans="28:41" x14ac:dyDescent="0.2">
      <c r="AB283" s="9"/>
      <c r="AC283" s="20"/>
      <c r="AE283" s="22" cm="1">
        <f t="array" aca="1" ref="AE283" ca="1">SQRT(MMULT(MMULT(AG283:AK283,var_covar),TRANSPOSE(AG283:AK283)))</f>
        <v>0.11309207771071904</v>
      </c>
      <c r="AF283" s="22">
        <f t="shared" ca="1" si="26"/>
        <v>4.3166941796203104E-2</v>
      </c>
      <c r="AG283">
        <f ca="1"/>
        <v>6.3722694093804738E-2</v>
      </c>
      <c r="AH283">
        <f ca="1"/>
        <v>1.6043083135984969E-2</v>
      </c>
      <c r="AI283">
        <f ca="1"/>
        <v>0.16842404632848204</v>
      </c>
      <c r="AJ283">
        <f ca="1"/>
        <v>0.32717195328658732</v>
      </c>
      <c r="AK283">
        <f ca="1"/>
        <v>0.42463822315514094</v>
      </c>
      <c r="AN283" s="9">
        <v>0.24314108883380361</v>
      </c>
      <c r="AO283" s="9">
        <v>7.4704152854579944E-2</v>
      </c>
    </row>
    <row r="284" spans="28:41" x14ac:dyDescent="0.2">
      <c r="AB284" s="9"/>
      <c r="AC284" s="20"/>
      <c r="AE284" s="22" cm="1">
        <f t="array" aca="1" ref="AE284" ca="1">SQRT(MMULT(MMULT(AG284:AK284,var_covar),TRANSPOSE(AG284:AK284)))</f>
        <v>9.8656782129970463E-2</v>
      </c>
      <c r="AF284" s="22">
        <f t="shared" ca="1" si="26"/>
        <v>4.399288539953846E-2</v>
      </c>
      <c r="AG284">
        <f ca="1"/>
        <v>0.29163835473969812</v>
      </c>
      <c r="AH284">
        <f ca="1"/>
        <v>0.24027029295471816</v>
      </c>
      <c r="AI284">
        <f ca="1"/>
        <v>-0.15304542986404604</v>
      </c>
      <c r="AJ284">
        <f ca="1"/>
        <v>0.49464285435046451</v>
      </c>
      <c r="AK284">
        <f ca="1"/>
        <v>0.1264939278191653</v>
      </c>
      <c r="AN284" s="9">
        <v>0.24127085507948254</v>
      </c>
      <c r="AO284" s="9">
        <v>7.2312104084330683E-2</v>
      </c>
    </row>
    <row r="285" spans="28:41" x14ac:dyDescent="0.2">
      <c r="AB285" s="9"/>
      <c r="AC285" s="20"/>
      <c r="AE285" s="22" cm="1">
        <f t="array" aca="1" ref="AE285" ca="1">SQRT(MMULT(MMULT(AG285:AK285,var_covar),TRANSPOSE(AG285:AK285)))</f>
        <v>0.17719458030204216</v>
      </c>
      <c r="AF285" s="22">
        <f t="shared" ca="1" si="26"/>
        <v>2.7545187655616508E-2</v>
      </c>
      <c r="AG285">
        <f ca="1"/>
        <v>-0.1860123144310028</v>
      </c>
      <c r="AH285">
        <f ca="1"/>
        <v>0.3224952926719955</v>
      </c>
      <c r="AI285">
        <f ca="1"/>
        <v>1.3022962119842123</v>
      </c>
      <c r="AJ285">
        <f ca="1"/>
        <v>0.20397011808845789</v>
      </c>
      <c r="AK285">
        <f ca="1"/>
        <v>-0.64274930831366295</v>
      </c>
      <c r="AN285" s="9">
        <v>0.24048133332995114</v>
      </c>
      <c r="AO285" s="9">
        <v>7.0473366407329874E-2</v>
      </c>
    </row>
    <row r="286" spans="28:41" x14ac:dyDescent="0.2">
      <c r="AB286" s="9"/>
      <c r="AC286" s="20"/>
      <c r="AE286" s="22" cm="1">
        <f t="array" aca="1" ref="AE286" ca="1">SQRT(MMULT(MMULT(AG286:AK286,var_covar),TRANSPOSE(AG286:AK286)))</f>
        <v>2.9488367373479769</v>
      </c>
      <c r="AF286" s="22">
        <f t="shared" ca="1" si="26"/>
        <v>-2.0648866390141518E-2</v>
      </c>
      <c r="AG286">
        <f ca="1"/>
        <v>-11.023491192613697</v>
      </c>
      <c r="AH286">
        <f ca="1"/>
        <v>2.4980213045975068</v>
      </c>
      <c r="AI286">
        <f ca="1"/>
        <v>-1.9574605182630556</v>
      </c>
      <c r="AJ286">
        <f ca="1"/>
        <v>-5.9580136690658883</v>
      </c>
      <c r="AK286">
        <f ca="1"/>
        <v>17.440944075345136</v>
      </c>
      <c r="AN286" s="9">
        <v>0.24040419079969727</v>
      </c>
      <c r="AO286" s="9">
        <v>6.8715910019899254E-3</v>
      </c>
    </row>
    <row r="287" spans="28:41" x14ac:dyDescent="0.2">
      <c r="AB287" s="9"/>
      <c r="AC287" s="20"/>
      <c r="AE287" s="22" cm="1">
        <f t="array" aca="1" ref="AE287" ca="1">SQRT(MMULT(MMULT(AG287:AK287,var_covar),TRANSPOSE(AG287:AK287)))</f>
        <v>0.15616387245034563</v>
      </c>
      <c r="AF287" s="22">
        <f t="shared" ca="1" si="26"/>
        <v>2.0063716336847899E-2</v>
      </c>
      <c r="AG287">
        <f ca="1"/>
        <v>0.51502116053458935</v>
      </c>
      <c r="AH287">
        <f ca="1"/>
        <v>0.39516627405012444</v>
      </c>
      <c r="AI287">
        <f ca="1"/>
        <v>-7.2657458998094129E-2</v>
      </c>
      <c r="AJ287">
        <f ca="1"/>
        <v>-0.6060327436290176</v>
      </c>
      <c r="AK287">
        <f ca="1"/>
        <v>0.76850276804239803</v>
      </c>
      <c r="AN287" s="9">
        <v>0.2396643125154988</v>
      </c>
      <c r="AO287" s="9">
        <v>7.3639691232643176E-2</v>
      </c>
    </row>
    <row r="288" spans="28:41" x14ac:dyDescent="0.2">
      <c r="AB288" s="9"/>
      <c r="AC288" s="20"/>
      <c r="AE288" s="22" cm="1">
        <f t="array" aca="1" ref="AE288" ca="1">SQRT(MMULT(MMULT(AG288:AK288,var_covar),TRANSPOSE(AG288:AK288)))</f>
        <v>0.15964513329596963</v>
      </c>
      <c r="AF288" s="22">
        <f t="shared" ca="1" si="26"/>
        <v>3.8541173486870528E-2</v>
      </c>
      <c r="AG288">
        <f ca="1"/>
        <v>-0.46089661529669695</v>
      </c>
      <c r="AH288">
        <f ca="1"/>
        <v>6.0921480109380588E-2</v>
      </c>
      <c r="AI288">
        <f ca="1"/>
        <v>0.55520141190956807</v>
      </c>
      <c r="AJ288">
        <f ca="1"/>
        <v>0.11855964627569292</v>
      </c>
      <c r="AK288">
        <f ca="1"/>
        <v>0.72621407700205531</v>
      </c>
      <c r="AN288" s="9">
        <v>0.239085567587212</v>
      </c>
      <c r="AO288" s="9">
        <v>3.0951216095147151E-2</v>
      </c>
    </row>
    <row r="289" spans="28:41" x14ac:dyDescent="0.2">
      <c r="AB289" s="9"/>
      <c r="AC289" s="20"/>
      <c r="AE289" s="22" cm="1">
        <f t="array" aca="1" ref="AE289" ca="1">SQRT(MMULT(MMULT(AG289:AK289,var_covar),TRANSPOSE(AG289:AK289)))</f>
        <v>7.1657458565489307</v>
      </c>
      <c r="AF289" s="22">
        <f t="shared" ca="1" si="26"/>
        <v>-1.5455813570392467</v>
      </c>
      <c r="AG289">
        <f ca="1"/>
        <v>4.5924322092334391</v>
      </c>
      <c r="AH289">
        <f ca="1"/>
        <v>4.7230931341806013</v>
      </c>
      <c r="AI289">
        <f ca="1"/>
        <v>55.376926374869818</v>
      </c>
      <c r="AJ289">
        <f ca="1"/>
        <v>-56.219080736224541</v>
      </c>
      <c r="AK289">
        <f ca="1"/>
        <v>-7.4733709820593148</v>
      </c>
      <c r="AN289" s="9">
        <v>0.23901555019034976</v>
      </c>
      <c r="AO289" s="9">
        <v>2.4940699795726058E-2</v>
      </c>
    </row>
    <row r="290" spans="28:41" x14ac:dyDescent="0.2">
      <c r="AB290" s="9"/>
      <c r="AC290" s="20"/>
      <c r="AE290" s="22" cm="1">
        <f t="array" aca="1" ref="AE290" ca="1">SQRT(MMULT(MMULT(AG290:AK290,var_covar),TRANSPOSE(AG290:AK290)))</f>
        <v>9.0167469288792587E-2</v>
      </c>
      <c r="AF290" s="22">
        <f t="shared" ca="1" si="26"/>
        <v>3.396618388810968E-2</v>
      </c>
      <c r="AG290">
        <f ca="1"/>
        <v>0.11983539219997422</v>
      </c>
      <c r="AH290">
        <f ca="1"/>
        <v>0.39605997188607805</v>
      </c>
      <c r="AI290">
        <f ca="1"/>
        <v>8.7035315298203852E-2</v>
      </c>
      <c r="AJ290">
        <f ca="1"/>
        <v>0.12824389618359339</v>
      </c>
      <c r="AK290">
        <f ca="1"/>
        <v>0.26882542443215057</v>
      </c>
      <c r="AN290" s="9">
        <v>0.23826427487315577</v>
      </c>
      <c r="AO290" s="9">
        <v>2.2256711791136599E-2</v>
      </c>
    </row>
    <row r="291" spans="28:41" x14ac:dyDescent="0.2">
      <c r="AB291" s="9"/>
      <c r="AC291" s="20"/>
      <c r="AE291" s="22" cm="1">
        <f t="array" aca="1" ref="AE291" ca="1">SQRT(MMULT(MMULT(AG291:AK291,var_covar),TRANSPOSE(AG291:AK291)))</f>
        <v>0.25101177566041533</v>
      </c>
      <c r="AF291" s="22">
        <f t="shared" ca="1" si="26"/>
        <v>5.3556002560028564E-3</v>
      </c>
      <c r="AG291">
        <f ca="1"/>
        <v>1.8575227822250227</v>
      </c>
      <c r="AH291">
        <f ca="1"/>
        <v>-0.65798791494581321</v>
      </c>
      <c r="AI291">
        <f ca="1"/>
        <v>0.61738670748459545</v>
      </c>
      <c r="AJ291">
        <f ca="1"/>
        <v>-1.5853168551939965</v>
      </c>
      <c r="AK291">
        <f ca="1"/>
        <v>0.76839528043019145</v>
      </c>
      <c r="AN291" s="9">
        <v>0.23644502452823352</v>
      </c>
      <c r="AO291" s="9">
        <v>6.6565252497406108E-2</v>
      </c>
    </row>
    <row r="292" spans="28:41" x14ac:dyDescent="0.2">
      <c r="AB292" s="9"/>
      <c r="AC292" s="20"/>
      <c r="AE292" s="22" cm="1">
        <f t="array" aca="1" ref="AE292" ca="1">SQRT(MMULT(MMULT(AG292:AK292,var_covar),TRANSPOSE(AG292:AK292)))</f>
        <v>0.1007214100744295</v>
      </c>
      <c r="AF292" s="22">
        <f t="shared" ca="1" si="26"/>
        <v>4.4007696872329749E-2</v>
      </c>
      <c r="AG292">
        <f ca="1"/>
        <v>0.13066956008169975</v>
      </c>
      <c r="AH292">
        <f ca="1"/>
        <v>-1.0829689011664406E-2</v>
      </c>
      <c r="AI292">
        <f ca="1"/>
        <v>0.30552451126831937</v>
      </c>
      <c r="AJ292">
        <f ca="1"/>
        <v>0.44291319697413545</v>
      </c>
      <c r="AK292">
        <f ca="1"/>
        <v>0.13172242068750986</v>
      </c>
      <c r="AN292" s="9">
        <v>0.23640851038442415</v>
      </c>
      <c r="AO292" s="9">
        <v>5.2580319544571819E-2</v>
      </c>
    </row>
    <row r="293" spans="28:41" x14ac:dyDescent="0.2">
      <c r="AB293" s="9"/>
      <c r="AC293" s="20"/>
      <c r="AE293" s="22" cm="1">
        <f t="array" aca="1" ref="AE293" ca="1">SQRT(MMULT(MMULT(AG293:AK293,var_covar),TRANSPOSE(AG293:AK293)))</f>
        <v>0.19146511142268258</v>
      </c>
      <c r="AF293" s="22">
        <f t="shared" ca="1" si="26"/>
        <v>1.5323740883933307E-2</v>
      </c>
      <c r="AG293">
        <f ca="1"/>
        <v>0.96134892357716517</v>
      </c>
      <c r="AH293">
        <f ca="1"/>
        <v>1.4802429374342081</v>
      </c>
      <c r="AI293">
        <f ca="1"/>
        <v>-1.1240891712607903</v>
      </c>
      <c r="AJ293">
        <f ca="1"/>
        <v>-0.26504034388392667</v>
      </c>
      <c r="AK293">
        <f ca="1"/>
        <v>-5.2462345866656261E-2</v>
      </c>
      <c r="AN293" s="9">
        <v>0.23532623895980395</v>
      </c>
      <c r="AO293" s="9">
        <v>7.8842414270819242E-2</v>
      </c>
    </row>
    <row r="294" spans="28:41" x14ac:dyDescent="0.2">
      <c r="AB294" s="9"/>
      <c r="AC294" s="20"/>
      <c r="AE294" s="22" cm="1">
        <f t="array" aca="1" ref="AE294" ca="1">SQRT(MMULT(MMULT(AG294:AK294,var_covar),TRANSPOSE(AG294:AK294)))</f>
        <v>8.8042650856983345E-2</v>
      </c>
      <c r="AF294" s="22">
        <f t="shared" ca="1" si="26"/>
        <v>3.6494081033308978E-2</v>
      </c>
      <c r="AG294">
        <f ca="1"/>
        <v>0.26352296586048035</v>
      </c>
      <c r="AH294">
        <f ca="1"/>
        <v>0.20756256566714865</v>
      </c>
      <c r="AI294">
        <f ca="1"/>
        <v>0.12189160600335491</v>
      </c>
      <c r="AJ294">
        <f ca="1"/>
        <v>0.16791681935235331</v>
      </c>
      <c r="AK294">
        <f ca="1"/>
        <v>0.23910604311666273</v>
      </c>
      <c r="AN294" s="9">
        <v>0.23507922070670101</v>
      </c>
      <c r="AO294" s="9">
        <v>8.4974202796802303E-2</v>
      </c>
    </row>
    <row r="295" spans="28:41" x14ac:dyDescent="0.2">
      <c r="AB295" s="9"/>
      <c r="AC295" s="20"/>
      <c r="AE295" s="22" cm="1">
        <f t="array" aca="1" ref="AE295" ca="1">SQRT(MMULT(MMULT(AG295:AK295,var_covar),TRANSPOSE(AG295:AK295)))</f>
        <v>8.7694083586543153E-2</v>
      </c>
      <c r="AF295" s="22">
        <f t="shared" ca="1" si="26"/>
        <v>2.3291362691985937E-2</v>
      </c>
      <c r="AG295">
        <f ca="1"/>
        <v>0.83480924629768105</v>
      </c>
      <c r="AH295">
        <f ca="1"/>
        <v>0.19244638139505998</v>
      </c>
      <c r="AI295">
        <f ca="1"/>
        <v>0.29257713719873257</v>
      </c>
      <c r="AJ295">
        <f ca="1"/>
        <v>-0.31174555168353074</v>
      </c>
      <c r="AK295">
        <f ca="1"/>
        <v>-8.0872132079428307E-3</v>
      </c>
      <c r="AN295" s="9">
        <v>0.23410226946551579</v>
      </c>
      <c r="AO295" s="9">
        <v>6.495883452279258E-2</v>
      </c>
    </row>
    <row r="296" spans="28:41" x14ac:dyDescent="0.2">
      <c r="AB296" s="9"/>
      <c r="AC296" s="20"/>
      <c r="AE296" s="22" cm="1">
        <f t="array" aca="1" ref="AE296" ca="1">SQRT(MMULT(MMULT(AG296:AK296,var_covar),TRANSPOSE(AG296:AK296)))</f>
        <v>0.2838122125507706</v>
      </c>
      <c r="AF296" s="22">
        <f t="shared" ca="1" si="26"/>
        <v>2.7151373827591724E-2</v>
      </c>
      <c r="AG296">
        <f ca="1"/>
        <v>0.1690302997897539</v>
      </c>
      <c r="AH296">
        <f ca="1"/>
        <v>0.48119113391510687</v>
      </c>
      <c r="AI296">
        <f ca="1"/>
        <v>-0.7014274138826293</v>
      </c>
      <c r="AJ296">
        <f ca="1"/>
        <v>-0.56245406212025784</v>
      </c>
      <c r="AK296">
        <f ca="1"/>
        <v>1.6136600422980265</v>
      </c>
      <c r="AN296" s="9">
        <v>0.23407579343003207</v>
      </c>
      <c r="AO296" s="9">
        <v>2.9627660321780446E-2</v>
      </c>
    </row>
    <row r="297" spans="28:41" x14ac:dyDescent="0.2">
      <c r="AB297" s="9"/>
      <c r="AC297" s="20"/>
      <c r="AE297" s="22" cm="1">
        <f t="array" aca="1" ref="AE297" ca="1">SQRT(MMULT(MMULT(AG297:AK297,var_covar),TRANSPOSE(AG297:AK297)))</f>
        <v>0.37958392558114595</v>
      </c>
      <c r="AF297" s="22">
        <f t="shared" ca="1" si="26"/>
        <v>2.7886501932060215E-2</v>
      </c>
      <c r="AG297">
        <f ca="1"/>
        <v>-2.3185679004536586</v>
      </c>
      <c r="AH297">
        <f ca="1"/>
        <v>0.11488407345365484</v>
      </c>
      <c r="AI297">
        <f ca="1"/>
        <v>2.0053603892701375</v>
      </c>
      <c r="AJ297">
        <f ca="1"/>
        <v>-0.34960030812162912</v>
      </c>
      <c r="AK297">
        <f ca="1"/>
        <v>1.5479237458514952</v>
      </c>
      <c r="AN297" s="9">
        <v>0.23226374250313184</v>
      </c>
      <c r="AO297" s="9">
        <v>1.5794188886379047E-2</v>
      </c>
    </row>
    <row r="298" spans="28:41" x14ac:dyDescent="0.2">
      <c r="AB298" s="9"/>
      <c r="AC298" s="20"/>
      <c r="AE298" s="22" cm="1">
        <f t="array" aca="1" ref="AE298" ca="1">SQRT(MMULT(MMULT(AG298:AK298,var_covar),TRANSPOSE(AG298:AK298)))</f>
        <v>0.3903507414321844</v>
      </c>
      <c r="AF298" s="22">
        <f t="shared" ca="1" si="26"/>
        <v>3.5606736885676504E-2</v>
      </c>
      <c r="AG298">
        <f ca="1"/>
        <v>-1.9657492012020119</v>
      </c>
      <c r="AH298">
        <f ca="1"/>
        <v>3.4028680276886756</v>
      </c>
      <c r="AI298">
        <f ca="1"/>
        <v>-1.2728060080237362</v>
      </c>
      <c r="AJ298">
        <f ca="1"/>
        <v>1.5453009608167998</v>
      </c>
      <c r="AK298">
        <f ca="1"/>
        <v>-0.70961377927972713</v>
      </c>
      <c r="AN298" s="9">
        <v>0.23097910474130012</v>
      </c>
      <c r="AO298" s="9">
        <v>5.3463570282992763E-2</v>
      </c>
    </row>
    <row r="299" spans="28:41" x14ac:dyDescent="0.2">
      <c r="AB299" s="9"/>
      <c r="AC299" s="20"/>
      <c r="AE299" s="22" cm="1">
        <f t="array" aca="1" ref="AE299" ca="1">SQRT(MMULT(MMULT(AG299:AK299,var_covar),TRANSPOSE(AG299:AK299)))</f>
        <v>0.23809522201657099</v>
      </c>
      <c r="AF299" s="22">
        <f t="shared" ca="1" si="26"/>
        <v>-8.6242281486681935E-3</v>
      </c>
      <c r="AG299">
        <f ca="1"/>
        <v>1.5214628717346985</v>
      </c>
      <c r="AH299">
        <f ca="1"/>
        <v>-0.40943877177206212</v>
      </c>
      <c r="AI299">
        <f ca="1"/>
        <v>1.659195125539813</v>
      </c>
      <c r="AJ299">
        <f ca="1"/>
        <v>-1.7442555891623144</v>
      </c>
      <c r="AK299">
        <f ca="1"/>
        <v>-2.6963636340134871E-2</v>
      </c>
      <c r="AN299" s="9">
        <v>0.22969276390875498</v>
      </c>
      <c r="AO299" s="9">
        <v>4.471077707891942E-2</v>
      </c>
    </row>
    <row r="300" spans="28:41" x14ac:dyDescent="0.2">
      <c r="AB300" s="9"/>
      <c r="AC300" s="20"/>
      <c r="AE300" s="22" cm="1">
        <f t="array" aca="1" ref="AE300" ca="1">SQRT(MMULT(MMULT(AG300:AK300,var_covar),TRANSPOSE(AG300:AK300)))</f>
        <v>0.33658674928266691</v>
      </c>
      <c r="AF300" s="22">
        <f t="shared" ca="1" si="26"/>
        <v>8.0744298654443575E-2</v>
      </c>
      <c r="AG300">
        <f ca="1"/>
        <v>1.4259304873530971</v>
      </c>
      <c r="AH300">
        <f ca="1"/>
        <v>-0.92733641949904921</v>
      </c>
      <c r="AI300">
        <f ca="1"/>
        <v>-3.602811041026617E-2</v>
      </c>
      <c r="AJ300">
        <f ca="1"/>
        <v>1.9734578832308174</v>
      </c>
      <c r="AK300">
        <f ca="1"/>
        <v>-1.4360238406745989</v>
      </c>
      <c r="AN300" s="9">
        <v>0.22894487565230703</v>
      </c>
      <c r="AO300" s="9">
        <v>1.2785136708051335E-2</v>
      </c>
    </row>
    <row r="301" spans="28:41" x14ac:dyDescent="0.2">
      <c r="AB301" s="9"/>
      <c r="AC301" s="20"/>
      <c r="AE301" s="22" cm="1">
        <f t="array" aca="1" ref="AE301" ca="1">SQRT(MMULT(MMULT(AG301:AK301,var_covar),TRANSPOSE(AG301:AK301)))</f>
        <v>0.12894918373799413</v>
      </c>
      <c r="AF301" s="22">
        <f t="shared" ca="1" si="26"/>
        <v>2.3336180906337833E-2</v>
      </c>
      <c r="AG301">
        <f ca="1"/>
        <v>-0.3228802910137677</v>
      </c>
      <c r="AH301">
        <f ca="1"/>
        <v>0.72989847522279516</v>
      </c>
      <c r="AI301">
        <f ca="1"/>
        <v>0.27762101999738686</v>
      </c>
      <c r="AJ301">
        <f ca="1"/>
        <v>-0.22946820479410157</v>
      </c>
      <c r="AK301">
        <f ca="1"/>
        <v>0.54482900058768713</v>
      </c>
      <c r="AN301" s="9">
        <v>0.22879854954313547</v>
      </c>
      <c r="AO301" s="9">
        <v>5.6866488999243008E-2</v>
      </c>
    </row>
    <row r="302" spans="28:41" x14ac:dyDescent="0.2">
      <c r="AB302" s="9"/>
      <c r="AC302" s="20"/>
      <c r="AE302" s="22" cm="1">
        <f t="array" aca="1" ref="AE302" ca="1">SQRT(MMULT(MMULT(AG302:AK302,var_covar),TRANSPOSE(AG302:AK302)))</f>
        <v>0.14421917476491755</v>
      </c>
      <c r="AF302" s="22">
        <f t="shared" ca="1" si="26"/>
        <v>3.6248248224353755E-4</v>
      </c>
      <c r="AG302">
        <f ca="1"/>
        <v>0.73501603505881064</v>
      </c>
      <c r="AH302">
        <f ca="1"/>
        <v>0.94272982413137019</v>
      </c>
      <c r="AI302">
        <f ca="1"/>
        <v>0.61074352191725123</v>
      </c>
      <c r="AJ302">
        <f ca="1"/>
        <v>-0.80640623133394274</v>
      </c>
      <c r="AK302">
        <f ca="1"/>
        <v>-0.48208314977348937</v>
      </c>
      <c r="AN302" s="9">
        <v>0.22879572289339609</v>
      </c>
      <c r="AO302" s="9">
        <v>4.2108128350378721E-2</v>
      </c>
    </row>
    <row r="303" spans="28:41" x14ac:dyDescent="0.2">
      <c r="AB303" s="9"/>
      <c r="AC303" s="20"/>
      <c r="AE303" s="22" cm="1">
        <f t="array" aca="1" ref="AE303" ca="1">SQRT(MMULT(MMULT(AG303:AK303,var_covar),TRANSPOSE(AG303:AK303)))</f>
        <v>0.14575024557545599</v>
      </c>
      <c r="AF303" s="22">
        <f t="shared" ca="1" si="26"/>
        <v>4.4887116259492543E-2</v>
      </c>
      <c r="AG303">
        <f ca="1"/>
        <v>-0.1310659703234778</v>
      </c>
      <c r="AH303">
        <f ca="1"/>
        <v>0.36521577632298147</v>
      </c>
      <c r="AI303">
        <f ca="1"/>
        <v>-0.32384283960367377</v>
      </c>
      <c r="AJ303">
        <f ca="1"/>
        <v>0.42630464262746653</v>
      </c>
      <c r="AK303">
        <f ca="1"/>
        <v>0.66338839097670355</v>
      </c>
      <c r="AN303" s="9">
        <v>0.22834627020604717</v>
      </c>
      <c r="AO303" s="9">
        <v>1.2448156538872858E-2</v>
      </c>
    </row>
    <row r="304" spans="28:41" x14ac:dyDescent="0.2">
      <c r="AB304" s="9"/>
      <c r="AC304" s="20"/>
      <c r="AE304" s="22" cm="1">
        <f t="array" aca="1" ref="AE304" ca="1">SQRT(MMULT(MMULT(AG304:AK304,var_covar),TRANSPOSE(AG304:AK304)))</f>
        <v>1.183820740143795</v>
      </c>
      <c r="AF304" s="22">
        <f t="shared" ca="1" si="26"/>
        <v>0.13896898744495964</v>
      </c>
      <c r="AG304">
        <f ca="1"/>
        <v>1.9410035038766735</v>
      </c>
      <c r="AH304">
        <f ca="1"/>
        <v>3.6307043434765114</v>
      </c>
      <c r="AI304">
        <f ca="1"/>
        <v>-6.4025532376724792</v>
      </c>
      <c r="AJ304">
        <f ca="1"/>
        <v>6.3894729595915445</v>
      </c>
      <c r="AK304">
        <f ca="1"/>
        <v>-4.5586275692722493</v>
      </c>
      <c r="AN304" s="9">
        <v>0.22738482110754801</v>
      </c>
      <c r="AO304" s="9">
        <v>3.8974125929453277E-2</v>
      </c>
    </row>
    <row r="305" spans="28:41" x14ac:dyDescent="0.2">
      <c r="AB305" s="9"/>
      <c r="AC305" s="20"/>
      <c r="AE305" s="22" cm="1">
        <f t="array" aca="1" ref="AE305" ca="1">SQRT(MMULT(MMULT(AG305:AK305,var_covar),TRANSPOSE(AG305:AK305)))</f>
        <v>0.25794437892025274</v>
      </c>
      <c r="AF305" s="22">
        <f t="shared" ca="1" si="26"/>
        <v>6.6908197207644182E-2</v>
      </c>
      <c r="AG305">
        <f ca="1"/>
        <v>1.5769029140851643</v>
      </c>
      <c r="AH305">
        <f ca="1"/>
        <v>-0.27480123293681308</v>
      </c>
      <c r="AI305">
        <f ca="1"/>
        <v>-0.81790566811941479</v>
      </c>
      <c r="AJ305">
        <f ca="1"/>
        <v>1.4382083374161718</v>
      </c>
      <c r="AK305">
        <f ca="1"/>
        <v>-0.92240435044510805</v>
      </c>
      <c r="AN305" s="9">
        <v>0.227280127923361</v>
      </c>
      <c r="AO305" s="9">
        <v>7.8203650493444521E-2</v>
      </c>
    </row>
    <row r="306" spans="28:41" x14ac:dyDescent="0.2">
      <c r="AB306" s="9"/>
      <c r="AC306" s="20"/>
      <c r="AE306" s="22" cm="1">
        <f t="array" aca="1" ref="AE306" ca="1">SQRT(MMULT(MMULT(AG306:AK306,var_covar),TRANSPOSE(AG306:AK306)))</f>
        <v>0.1466187884422776</v>
      </c>
      <c r="AF306" s="22">
        <f t="shared" ca="1" si="26"/>
        <v>3.8994873735112769E-2</v>
      </c>
      <c r="AG306">
        <f ca="1"/>
        <v>-0.64268339039528288</v>
      </c>
      <c r="AH306">
        <f ca="1"/>
        <v>0.44276770414246153</v>
      </c>
      <c r="AI306">
        <f ca="1"/>
        <v>0.81143126967200219</v>
      </c>
      <c r="AJ306">
        <f ca="1"/>
        <v>0.55773933016236477</v>
      </c>
      <c r="AK306">
        <f ca="1"/>
        <v>-0.16925491358154562</v>
      </c>
      <c r="AN306" s="9">
        <v>0.22677962828059808</v>
      </c>
      <c r="AO306" s="9">
        <v>1.9627280172758679E-2</v>
      </c>
    </row>
    <row r="307" spans="28:41" x14ac:dyDescent="0.2">
      <c r="AB307" s="9"/>
      <c r="AC307" s="20"/>
      <c r="AE307" s="22" cm="1">
        <f t="array" aca="1" ref="AE307" ca="1">SQRT(MMULT(MMULT(AG307:AK307,var_covar),TRANSPOSE(AG307:AK307)))</f>
        <v>9.1430102263944782E-2</v>
      </c>
      <c r="AF307" s="22">
        <f t="shared" ca="1" si="26"/>
        <v>2.1165507826359911E-2</v>
      </c>
      <c r="AG307">
        <f ca="1"/>
        <v>6.6165237123167311E-2</v>
      </c>
      <c r="AH307">
        <f ca="1"/>
        <v>0.56849588920680405</v>
      </c>
      <c r="AI307">
        <f ca="1"/>
        <v>0.61039855722847247</v>
      </c>
      <c r="AJ307">
        <f ca="1"/>
        <v>-0.19669360865752203</v>
      </c>
      <c r="AK307">
        <f ca="1"/>
        <v>-4.836607490092177E-2</v>
      </c>
      <c r="AN307" s="9">
        <v>0.22631243139485258</v>
      </c>
      <c r="AO307" s="9">
        <v>2.6275548313535853E-2</v>
      </c>
    </row>
    <row r="308" spans="28:41" x14ac:dyDescent="0.2">
      <c r="AB308" s="9"/>
      <c r="AC308" s="20"/>
      <c r="AE308" s="22" cm="1">
        <f t="array" aca="1" ref="AE308" ca="1">SQRT(MMULT(MMULT(AG308:AK308,var_covar),TRANSPOSE(AG308:AK308)))</f>
        <v>8.9507506534700215E-2</v>
      </c>
      <c r="AF308" s="22">
        <f t="shared" ca="1" si="26"/>
        <v>3.3027844136376515E-2</v>
      </c>
      <c r="AG308">
        <f ca="1"/>
        <v>6.9179446081148732E-2</v>
      </c>
      <c r="AH308">
        <f ca="1"/>
        <v>0.60847717055664696</v>
      </c>
      <c r="AI308">
        <f ca="1"/>
        <v>-1.6705743298760511E-2</v>
      </c>
      <c r="AJ308">
        <f ca="1"/>
        <v>0.19809380282602879</v>
      </c>
      <c r="AK308">
        <f ca="1"/>
        <v>0.14095532383493595</v>
      </c>
      <c r="AN308" s="9">
        <v>0.22415668371980979</v>
      </c>
      <c r="AO308" s="9">
        <v>7.5249838506553757E-2</v>
      </c>
    </row>
    <row r="309" spans="28:41" x14ac:dyDescent="0.2">
      <c r="AB309" s="9"/>
      <c r="AC309" s="20"/>
      <c r="AE309" s="22" cm="1">
        <f t="array" aca="1" ref="AE309" ca="1">SQRT(MMULT(MMULT(AG309:AK309,var_covar),TRANSPOSE(AG309:AK309)))</f>
        <v>0.1543567010685114</v>
      </c>
      <c r="AF309" s="22">
        <f t="shared" ca="1" si="26"/>
        <v>1.3370902838030564E-2</v>
      </c>
      <c r="AG309">
        <f ca="1"/>
        <v>-0.83939437464570998</v>
      </c>
      <c r="AH309">
        <f ca="1"/>
        <v>1.5817775712581605</v>
      </c>
      <c r="AI309">
        <f ca="1"/>
        <v>0.36558556833757466</v>
      </c>
      <c r="AJ309">
        <f ca="1"/>
        <v>-0.15591518110778316</v>
      </c>
      <c r="AK309">
        <f ca="1"/>
        <v>4.7946416157757993E-2</v>
      </c>
      <c r="AN309" s="9">
        <v>0.22389899617424827</v>
      </c>
      <c r="AO309" s="9">
        <v>4.8705095485837555E-2</v>
      </c>
    </row>
    <row r="310" spans="28:41" x14ac:dyDescent="0.2">
      <c r="AB310" s="9"/>
      <c r="AC310" s="20"/>
      <c r="AE310" s="22" cm="1">
        <f t="array" aca="1" ref="AE310" ca="1">SQRT(MMULT(MMULT(AG310:AK310,var_covar),TRANSPOSE(AG310:AK310)))</f>
        <v>0.20430087657358154</v>
      </c>
      <c r="AF310" s="22">
        <f t="shared" ca="1" si="26"/>
        <v>4.4565240964933688E-2</v>
      </c>
      <c r="AG310">
        <f ca="1"/>
        <v>0.38618037708270808</v>
      </c>
      <c r="AH310">
        <f ca="1"/>
        <v>-0.71735212082051969</v>
      </c>
      <c r="AI310">
        <f ca="1"/>
        <v>0.34210608716603691</v>
      </c>
      <c r="AJ310">
        <f ca="1"/>
        <v>-6.0587115707130927E-2</v>
      </c>
      <c r="AK310">
        <f ca="1"/>
        <v>1.0496527722789055</v>
      </c>
      <c r="AN310" s="9">
        <v>0.22383180659922336</v>
      </c>
      <c r="AO310" s="9">
        <v>4.5924845541409236E-2</v>
      </c>
    </row>
    <row r="311" spans="28:41" x14ac:dyDescent="0.2">
      <c r="AB311" s="9"/>
      <c r="AC311" s="20"/>
      <c r="AE311" s="22" cm="1">
        <f t="array" aca="1" ref="AE311" ca="1">SQRT(MMULT(MMULT(AG311:AK311,var_covar),TRANSPOSE(AG311:AK311)))</f>
        <v>9.4481873324403109E-2</v>
      </c>
      <c r="AF311" s="22">
        <f t="shared" ca="1" si="26"/>
        <v>4.1648822408216837E-2</v>
      </c>
      <c r="AG311">
        <f ca="1"/>
        <v>0.2787209668731665</v>
      </c>
      <c r="AH311">
        <f ca="1"/>
        <v>8.8130146673649573E-2</v>
      </c>
      <c r="AI311">
        <f ca="1"/>
        <v>0.26770097785513847</v>
      </c>
      <c r="AJ311">
        <f ca="1"/>
        <v>0.43107226940948379</v>
      </c>
      <c r="AK311">
        <f ca="1"/>
        <v>-6.5624360811438409E-2</v>
      </c>
      <c r="AN311" s="9">
        <v>0.22283061029329101</v>
      </c>
      <c r="AO311" s="9">
        <v>3.1920271789179069E-2</v>
      </c>
    </row>
    <row r="312" spans="28:41" x14ac:dyDescent="0.2">
      <c r="AB312" s="9"/>
      <c r="AC312" s="20"/>
      <c r="AE312" s="22" cm="1">
        <f t="array" aca="1" ref="AE312" ca="1">SQRT(MMULT(MMULT(AG312:AK312,var_covar),TRANSPOSE(AG312:AK312)))</f>
        <v>0.17230436130603358</v>
      </c>
      <c r="AF312" s="22">
        <f t="shared" ca="1" si="26"/>
        <v>-8.196441646113637E-3</v>
      </c>
      <c r="AG312">
        <f ca="1"/>
        <v>0.67147587733665337</v>
      </c>
      <c r="AH312">
        <f ca="1"/>
        <v>0.8134907986370572</v>
      </c>
      <c r="AI312">
        <f ca="1"/>
        <v>0.58732836058638183</v>
      </c>
      <c r="AJ312">
        <f ca="1"/>
        <v>-1.4439690027354601</v>
      </c>
      <c r="AK312">
        <f ca="1"/>
        <v>0.37167396617536769</v>
      </c>
      <c r="AN312" s="9">
        <v>0.22268405913861225</v>
      </c>
      <c r="AO312" s="9">
        <v>7.0477154166445427E-2</v>
      </c>
    </row>
    <row r="313" spans="28:41" x14ac:dyDescent="0.2">
      <c r="AB313" s="9"/>
      <c r="AC313" s="20"/>
      <c r="AE313" s="22" cm="1">
        <f t="array" aca="1" ref="AE313" ca="1">SQRT(MMULT(MMULT(AG313:AK313,var_covar),TRANSPOSE(AG313:AK313)))</f>
        <v>0.21011326593672308</v>
      </c>
      <c r="AF313" s="22">
        <f t="shared" ca="1" si="26"/>
        <v>7.8104992339837864E-2</v>
      </c>
      <c r="AG313">
        <f ca="1"/>
        <v>0.52057005618425944</v>
      </c>
      <c r="AH313">
        <f ca="1"/>
        <v>-0.97036775932470198</v>
      </c>
      <c r="AI313">
        <f ca="1"/>
        <v>0.14592882483888478</v>
      </c>
      <c r="AJ313">
        <f ca="1"/>
        <v>1.562454976347996</v>
      </c>
      <c r="AK313">
        <f ca="1"/>
        <v>-0.2585860980464384</v>
      </c>
      <c r="AN313" s="9">
        <v>0.22260583464913006</v>
      </c>
      <c r="AO313" s="9">
        <v>-2.4204728356046135E-2</v>
      </c>
    </row>
    <row r="314" spans="28:41" x14ac:dyDescent="0.2">
      <c r="AB314" s="9"/>
      <c r="AC314" s="20"/>
      <c r="AE314" s="22" cm="1">
        <f t="array" aca="1" ref="AE314" ca="1">SQRT(MMULT(MMULT(AG314:AK314,var_covar),TRANSPOSE(AG314:AK314)))</f>
        <v>0.18750926927005118</v>
      </c>
      <c r="AF314" s="22">
        <f t="shared" ca="1" si="26"/>
        <v>3.2566126391280439E-2</v>
      </c>
      <c r="AG314">
        <f ca="1"/>
        <v>-0.21141109152618204</v>
      </c>
      <c r="AH314">
        <f ca="1"/>
        <v>0.12083827238156013</v>
      </c>
      <c r="AI314">
        <f ca="1"/>
        <v>0.273416255231759</v>
      </c>
      <c r="AJ314">
        <f ca="1"/>
        <v>-0.22219221321798283</v>
      </c>
      <c r="AK314">
        <f ca="1"/>
        <v>1.0393487771308458</v>
      </c>
      <c r="AN314" s="9">
        <v>0.22254615723553434</v>
      </c>
      <c r="AO314" s="9">
        <v>6.8960622397100921E-2</v>
      </c>
    </row>
    <row r="315" spans="28:41" x14ac:dyDescent="0.2">
      <c r="AB315" s="9"/>
      <c r="AC315" s="20"/>
      <c r="AE315" s="22" cm="1">
        <f t="array" aca="1" ref="AE315" ca="1">SQRT(MMULT(MMULT(AG315:AK315,var_covar),TRANSPOSE(AG315:AK315)))</f>
        <v>0.21721071438945044</v>
      </c>
      <c r="AF315" s="22">
        <f t="shared" ca="1" si="26"/>
        <v>5.1881962900458982E-2</v>
      </c>
      <c r="AG315">
        <f ca="1"/>
        <v>-0.65303394156752015</v>
      </c>
      <c r="AH315">
        <f ca="1"/>
        <v>-0.28268899833901934</v>
      </c>
      <c r="AI315">
        <f ca="1"/>
        <v>0.42414997792799425</v>
      </c>
      <c r="AJ315">
        <f ca="1"/>
        <v>0.43141271410110249</v>
      </c>
      <c r="AK315">
        <f ca="1"/>
        <v>1.0801602478774428</v>
      </c>
      <c r="AN315" s="9">
        <v>0.22252381331386745</v>
      </c>
      <c r="AO315" s="9">
        <v>4.3105910253270395E-2</v>
      </c>
    </row>
    <row r="316" spans="28:41" x14ac:dyDescent="0.2">
      <c r="AB316" s="9"/>
      <c r="AC316" s="20"/>
      <c r="AE316" s="22" cm="1">
        <f t="array" aca="1" ref="AE316" ca="1">SQRT(MMULT(MMULT(AG316:AK316,var_covar),TRANSPOSE(AG316:AK316)))</f>
        <v>0.42844794781620937</v>
      </c>
      <c r="AF316" s="22">
        <f t="shared" ca="1" si="26"/>
        <v>-1.851090899346787E-2</v>
      </c>
      <c r="AG316">
        <f ca="1"/>
        <v>-1.0986965903874006</v>
      </c>
      <c r="AH316">
        <f ca="1"/>
        <v>1.2066462684635015</v>
      </c>
      <c r="AI316">
        <f ca="1"/>
        <v>0.86396709453818699</v>
      </c>
      <c r="AJ316">
        <f ca="1"/>
        <v>-2.1464823549617194</v>
      </c>
      <c r="AK316">
        <f ca="1"/>
        <v>2.1745655823474315</v>
      </c>
      <c r="AN316" s="9">
        <v>0.22207947401809325</v>
      </c>
      <c r="AO316" s="9">
        <v>-1.188923877921276E-2</v>
      </c>
    </row>
    <row r="317" spans="28:41" x14ac:dyDescent="0.2">
      <c r="AB317" s="9"/>
      <c r="AC317" s="20"/>
      <c r="AE317" s="22" cm="1">
        <f t="array" aca="1" ref="AE317" ca="1">SQRT(MMULT(MMULT(AG317:AK317,var_covar),TRANSPOSE(AG317:AK317)))</f>
        <v>0.12735563353348509</v>
      </c>
      <c r="AF317" s="22">
        <f t="shared" ca="1" si="26"/>
        <v>3.1570688551378887E-2</v>
      </c>
      <c r="AG317">
        <f ca="1"/>
        <v>0.35289550231094907</v>
      </c>
      <c r="AH317">
        <f ca="1"/>
        <v>0.71215771503291259</v>
      </c>
      <c r="AI317">
        <f ca="1"/>
        <v>9.8553560131930534E-2</v>
      </c>
      <c r="AJ317">
        <f ca="1"/>
        <v>0.36605809155967051</v>
      </c>
      <c r="AK317">
        <f ca="1"/>
        <v>-0.52966486903546273</v>
      </c>
      <c r="AN317" s="9">
        <v>0.2218875924604469</v>
      </c>
      <c r="AO317" s="9">
        <v>8.2665301553584675E-2</v>
      </c>
    </row>
    <row r="318" spans="28:41" x14ac:dyDescent="0.2">
      <c r="AB318" s="9"/>
      <c r="AC318" s="20"/>
      <c r="AE318" s="22" cm="1">
        <f t="array" aca="1" ref="AE318" ca="1">SQRT(MMULT(MMULT(AG318:AK318,var_covar),TRANSPOSE(AG318:AK318)))</f>
        <v>0.19365226044358677</v>
      </c>
      <c r="AF318" s="22">
        <f t="shared" ca="1" si="26"/>
        <v>1.0186240079703597E-2</v>
      </c>
      <c r="AG318">
        <f ca="1"/>
        <v>4.5232286137609462E-2</v>
      </c>
      <c r="AH318">
        <f ca="1"/>
        <v>0.55456538291557356</v>
      </c>
      <c r="AI318">
        <f ca="1"/>
        <v>0.38694197185695473</v>
      </c>
      <c r="AJ318">
        <f ca="1"/>
        <v>-0.95315193200197457</v>
      </c>
      <c r="AK318">
        <f ca="1"/>
        <v>0.96641229109183691</v>
      </c>
      <c r="AN318" s="9">
        <v>0.22187189387763837</v>
      </c>
      <c r="AO318" s="9">
        <v>7.911524149389923E-2</v>
      </c>
    </row>
    <row r="319" spans="28:41" x14ac:dyDescent="0.2">
      <c r="AB319" s="9"/>
      <c r="AC319" s="20"/>
      <c r="AE319" s="22" cm="1">
        <f t="array" aca="1" ref="AE319" ca="1">SQRT(MMULT(MMULT(AG319:AK319,var_covar),TRANSPOSE(AG319:AK319)))</f>
        <v>0.12774004905937317</v>
      </c>
      <c r="AF319" s="22">
        <f t="shared" ca="1" si="26"/>
        <v>4.7539724640089674E-2</v>
      </c>
      <c r="AG319">
        <f ca="1"/>
        <v>0.48042364738460863</v>
      </c>
      <c r="AH319">
        <f ca="1"/>
        <v>-9.7296589708280673E-2</v>
      </c>
      <c r="AI319">
        <f ca="1"/>
        <v>-0.27540377614896733</v>
      </c>
      <c r="AJ319">
        <f ca="1"/>
        <v>0.39298514203060808</v>
      </c>
      <c r="AK319">
        <f ca="1"/>
        <v>0.49929157644203115</v>
      </c>
      <c r="AN319" s="9">
        <v>0.22144190749180914</v>
      </c>
      <c r="AO319" s="9">
        <v>8.2420121257261517E-2</v>
      </c>
    </row>
    <row r="320" spans="28:41" x14ac:dyDescent="0.2">
      <c r="AB320" s="9"/>
      <c r="AC320" s="20"/>
      <c r="AE320" s="22" cm="1">
        <f t="array" aca="1" ref="AE320" ca="1">SQRT(MMULT(MMULT(AG320:AK320,var_covar),TRANSPOSE(AG320:AK320)))</f>
        <v>0.17036880038727026</v>
      </c>
      <c r="AF320" s="22">
        <f t="shared" ca="1" si="26"/>
        <v>5.0622052360099132E-2</v>
      </c>
      <c r="AG320">
        <f ca="1"/>
        <v>-3.9282348180532528E-3</v>
      </c>
      <c r="AH320">
        <f ca="1"/>
        <v>-0.17316480184776747</v>
      </c>
      <c r="AI320">
        <f ca="1"/>
        <v>0.80544787710128618</v>
      </c>
      <c r="AJ320">
        <f ca="1"/>
        <v>0.87681258277161722</v>
      </c>
      <c r="AK320">
        <f ca="1"/>
        <v>-0.50516742320708263</v>
      </c>
      <c r="AN320" s="9">
        <v>0.22141022598001914</v>
      </c>
      <c r="AO320" s="9">
        <v>4.86276748281151E-2</v>
      </c>
    </row>
    <row r="321" spans="28:41" x14ac:dyDescent="0.2">
      <c r="AB321" s="9"/>
      <c r="AC321" s="20"/>
      <c r="AE321" s="22" cm="1">
        <f t="array" aca="1" ref="AE321" ca="1">SQRT(MMULT(MMULT(AG321:AK321,var_covar),TRANSPOSE(AG321:AK321)))</f>
        <v>0.15954366816006268</v>
      </c>
      <c r="AF321" s="22">
        <f t="shared" ca="1" si="26"/>
        <v>4.4575468179710871E-2</v>
      </c>
      <c r="AG321">
        <f ca="1"/>
        <v>-0.6376918555128146</v>
      </c>
      <c r="AH321">
        <f ca="1"/>
        <v>0.25119437917911913</v>
      </c>
      <c r="AI321">
        <f ca="1"/>
        <v>0.27164440645405807</v>
      </c>
      <c r="AJ321">
        <f ca="1"/>
        <v>0.42993336117660441</v>
      </c>
      <c r="AK321">
        <f ca="1"/>
        <v>0.68491970870303298</v>
      </c>
      <c r="AN321" s="9">
        <v>0.21972274941365724</v>
      </c>
      <c r="AO321" s="9">
        <v>6.1336960081950859E-2</v>
      </c>
    </row>
    <row r="322" spans="28:41" x14ac:dyDescent="0.2">
      <c r="AB322" s="9"/>
      <c r="AC322" s="20"/>
      <c r="AE322" s="22" cm="1">
        <f t="array" aca="1" ref="AE322" ca="1">SQRT(MMULT(MMULT(AG322:AK322,var_covar),TRANSPOSE(AG322:AK322)))</f>
        <v>0.14859185795882046</v>
      </c>
      <c r="AF322" s="22">
        <f t="shared" ca="1" si="26"/>
        <v>3.5750472799177591E-2</v>
      </c>
      <c r="AG322">
        <f ca="1"/>
        <v>8.2877563002514532E-2</v>
      </c>
      <c r="AH322">
        <f ca="1"/>
        <v>1.0570152525214422</v>
      </c>
      <c r="AI322">
        <f ca="1"/>
        <v>-0.30119934387338315</v>
      </c>
      <c r="AJ322">
        <f ca="1"/>
        <v>0.62162564321527458</v>
      </c>
      <c r="AK322">
        <f ca="1"/>
        <v>-0.46031911486584814</v>
      </c>
      <c r="AN322" s="9">
        <v>0.21946436506434755</v>
      </c>
      <c r="AO322" s="9">
        <v>3.1331121297388131E-2</v>
      </c>
    </row>
    <row r="323" spans="28:41" x14ac:dyDescent="0.2">
      <c r="AB323" s="9"/>
      <c r="AC323" s="20"/>
      <c r="AE323" s="22" cm="1">
        <f t="array" aca="1" ref="AE323" ca="1">SQRT(MMULT(MMULT(AG323:AK323,var_covar),TRANSPOSE(AG323:AK323)))</f>
        <v>8.8916306231259581E-2</v>
      </c>
      <c r="AF323" s="22">
        <f t="shared" ca="1" si="26"/>
        <v>2.9476688718434993E-2</v>
      </c>
      <c r="AG323">
        <f ca="1"/>
        <v>0.74333426014312598</v>
      </c>
      <c r="AH323">
        <f ca="1"/>
        <v>0.25655152766649031</v>
      </c>
      <c r="AI323">
        <f ca="1"/>
        <v>0.19850780839355778</v>
      </c>
      <c r="AJ323">
        <f ca="1"/>
        <v>1.8739930050745628E-2</v>
      </c>
      <c r="AK323">
        <f ca="1"/>
        <v>-0.21713352625391966</v>
      </c>
      <c r="AN323" s="9">
        <v>0.21912851833645294</v>
      </c>
      <c r="AO323" s="9">
        <v>2.0153947802912756E-2</v>
      </c>
    </row>
    <row r="324" spans="28:41" x14ac:dyDescent="0.2">
      <c r="AB324" s="9"/>
      <c r="AC324" s="20"/>
      <c r="AE324" s="22" cm="1">
        <f t="array" aca="1" ref="AE324" ca="1">SQRT(MMULT(MMULT(AG324:AK324,var_covar),TRANSPOSE(AG324:AK324)))</f>
        <v>0.13106940761926916</v>
      </c>
      <c r="AF324" s="22">
        <f t="shared" ref="AF324:AF387" ca="1" si="27">SUMPRODUCT(AG324:AK324,$S$2:$W$2)</f>
        <v>4.6803464918711894E-2</v>
      </c>
      <c r="AG324">
        <f ca="1"/>
        <v>-0.34736966462351021</v>
      </c>
      <c r="AH324">
        <f ca="1"/>
        <v>0.37606899080263578</v>
      </c>
      <c r="AI324">
        <f ca="1"/>
        <v>0.32000793917400056</v>
      </c>
      <c r="AJ324">
        <f ca="1"/>
        <v>0.79504799667913151</v>
      </c>
      <c r="AK324">
        <f ca="1"/>
        <v>-0.14375526203225752</v>
      </c>
      <c r="AN324" s="9">
        <v>0.21725938465739361</v>
      </c>
      <c r="AO324" s="9">
        <v>4.4215542444045117E-2</v>
      </c>
    </row>
    <row r="325" spans="28:41" x14ac:dyDescent="0.2">
      <c r="AB325" s="9"/>
      <c r="AC325" s="20"/>
      <c r="AE325" s="22" cm="1">
        <f t="array" aca="1" ref="AE325" ca="1">SQRT(MMULT(MMULT(AG325:AK325,var_covar),TRANSPOSE(AG325:AK325)))</f>
        <v>0.20959994030408741</v>
      </c>
      <c r="AF325" s="22">
        <f t="shared" ca="1" si="27"/>
        <v>-4.2241047914464494E-3</v>
      </c>
      <c r="AG325">
        <f ca="1"/>
        <v>-0.98423929626792661</v>
      </c>
      <c r="AH325">
        <f ca="1"/>
        <v>2.3299525006408723</v>
      </c>
      <c r="AI325">
        <f ca="1"/>
        <v>0.17719647375684211</v>
      </c>
      <c r="AJ325">
        <f ca="1"/>
        <v>-0.62075512629514784</v>
      </c>
      <c r="AK325">
        <f ca="1"/>
        <v>9.7845448165359797E-2</v>
      </c>
      <c r="AN325" s="9">
        <v>0.21645313691949505</v>
      </c>
      <c r="AO325" s="9">
        <v>6.9699752224738606E-2</v>
      </c>
    </row>
    <row r="326" spans="28:41" x14ac:dyDescent="0.2">
      <c r="AB326" s="9"/>
      <c r="AC326" s="20"/>
      <c r="AE326" s="22" cm="1">
        <f t="array" aca="1" ref="AE326" ca="1">SQRT(MMULT(MMULT(AG326:AK326,var_covar),TRANSPOSE(AG326:AK326)))</f>
        <v>0.12399041408481425</v>
      </c>
      <c r="AF326" s="22">
        <f t="shared" ca="1" si="27"/>
        <v>4.1242160022214161E-2</v>
      </c>
      <c r="AG326">
        <f ca="1"/>
        <v>0.20000592915755314</v>
      </c>
      <c r="AH326">
        <f ca="1"/>
        <v>0.30592875054729241</v>
      </c>
      <c r="AI326">
        <f ca="1"/>
        <v>0.31215651302849856</v>
      </c>
      <c r="AJ326">
        <f ca="1"/>
        <v>0.60109451342310205</v>
      </c>
      <c r="AK326">
        <f ca="1"/>
        <v>-0.41918570615644629</v>
      </c>
      <c r="AN326" s="9">
        <v>0.2159655232111031</v>
      </c>
      <c r="AO326" s="9">
        <v>-2.2317148508630185E-2</v>
      </c>
    </row>
    <row r="327" spans="28:41" x14ac:dyDescent="0.2">
      <c r="AB327" s="9"/>
      <c r="AC327" s="20"/>
      <c r="AE327" s="22" cm="1">
        <f t="array" aca="1" ref="AE327" ca="1">SQRT(MMULT(MMULT(AG327:AK327,var_covar),TRANSPOSE(AG327:AK327)))</f>
        <v>0.10624054637553933</v>
      </c>
      <c r="AF327" s="22">
        <f t="shared" ca="1" si="27"/>
        <v>4.684495060389697E-2</v>
      </c>
      <c r="AG327">
        <f ca="1"/>
        <v>0.47554737144740716</v>
      </c>
      <c r="AH327">
        <f ca="1"/>
        <v>0.11700590798481725</v>
      </c>
      <c r="AI327">
        <f ca="1"/>
        <v>-0.27072062871808411</v>
      </c>
      <c r="AJ327">
        <f ca="1"/>
        <v>0.54897831385464801</v>
      </c>
      <c r="AK327">
        <f ca="1"/>
        <v>0.12918903543121171</v>
      </c>
      <c r="AN327" s="9">
        <v>0.21531055216290187</v>
      </c>
      <c r="AO327" s="9">
        <v>3.7449140382313978E-2</v>
      </c>
    </row>
    <row r="328" spans="28:41" x14ac:dyDescent="0.2">
      <c r="AB328" s="9"/>
      <c r="AC328" s="20"/>
      <c r="AE328" s="22" cm="1">
        <f t="array" aca="1" ref="AE328" ca="1">SQRT(MMULT(MMULT(AG328:AK328,var_covar),TRANSPOSE(AG328:AK328)))</f>
        <v>0.21143159641332873</v>
      </c>
      <c r="AF328" s="22">
        <f t="shared" ca="1" si="27"/>
        <v>5.6379334966892673E-2</v>
      </c>
      <c r="AG328">
        <f ca="1"/>
        <v>-1.2717568888468715</v>
      </c>
      <c r="AH328">
        <f ca="1"/>
        <v>0.25311074414676815</v>
      </c>
      <c r="AI328">
        <f ca="1"/>
        <v>0.87527576059995549</v>
      </c>
      <c r="AJ328">
        <f ca="1"/>
        <v>1.1871931999536298</v>
      </c>
      <c r="AK328">
        <f ca="1"/>
        <v>-4.3822815853481814E-2</v>
      </c>
      <c r="AN328" s="9">
        <v>0.21403143746640149</v>
      </c>
      <c r="AO328" s="9">
        <v>4.9510928427611886E-2</v>
      </c>
    </row>
    <row r="329" spans="28:41" x14ac:dyDescent="0.2">
      <c r="AB329" s="9"/>
      <c r="AC329" s="20"/>
      <c r="AE329" s="22" cm="1">
        <f t="array" aca="1" ref="AE329" ca="1">SQRT(MMULT(MMULT(AG329:AK329,var_covar),TRANSPOSE(AG329:AK329)))</f>
        <v>0.12078170670877683</v>
      </c>
      <c r="AF329" s="22">
        <f t="shared" ca="1" si="27"/>
        <v>4.6523981347412605E-2</v>
      </c>
      <c r="AG329">
        <f ca="1"/>
        <v>0.11126062993963023</v>
      </c>
      <c r="AH329">
        <f ca="1"/>
        <v>-0.29144515108136065</v>
      </c>
      <c r="AI329">
        <f ca="1"/>
        <v>0.46934859848356725</v>
      </c>
      <c r="AJ329">
        <f ca="1"/>
        <v>0.40676304195126306</v>
      </c>
      <c r="AK329">
        <f ca="1"/>
        <v>0.30407288070690003</v>
      </c>
      <c r="AN329" s="9">
        <v>0.2134315055196877</v>
      </c>
      <c r="AO329" s="9">
        <v>-1.464979213746536E-3</v>
      </c>
    </row>
    <row r="330" spans="28:41" x14ac:dyDescent="0.2">
      <c r="AB330" s="9"/>
      <c r="AC330" s="20"/>
      <c r="AE330" s="22" cm="1">
        <f t="array" aca="1" ref="AE330" ca="1">SQRT(MMULT(MMULT(AG330:AK330,var_covar),TRANSPOSE(AG330:AK330)))</f>
        <v>8.9018242344578433E-2</v>
      </c>
      <c r="AF330" s="22">
        <f t="shared" ca="1" si="27"/>
        <v>3.8365525680980145E-2</v>
      </c>
      <c r="AG330">
        <f ca="1"/>
        <v>0.29966765781885629</v>
      </c>
      <c r="AH330">
        <f ca="1"/>
        <v>0.18710257852043788</v>
      </c>
      <c r="AI330">
        <f ca="1"/>
        <v>5.7803197744248434E-2</v>
      </c>
      <c r="AJ330">
        <f ca="1"/>
        <v>0.23581976523230089</v>
      </c>
      <c r="AK330">
        <f ca="1"/>
        <v>0.21960680068415661</v>
      </c>
      <c r="AN330" s="9">
        <v>0.21326300274968832</v>
      </c>
      <c r="AO330" s="9">
        <v>1.952061198497667E-2</v>
      </c>
    </row>
    <row r="331" spans="28:41" x14ac:dyDescent="0.2">
      <c r="AB331" s="9"/>
      <c r="AC331" s="20"/>
      <c r="AE331" s="22" cm="1">
        <f t="array" aca="1" ref="AE331" ca="1">SQRT(MMULT(MMULT(AG331:AK331,var_covar),TRANSPOSE(AG331:AK331)))</f>
        <v>0.13466120185912414</v>
      </c>
      <c r="AF331" s="22">
        <f t="shared" ca="1" si="27"/>
        <v>4.5241262759059209E-2</v>
      </c>
      <c r="AG331">
        <f ca="1"/>
        <v>0.14091895601310067</v>
      </c>
      <c r="AH331">
        <f ca="1"/>
        <v>-0.35328121513668426</v>
      </c>
      <c r="AI331">
        <f ca="1"/>
        <v>0.42460071176535796</v>
      </c>
      <c r="AJ331">
        <f ca="1"/>
        <v>0.26537638636461802</v>
      </c>
      <c r="AK331">
        <f ca="1"/>
        <v>0.52238516099360766</v>
      </c>
      <c r="AN331" s="9">
        <v>0.21274573742195055</v>
      </c>
      <c r="AO331" s="9">
        <v>3.6667033651447273E-2</v>
      </c>
    </row>
    <row r="332" spans="28:41" x14ac:dyDescent="0.2">
      <c r="AB332" s="9"/>
      <c r="AC332" s="20"/>
      <c r="AE332" s="22" cm="1">
        <f t="array" aca="1" ref="AE332" ca="1">SQRT(MMULT(MMULT(AG332:AK332,var_covar),TRANSPOSE(AG332:AK332)))</f>
        <v>9.2216061990996981E-2</v>
      </c>
      <c r="AF332" s="22">
        <f t="shared" ca="1" si="27"/>
        <v>2.6175054512694626E-2</v>
      </c>
      <c r="AG332">
        <f ca="1"/>
        <v>0.33232110819010002</v>
      </c>
      <c r="AH332">
        <f ca="1"/>
        <v>0.1325037101377334</v>
      </c>
      <c r="AI332">
        <f ca="1"/>
        <v>0.57970706453848508</v>
      </c>
      <c r="AJ332">
        <f ca="1"/>
        <v>-0.2316328614456164</v>
      </c>
      <c r="AK332">
        <f ca="1"/>
        <v>0.187100978579298</v>
      </c>
      <c r="AN332" s="9">
        <v>0.2113715310508513</v>
      </c>
      <c r="AO332" s="9">
        <v>8.0329582428288221E-2</v>
      </c>
    </row>
    <row r="333" spans="28:41" x14ac:dyDescent="0.2">
      <c r="AB333" s="9"/>
      <c r="AC333" s="20"/>
      <c r="AE333" s="22" cm="1">
        <f t="array" aca="1" ref="AE333" ca="1">SQRT(MMULT(MMULT(AG333:AK333,var_covar),TRANSPOSE(AG333:AK333)))</f>
        <v>9.8225400054671244E-2</v>
      </c>
      <c r="AF333" s="22">
        <f t="shared" ca="1" si="27"/>
        <v>3.3076384824166909E-2</v>
      </c>
      <c r="AG333">
        <f ca="1"/>
        <v>-0.12794625546218921</v>
      </c>
      <c r="AH333">
        <f ca="1"/>
        <v>0.72941536826142206</v>
      </c>
      <c r="AI333">
        <f ca="1"/>
        <v>0.13123819658303854</v>
      </c>
      <c r="AJ333">
        <f ca="1"/>
        <v>0.31713027347824568</v>
      </c>
      <c r="AK333">
        <f ca="1"/>
        <v>-4.9837582860516809E-2</v>
      </c>
      <c r="AN333" s="9">
        <v>0.21094110649281961</v>
      </c>
      <c r="AO333" s="9">
        <v>4.2984951708707822E-2</v>
      </c>
    </row>
    <row r="334" spans="28:41" x14ac:dyDescent="0.2">
      <c r="AB334" s="9"/>
      <c r="AC334" s="20"/>
      <c r="AE334" s="22" cm="1">
        <f t="array" aca="1" ref="AE334" ca="1">SQRT(MMULT(MMULT(AG334:AK334,var_covar),TRANSPOSE(AG334:AK334)))</f>
        <v>8.0576684229236917E-2</v>
      </c>
      <c r="AF334" s="22">
        <f t="shared" ca="1" si="27"/>
        <v>2.7181778211019553E-2</v>
      </c>
      <c r="AG334">
        <f ca="1"/>
        <v>0.44131172711779154</v>
      </c>
      <c r="AH334">
        <f ca="1"/>
        <v>0.32958264604085302</v>
      </c>
      <c r="AI334">
        <f ca="1"/>
        <v>0.20733255929131558</v>
      </c>
      <c r="AJ334">
        <f ca="1"/>
        <v>-0.14547932316030091</v>
      </c>
      <c r="AK334">
        <f ca="1"/>
        <v>0.16725239071034065</v>
      </c>
      <c r="AN334" s="9">
        <v>0.21076603696249416</v>
      </c>
      <c r="AO334" s="9">
        <v>2.8944346509446807E-2</v>
      </c>
    </row>
    <row r="335" spans="28:41" x14ac:dyDescent="0.2">
      <c r="AB335" s="9"/>
      <c r="AC335" s="20"/>
      <c r="AE335" s="22" cm="1">
        <f t="array" aca="1" ref="AE335" ca="1">SQRT(MMULT(MMULT(AG335:AK335,var_covar),TRANSPOSE(AG335:AK335)))</f>
        <v>0.24322789270699885</v>
      </c>
      <c r="AF335" s="22">
        <f t="shared" ca="1" si="27"/>
        <v>6.0430552422191447E-2</v>
      </c>
      <c r="AG335">
        <f ca="1"/>
        <v>0.46474559460115572</v>
      </c>
      <c r="AH335">
        <f ca="1"/>
        <v>0.45629929851276618</v>
      </c>
      <c r="AI335">
        <f ca="1"/>
        <v>-1.6812381523715778</v>
      </c>
      <c r="AJ335">
        <f ca="1"/>
        <v>0.91352372658594039</v>
      </c>
      <c r="AK335">
        <f ca="1"/>
        <v>0.84666953267171541</v>
      </c>
      <c r="AN335" s="9">
        <v>0.21003052185931045</v>
      </c>
      <c r="AO335" s="9">
        <v>1.9232953583190084E-2</v>
      </c>
    </row>
    <row r="336" spans="28:41" x14ac:dyDescent="0.2">
      <c r="AB336" s="9"/>
      <c r="AC336" s="20"/>
      <c r="AE336" s="22" cm="1">
        <f t="array" aca="1" ref="AE336" ca="1">SQRT(MMULT(MMULT(AG336:AK336,var_covar),TRANSPOSE(AG336:AK336)))</f>
        <v>8.938609377520669E-2</v>
      </c>
      <c r="AF336" s="22">
        <f t="shared" ca="1" si="27"/>
        <v>2.4059999594317441E-2</v>
      </c>
      <c r="AG336">
        <f ca="1"/>
        <v>0.32961775232571866</v>
      </c>
      <c r="AH336">
        <f ca="1"/>
        <v>0.22490486168735274</v>
      </c>
      <c r="AI336">
        <f ca="1"/>
        <v>0.65988015060215743</v>
      </c>
      <c r="AJ336">
        <f ca="1"/>
        <v>-0.2282758252357556</v>
      </c>
      <c r="AK336">
        <f ca="1"/>
        <v>1.3873060620526692E-2</v>
      </c>
      <c r="AN336" s="9">
        <v>0.20973450363206436</v>
      </c>
      <c r="AO336" s="9">
        <v>4.5893110182286714E-2</v>
      </c>
    </row>
    <row r="337" spans="28:41" x14ac:dyDescent="0.2">
      <c r="AB337" s="9"/>
      <c r="AC337" s="20"/>
      <c r="AE337" s="22" cm="1">
        <f t="array" aca="1" ref="AE337" ca="1">SQRT(MMULT(MMULT(AG337:AK337,var_covar),TRANSPOSE(AG337:AK337)))</f>
        <v>0.19255534034405331</v>
      </c>
      <c r="AF337" s="22">
        <f t="shared" ca="1" si="27"/>
        <v>9.9061375760330569E-3</v>
      </c>
      <c r="AG337">
        <f ca="1"/>
        <v>1.2007507350046851</v>
      </c>
      <c r="AH337">
        <f ca="1"/>
        <v>0.86717201194551585</v>
      </c>
      <c r="AI337">
        <f ca="1"/>
        <v>0.25882818103417904</v>
      </c>
      <c r="AJ337">
        <f ca="1"/>
        <v>-0.34909738800274859</v>
      </c>
      <c r="AK337">
        <f ca="1"/>
        <v>-0.9776535399816314</v>
      </c>
      <c r="AN337" s="9">
        <v>0.20969899839758435</v>
      </c>
      <c r="AO337" s="9">
        <v>-2.1188560834801626E-3</v>
      </c>
    </row>
    <row r="338" spans="28:41" x14ac:dyDescent="0.2">
      <c r="AB338" s="9"/>
      <c r="AC338" s="20"/>
      <c r="AE338" s="22" cm="1">
        <f t="array" aca="1" ref="AE338" ca="1">SQRT(MMULT(MMULT(AG338:AK338,var_covar),TRANSPOSE(AG338:AK338)))</f>
        <v>0.34155911512148829</v>
      </c>
      <c r="AF338" s="22">
        <f t="shared" ca="1" si="27"/>
        <v>-3.8970215284301959E-3</v>
      </c>
      <c r="AG338">
        <f ca="1"/>
        <v>1.1630629371081223</v>
      </c>
      <c r="AH338">
        <f ca="1"/>
        <v>-1.3682215885256861</v>
      </c>
      <c r="AI338">
        <f ca="1"/>
        <v>2.7577991906905122</v>
      </c>
      <c r="AJ338">
        <f ca="1"/>
        <v>-1.9168940653790238</v>
      </c>
      <c r="AK338">
        <f ca="1"/>
        <v>0.36425352610607542</v>
      </c>
      <c r="AN338" s="9">
        <v>0.20768365711784562</v>
      </c>
      <c r="AO338" s="9">
        <v>7.9929496690352778E-3</v>
      </c>
    </row>
    <row r="339" spans="28:41" x14ac:dyDescent="0.2">
      <c r="AB339" s="9"/>
      <c r="AC339" s="20"/>
      <c r="AE339" s="22" cm="1">
        <f t="array" aca="1" ref="AE339" ca="1">SQRT(MMULT(MMULT(AG339:AK339,var_covar),TRANSPOSE(AG339:AK339)))</f>
        <v>0.28562336319911913</v>
      </c>
      <c r="AF339" s="22">
        <f t="shared" ca="1" si="27"/>
        <v>1.1275017143166602E-2</v>
      </c>
      <c r="AG339">
        <f ca="1"/>
        <v>-0.92619149592990702</v>
      </c>
      <c r="AH339">
        <f ca="1"/>
        <v>0.67387093670650788</v>
      </c>
      <c r="AI339">
        <f ca="1"/>
        <v>0.70621560155694585</v>
      </c>
      <c r="AJ339">
        <f ca="1"/>
        <v>-0.95838614319594562</v>
      </c>
      <c r="AK339">
        <f ca="1"/>
        <v>1.5044911008623989</v>
      </c>
      <c r="AN339" s="9">
        <v>0.20713804776882755</v>
      </c>
      <c r="AO339" s="9">
        <v>8.5128861139738797E-3</v>
      </c>
    </row>
    <row r="340" spans="28:41" x14ac:dyDescent="0.2">
      <c r="AB340" s="9"/>
      <c r="AC340" s="20"/>
      <c r="AE340" s="22" cm="1">
        <f t="array" aca="1" ref="AE340" ca="1">SQRT(MMULT(MMULT(AG340:AK340,var_covar),TRANSPOSE(AG340:AK340)))</f>
        <v>9.3352927176840073E-2</v>
      </c>
      <c r="AF340" s="22">
        <f t="shared" ca="1" si="27"/>
        <v>4.0830982863494771E-2</v>
      </c>
      <c r="AG340">
        <f ca="1"/>
        <v>0.20969160781408142</v>
      </c>
      <c r="AH340">
        <f ca="1"/>
        <v>0.36749870126451434</v>
      </c>
      <c r="AI340">
        <f ca="1"/>
        <v>-6.7881954930882601E-2</v>
      </c>
      <c r="AJ340">
        <f ca="1"/>
        <v>0.44523688146205448</v>
      </c>
      <c r="AK340">
        <f ca="1"/>
        <v>4.5454764390232452E-2</v>
      </c>
      <c r="AN340" s="9">
        <v>0.20647884736109062</v>
      </c>
      <c r="AO340" s="9">
        <v>7.1654130523719967E-2</v>
      </c>
    </row>
    <row r="341" spans="28:41" x14ac:dyDescent="0.2">
      <c r="AB341" s="9"/>
      <c r="AC341" s="20"/>
      <c r="AE341" s="22" cm="1">
        <f t="array" aca="1" ref="AE341" ca="1">SQRT(MMULT(MMULT(AG341:AK341,var_covar),TRANSPOSE(AG341:AK341)))</f>
        <v>0.10434716813064927</v>
      </c>
      <c r="AF341" s="22">
        <f t="shared" ca="1" si="27"/>
        <v>2.6385760880804302E-2</v>
      </c>
      <c r="AG341">
        <f ca="1"/>
        <v>0.60731475756138398</v>
      </c>
      <c r="AH341">
        <f ca="1"/>
        <v>-0.13456870252388858</v>
      </c>
      <c r="AI341">
        <f ca="1"/>
        <v>0.66901762164929435</v>
      </c>
      <c r="AJ341">
        <f ca="1"/>
        <v>-0.3220314424468097</v>
      </c>
      <c r="AK341">
        <f ca="1"/>
        <v>0.18026776576002004</v>
      </c>
      <c r="AN341" s="9">
        <v>0.20607313177869191</v>
      </c>
      <c r="AO341" s="9">
        <v>-8.4379903997950333E-3</v>
      </c>
    </row>
    <row r="342" spans="28:41" x14ac:dyDescent="0.2">
      <c r="AB342" s="9"/>
      <c r="AC342" s="20"/>
      <c r="AE342" s="22" cm="1">
        <f t="array" aca="1" ref="AE342" ca="1">SQRT(MMULT(MMULT(AG342:AK342,var_covar),TRANSPOSE(AG342:AK342)))</f>
        <v>0.13341523372020722</v>
      </c>
      <c r="AF342" s="22">
        <f t="shared" ca="1" si="27"/>
        <v>3.3452507544029897E-2</v>
      </c>
      <c r="AG342">
        <f ca="1"/>
        <v>0.10457311375003517</v>
      </c>
      <c r="AH342">
        <f ca="1"/>
        <v>0.52581137508944331</v>
      </c>
      <c r="AI342">
        <f ca="1"/>
        <v>-0.28767446192704593</v>
      </c>
      <c r="AJ342">
        <f ca="1"/>
        <v>2.2579812913692588E-2</v>
      </c>
      <c r="AK342">
        <f ca="1"/>
        <v>0.63471016017387483</v>
      </c>
      <c r="AN342" s="9">
        <v>0.20489646829202829</v>
      </c>
      <c r="AO342" s="9">
        <v>-1.7462241143856617E-2</v>
      </c>
    </row>
    <row r="343" spans="28:41" x14ac:dyDescent="0.2">
      <c r="AB343" s="9"/>
      <c r="AC343" s="20"/>
      <c r="AE343" s="22" cm="1">
        <f t="array" aca="1" ref="AE343" ca="1">SQRT(MMULT(MMULT(AG343:AK343,var_covar),TRANSPOSE(AG343:AK343)))</f>
        <v>0.10692842131698437</v>
      </c>
      <c r="AF343" s="22">
        <f t="shared" ca="1" si="27"/>
        <v>2.8017168265333722E-2</v>
      </c>
      <c r="AG343">
        <f ca="1"/>
        <v>0.55423402739397398</v>
      </c>
      <c r="AH343">
        <f ca="1"/>
        <v>0.65716456626597108</v>
      </c>
      <c r="AI343">
        <f ca="1"/>
        <v>2.3855362605683439E-2</v>
      </c>
      <c r="AJ343">
        <f ca="1"/>
        <v>0.14626741116191508</v>
      </c>
      <c r="AK343">
        <f ca="1"/>
        <v>-0.38152136742754322</v>
      </c>
      <c r="AN343" s="9">
        <v>0.20433978948411516</v>
      </c>
      <c r="AO343" s="9">
        <v>5.4051047224257139E-2</v>
      </c>
    </row>
    <row r="344" spans="28:41" x14ac:dyDescent="0.2">
      <c r="AB344" s="9"/>
      <c r="AC344" s="20"/>
      <c r="AE344" s="22" cm="1">
        <f t="array" aca="1" ref="AE344" ca="1">SQRT(MMULT(MMULT(AG344:AK344,var_covar),TRANSPOSE(AG344:AK344)))</f>
        <v>0.60845710727008151</v>
      </c>
      <c r="AF344" s="22">
        <f t="shared" ca="1" si="27"/>
        <v>2.6152804471568911E-2</v>
      </c>
      <c r="AG344">
        <f ca="1"/>
        <v>2.4694994735000839</v>
      </c>
      <c r="AH344">
        <f ca="1"/>
        <v>-0.6454366662106128</v>
      </c>
      <c r="AI344">
        <f ca="1"/>
        <v>-2.2732864576704186</v>
      </c>
      <c r="AJ344">
        <f ca="1"/>
        <v>-1.639300059966502</v>
      </c>
      <c r="AK344">
        <f ca="1"/>
        <v>3.0885237103474497</v>
      </c>
      <c r="AN344" s="9">
        <v>0.20429815237057677</v>
      </c>
      <c r="AO344" s="9">
        <v>7.6817690214529638E-2</v>
      </c>
    </row>
    <row r="345" spans="28:41" x14ac:dyDescent="0.2">
      <c r="AB345" s="9"/>
      <c r="AC345" s="20"/>
      <c r="AE345" s="22" cm="1">
        <f t="array" aca="1" ref="AE345" ca="1">SQRT(MMULT(MMULT(AG345:AK345,var_covar),TRANSPOSE(AG345:AK345)))</f>
        <v>0.96233102729803954</v>
      </c>
      <c r="AF345" s="22">
        <f t="shared" ca="1" si="27"/>
        <v>9.1338951225489046E-2</v>
      </c>
      <c r="AG345">
        <f ca="1"/>
        <v>5.8079777828334995</v>
      </c>
      <c r="AH345">
        <f ca="1"/>
        <v>-2.9863078892804751</v>
      </c>
      <c r="AI345">
        <f ca="1"/>
        <v>0.64970127683220746</v>
      </c>
      <c r="AJ345">
        <f ca="1"/>
        <v>2.5687205056962612</v>
      </c>
      <c r="AK345">
        <f ca="1"/>
        <v>-5.0400916760814933</v>
      </c>
      <c r="AN345" s="9">
        <v>0.20359220900442501</v>
      </c>
      <c r="AO345" s="9">
        <v>9.8280944326710612E-3</v>
      </c>
    </row>
    <row r="346" spans="28:41" x14ac:dyDescent="0.2">
      <c r="AB346" s="9"/>
      <c r="AC346" s="20"/>
      <c r="AE346" s="22" cm="1">
        <f t="array" aca="1" ref="AE346" ca="1">SQRT(MMULT(MMULT(AG346:AK346,var_covar),TRANSPOSE(AG346:AK346)))</f>
        <v>0.24966092729953288</v>
      </c>
      <c r="AF346" s="22">
        <f t="shared" ca="1" si="27"/>
        <v>2.288749306887046E-2</v>
      </c>
      <c r="AG346">
        <f ca="1"/>
        <v>1.2542769663442592</v>
      </c>
      <c r="AH346">
        <f ca="1"/>
        <v>-1.6678451787981538E-2</v>
      </c>
      <c r="AI346">
        <f ca="1"/>
        <v>1.0875439480440801</v>
      </c>
      <c r="AJ346">
        <f ca="1"/>
        <v>2.1854750612768037E-2</v>
      </c>
      <c r="AK346">
        <f ca="1"/>
        <v>-1.3469972132131263</v>
      </c>
      <c r="AN346" s="9">
        <v>0.2032895281125911</v>
      </c>
      <c r="AO346" s="9">
        <v>3.734619094516306E-2</v>
      </c>
    </row>
    <row r="347" spans="28:41" x14ac:dyDescent="0.2">
      <c r="AB347" s="9"/>
      <c r="AC347" s="20"/>
      <c r="AE347" s="22" cm="1">
        <f t="array" aca="1" ref="AE347" ca="1">SQRT(MMULT(MMULT(AG347:AK347,var_covar),TRANSPOSE(AG347:AK347)))</f>
        <v>0.14662897738033137</v>
      </c>
      <c r="AF347" s="22">
        <f t="shared" ca="1" si="27"/>
        <v>2.6681698487466085E-2</v>
      </c>
      <c r="AG347">
        <f ca="1"/>
        <v>-0.41023233921453439</v>
      </c>
      <c r="AH347">
        <f ca="1"/>
        <v>1.3987817477441697</v>
      </c>
      <c r="AI347">
        <f ca="1"/>
        <v>-0.4385204897439377</v>
      </c>
      <c r="AJ347">
        <f ca="1"/>
        <v>0.17684409712711627</v>
      </c>
      <c r="AK347">
        <f ca="1"/>
        <v>0.27312698408718616</v>
      </c>
      <c r="AN347" s="9">
        <v>0.2032267877269798</v>
      </c>
      <c r="AO347" s="9">
        <v>6.8910890246747333E-2</v>
      </c>
    </row>
    <row r="348" spans="28:41" x14ac:dyDescent="0.2">
      <c r="AB348" s="9"/>
      <c r="AC348" s="20"/>
      <c r="AE348" s="22" cm="1">
        <f t="array" aca="1" ref="AE348" ca="1">SQRT(MMULT(MMULT(AG348:AK348,var_covar),TRANSPOSE(AG348:AK348)))</f>
        <v>7.9773999089172959E-2</v>
      </c>
      <c r="AF348" s="22">
        <f t="shared" ca="1" si="27"/>
        <v>2.9066777419379929E-2</v>
      </c>
      <c r="AG348">
        <f ca="1"/>
        <v>0.31185181429079856</v>
      </c>
      <c r="AH348">
        <f ca="1"/>
        <v>0.41487899710922665</v>
      </c>
      <c r="AI348">
        <f ca="1"/>
        <v>0.31376436467667707</v>
      </c>
      <c r="AJ348">
        <f ca="1"/>
        <v>4.7992675608867316E-2</v>
      </c>
      <c r="AK348">
        <f ca="1"/>
        <v>-8.8487851685569399E-2</v>
      </c>
      <c r="AN348" s="9">
        <v>0.2029451130988239</v>
      </c>
      <c r="AO348" s="9">
        <v>2.8662492413731085E-2</v>
      </c>
    </row>
    <row r="349" spans="28:41" x14ac:dyDescent="0.2">
      <c r="AB349" s="9"/>
      <c r="AC349" s="20"/>
      <c r="AE349" s="22" cm="1">
        <f t="array" aca="1" ref="AE349" ca="1">SQRT(MMULT(MMULT(AG349:AK349,var_covar),TRANSPOSE(AG349:AK349)))</f>
        <v>0.15842028062597879</v>
      </c>
      <c r="AF349" s="22">
        <f t="shared" ca="1" si="27"/>
        <v>4.423692601689766E-2</v>
      </c>
      <c r="AG349">
        <f ca="1"/>
        <v>-0.8265644918345143</v>
      </c>
      <c r="AH349">
        <f ca="1"/>
        <v>0.51512642667355302</v>
      </c>
      <c r="AI349">
        <f ca="1"/>
        <v>0.19528095042872673</v>
      </c>
      <c r="AJ349">
        <f ca="1"/>
        <v>0.54659808063756044</v>
      </c>
      <c r="AK349">
        <f ca="1"/>
        <v>0.56955903409467412</v>
      </c>
      <c r="AN349" s="9">
        <v>0.20238118167714877</v>
      </c>
      <c r="AO349" s="9">
        <v>1.0270413501964393E-2</v>
      </c>
    </row>
    <row r="350" spans="28:41" x14ac:dyDescent="0.2">
      <c r="AB350" s="9"/>
      <c r="AC350" s="20"/>
      <c r="AE350" s="22" cm="1">
        <f t="array" aca="1" ref="AE350" ca="1">SQRT(MMULT(MMULT(AG350:AK350,var_covar),TRANSPOSE(AG350:AK350)))</f>
        <v>0.2753816340515905</v>
      </c>
      <c r="AF350" s="22">
        <f t="shared" ca="1" si="27"/>
        <v>2.0510692461686068E-2</v>
      </c>
      <c r="AG350">
        <f ca="1"/>
        <v>0.67131740962613284</v>
      </c>
      <c r="AH350">
        <f ca="1"/>
        <v>0.13546307253670239</v>
      </c>
      <c r="AI350">
        <f ca="1"/>
        <v>-0.39681532152710469</v>
      </c>
      <c r="AJ350">
        <f ca="1"/>
        <v>-0.92614118721118621</v>
      </c>
      <c r="AK350">
        <f ca="1"/>
        <v>1.5161760265754558</v>
      </c>
      <c r="AN350" s="9">
        <v>0.20234295023397258</v>
      </c>
      <c r="AO350" s="9">
        <v>2.6315132478080101E-2</v>
      </c>
    </row>
    <row r="351" spans="28:41" x14ac:dyDescent="0.2">
      <c r="AB351" s="9"/>
      <c r="AC351" s="20"/>
      <c r="AE351" s="22" cm="1">
        <f t="array" aca="1" ref="AE351" ca="1">SQRT(MMULT(MMULT(AG351:AK351,var_covar),TRANSPOSE(AG351:AK351)))</f>
        <v>9.165777667824207E-2</v>
      </c>
      <c r="AF351" s="22">
        <f t="shared" ca="1" si="27"/>
        <v>3.5792532955969701E-2</v>
      </c>
      <c r="AG351">
        <f ca="1"/>
        <v>0.33870810390562278</v>
      </c>
      <c r="AH351">
        <f ca="1"/>
        <v>0.14958833312647746</v>
      </c>
      <c r="AI351">
        <f ca="1"/>
        <v>0.11301539396456443</v>
      </c>
      <c r="AJ351">
        <f ca="1"/>
        <v>9.6942535779406605E-2</v>
      </c>
      <c r="AK351">
        <f ca="1"/>
        <v>0.30174563322392878</v>
      </c>
      <c r="AN351" s="9">
        <v>0.20206648721710216</v>
      </c>
      <c r="AO351" s="9">
        <v>4.9405603782637003E-2</v>
      </c>
    </row>
    <row r="352" spans="28:41" x14ac:dyDescent="0.2">
      <c r="AB352" s="9"/>
      <c r="AC352" s="20"/>
      <c r="AE352" s="22" cm="1">
        <f t="array" aca="1" ref="AE352" ca="1">SQRT(MMULT(MMULT(AG352:AK352,var_covar),TRANSPOSE(AG352:AK352)))</f>
        <v>0.24978365164219163</v>
      </c>
      <c r="AF352" s="22">
        <f t="shared" ca="1" si="27"/>
        <v>9.1542402849957613E-2</v>
      </c>
      <c r="AG352">
        <f ca="1"/>
        <v>-0.48769006487231664</v>
      </c>
      <c r="AH352">
        <f ca="1"/>
        <v>-0.44268290104182451</v>
      </c>
      <c r="AI352">
        <f ca="1"/>
        <v>-0.50417275585613908</v>
      </c>
      <c r="AJ352">
        <f ca="1"/>
        <v>2.1279244002128586</v>
      </c>
      <c r="AK352">
        <f ca="1"/>
        <v>0.30662132155742189</v>
      </c>
      <c r="AN352" s="9">
        <v>0.20203837570030106</v>
      </c>
      <c r="AO352" s="9">
        <v>6.4771629989714002E-3</v>
      </c>
    </row>
    <row r="353" spans="28:41" x14ac:dyDescent="0.2">
      <c r="AB353" s="9"/>
      <c r="AC353" s="20"/>
      <c r="AE353" s="22" cm="1">
        <f t="array" aca="1" ref="AE353" ca="1">SQRT(MMULT(MMULT(AG353:AK353,var_covar),TRANSPOSE(AG353:AK353)))</f>
        <v>0.20490219240980237</v>
      </c>
      <c r="AF353" s="22">
        <f t="shared" ca="1" si="27"/>
        <v>-1.9073979206754847E-2</v>
      </c>
      <c r="AG353">
        <f ca="1"/>
        <v>-0.22615817150505851</v>
      </c>
      <c r="AH353">
        <f ca="1"/>
        <v>2.0519338048334732</v>
      </c>
      <c r="AI353">
        <f ca="1"/>
        <v>0.40713452906943065</v>
      </c>
      <c r="AJ353">
        <f ca="1"/>
        <v>-1.3383146100597543</v>
      </c>
      <c r="AK353">
        <f ca="1"/>
        <v>0.10540444766190869</v>
      </c>
      <c r="AN353" s="9">
        <v>0.20187269129888522</v>
      </c>
      <c r="AO353" s="9">
        <v>4.1820813321853112E-3</v>
      </c>
    </row>
    <row r="354" spans="28:41" x14ac:dyDescent="0.2">
      <c r="AB354" s="9"/>
      <c r="AC354" s="20"/>
      <c r="AE354" s="22" cm="1">
        <f t="array" aca="1" ref="AE354" ca="1">SQRT(MMULT(MMULT(AG354:AK354,var_covar),TRANSPOSE(AG354:AK354)))</f>
        <v>8.8173044851412308E-2</v>
      </c>
      <c r="AF354" s="22">
        <f t="shared" ca="1" si="27"/>
        <v>3.6277190306649158E-2</v>
      </c>
      <c r="AG354">
        <f ca="1"/>
        <v>0.42316717615281857</v>
      </c>
      <c r="AH354">
        <f ca="1"/>
        <v>0.20164622034144478</v>
      </c>
      <c r="AI354">
        <f ca="1"/>
        <v>-1.7106328815902887E-3</v>
      </c>
      <c r="AJ354">
        <f ca="1"/>
        <v>0.1431611171274832</v>
      </c>
      <c r="AK354">
        <f ca="1"/>
        <v>0.23373611925984378</v>
      </c>
      <c r="AN354" s="9">
        <v>0.20067307536186657</v>
      </c>
      <c r="AO354" s="9">
        <v>6.2579653723086909E-2</v>
      </c>
    </row>
    <row r="355" spans="28:41" x14ac:dyDescent="0.2">
      <c r="AB355" s="9"/>
      <c r="AC355" s="20"/>
      <c r="AE355" s="22" cm="1">
        <f t="array" aca="1" ref="AE355" ca="1">SQRT(MMULT(MMULT(AG355:AK355,var_covar),TRANSPOSE(AG355:AK355)))</f>
        <v>0.18077424113470072</v>
      </c>
      <c r="AF355" s="22">
        <f t="shared" ca="1" si="27"/>
        <v>2.9296756416820009E-2</v>
      </c>
      <c r="AG355">
        <f ca="1"/>
        <v>1.3627252229968456</v>
      </c>
      <c r="AH355">
        <f ca="1"/>
        <v>0.5853244315558167</v>
      </c>
      <c r="AI355">
        <f ca="1"/>
        <v>-0.38636107753811411</v>
      </c>
      <c r="AJ355">
        <f ca="1"/>
        <v>0.22682491053624382</v>
      </c>
      <c r="AK355">
        <f ca="1"/>
        <v>-0.7885134875507922</v>
      </c>
      <c r="AN355" s="9">
        <v>0.19973116466055912</v>
      </c>
      <c r="AO355" s="9">
        <v>2.8111068183395392E-2</v>
      </c>
    </row>
    <row r="356" spans="28:41" x14ac:dyDescent="0.2">
      <c r="AB356" s="9"/>
      <c r="AC356" s="20"/>
      <c r="AE356" s="22" cm="1">
        <f t="array" aca="1" ref="AE356" ca="1">SQRT(MMULT(MMULT(AG356:AK356,var_covar),TRANSPOSE(AG356:AK356)))</f>
        <v>0.14775106833567406</v>
      </c>
      <c r="AF356" s="22">
        <f t="shared" ca="1" si="27"/>
        <v>-5.7849122323571462E-3</v>
      </c>
      <c r="AG356">
        <f ca="1"/>
        <v>0.27993580428459919</v>
      </c>
      <c r="AH356">
        <f ca="1"/>
        <v>1.0082754101198055</v>
      </c>
      <c r="AI356">
        <f ca="1"/>
        <v>0.90644731303981307</v>
      </c>
      <c r="AJ356">
        <f ca="1"/>
        <v>-1.1045465334105986</v>
      </c>
      <c r="AK356">
        <f ca="1"/>
        <v>-9.0111994033619025E-2</v>
      </c>
      <c r="AN356" s="9">
        <v>0.19949879165448831</v>
      </c>
      <c r="AO356" s="9">
        <v>1.6468794086126011E-2</v>
      </c>
    </row>
    <row r="357" spans="28:41" x14ac:dyDescent="0.2">
      <c r="AB357" s="9"/>
      <c r="AC357" s="20"/>
      <c r="AE357" s="22" cm="1">
        <f t="array" aca="1" ref="AE357" ca="1">SQRT(MMULT(MMULT(AG357:AK357,var_covar),TRANSPOSE(AG357:AK357)))</f>
        <v>0.23465670819291393</v>
      </c>
      <c r="AF357" s="22">
        <f t="shared" ca="1" si="27"/>
        <v>6.7969641461560343E-2</v>
      </c>
      <c r="AG357">
        <f ca="1"/>
        <v>0.31856586268157577</v>
      </c>
      <c r="AH357">
        <f ca="1"/>
        <v>-0.33393317559940605</v>
      </c>
      <c r="AI357">
        <f ca="1"/>
        <v>0.30630879070737216</v>
      </c>
      <c r="AJ357">
        <f ca="1"/>
        <v>1.5760721315661776</v>
      </c>
      <c r="AK357">
        <f ca="1"/>
        <v>-0.86701360935571969</v>
      </c>
      <c r="AN357" s="9">
        <v>0.19931726732103949</v>
      </c>
      <c r="AO357" s="9">
        <v>4.9690714552223472E-2</v>
      </c>
    </row>
    <row r="358" spans="28:41" x14ac:dyDescent="0.2">
      <c r="AB358" s="9"/>
      <c r="AC358" s="20"/>
      <c r="AE358" s="22" cm="1">
        <f t="array" aca="1" ref="AE358" ca="1">SQRT(MMULT(MMULT(AG358:AK358,var_covar),TRANSPOSE(AG358:AK358)))</f>
        <v>0.25441926858958891</v>
      </c>
      <c r="AF358" s="22">
        <f t="shared" ca="1" si="27"/>
        <v>6.2058214550386182E-3</v>
      </c>
      <c r="AG358">
        <f ca="1"/>
        <v>1.5162267555087294</v>
      </c>
      <c r="AH358">
        <f ca="1"/>
        <v>0.71105921698186925</v>
      </c>
      <c r="AI358">
        <f ca="1"/>
        <v>-0.94340934027958867</v>
      </c>
      <c r="AJ358">
        <f ca="1"/>
        <v>-1.1986917235716101</v>
      </c>
      <c r="AK358">
        <f ca="1"/>
        <v>0.91481509136060013</v>
      </c>
      <c r="AN358" s="9">
        <v>0.19802248107839174</v>
      </c>
      <c r="AO358" s="9">
        <v>5.4665654378116761E-2</v>
      </c>
    </row>
    <row r="359" spans="28:41" x14ac:dyDescent="0.2">
      <c r="AB359" s="9"/>
      <c r="AC359" s="20"/>
      <c r="AE359" s="22" cm="1">
        <f t="array" aca="1" ref="AE359" ca="1">SQRT(MMULT(MMULT(AG359:AK359,var_covar),TRANSPOSE(AG359:AK359)))</f>
        <v>9.6497192878543359E-2</v>
      </c>
      <c r="AF359" s="22">
        <f t="shared" ca="1" si="27"/>
        <v>2.3349409674497668E-2</v>
      </c>
      <c r="AG359">
        <f ca="1"/>
        <v>0.14036003002892508</v>
      </c>
      <c r="AH359">
        <f ca="1"/>
        <v>0.48454967922848546</v>
      </c>
      <c r="AI359">
        <f ca="1"/>
        <v>0.66660031494439309</v>
      </c>
      <c r="AJ359">
        <f ca="1"/>
        <v>-9.4842990413119804E-2</v>
      </c>
      <c r="AK359">
        <f ca="1"/>
        <v>-0.19666703378868367</v>
      </c>
      <c r="AN359" s="9">
        <v>0.19767202588293784</v>
      </c>
      <c r="AO359" s="9">
        <v>4.1522714145581716E-2</v>
      </c>
    </row>
    <row r="360" spans="28:41" x14ac:dyDescent="0.2">
      <c r="AB360" s="9"/>
      <c r="AC360" s="20"/>
      <c r="AE360" s="22" cm="1">
        <f t="array" aca="1" ref="AE360" ca="1">SQRT(MMULT(MMULT(AG360:AK360,var_covar),TRANSPOSE(AG360:AK360)))</f>
        <v>0.14476284075389306</v>
      </c>
      <c r="AF360" s="22">
        <f t="shared" ca="1" si="27"/>
        <v>3.995391380531442E-2</v>
      </c>
      <c r="AG360">
        <f ca="1"/>
        <v>-8.7402336082726184E-2</v>
      </c>
      <c r="AH360">
        <f ca="1"/>
        <v>0.32038516707985026</v>
      </c>
      <c r="AI360">
        <f ca="1"/>
        <v>-0.16310134708799476</v>
      </c>
      <c r="AJ360">
        <f ca="1"/>
        <v>0.20155558418369299</v>
      </c>
      <c r="AK360">
        <f ca="1"/>
        <v>0.7285629319071778</v>
      </c>
      <c r="AN360" s="9">
        <v>0.19652419719098402</v>
      </c>
      <c r="AO360" s="9">
        <v>2.4979343829008561E-2</v>
      </c>
    </row>
    <row r="361" spans="28:41" x14ac:dyDescent="0.2">
      <c r="AB361" s="9"/>
      <c r="AC361" s="20"/>
      <c r="AE361" s="22" cm="1">
        <f t="array" aca="1" ref="AE361" ca="1">SQRT(MMULT(MMULT(AG361:AK361,var_covar),TRANSPOSE(AG361:AK361)))</f>
        <v>0.11903396747778552</v>
      </c>
      <c r="AF361" s="22">
        <f t="shared" ca="1" si="27"/>
        <v>2.5494238893461838E-2</v>
      </c>
      <c r="AG361">
        <f ca="1"/>
        <v>-0.24231533375809639</v>
      </c>
      <c r="AH361">
        <f ca="1"/>
        <v>0.46219147343146766</v>
      </c>
      <c r="AI361">
        <f ca="1"/>
        <v>0.52365808598631736</v>
      </c>
      <c r="AJ361">
        <f ca="1"/>
        <v>-0.19809138180749022</v>
      </c>
      <c r="AK361">
        <f ca="1"/>
        <v>0.45455715614780157</v>
      </c>
      <c r="AN361" s="9">
        <v>0.19620117261547412</v>
      </c>
      <c r="AO361" s="9">
        <v>6.5692987167196765E-2</v>
      </c>
    </row>
    <row r="362" spans="28:41" x14ac:dyDescent="0.2">
      <c r="AB362" s="9"/>
      <c r="AC362" s="20"/>
      <c r="AE362" s="22" cm="1">
        <f t="array" aca="1" ref="AE362" ca="1">SQRT(MMULT(MMULT(AG362:AK362,var_covar),TRANSPOSE(AG362:AK362)))</f>
        <v>0.24263703774437728</v>
      </c>
      <c r="AF362" s="22">
        <f t="shared" ca="1" si="27"/>
        <v>5.6317152372972933E-2</v>
      </c>
      <c r="AG362">
        <f ca="1"/>
        <v>1.9853874006726127</v>
      </c>
      <c r="AH362">
        <f ca="1"/>
        <v>-1.490995376501062</v>
      </c>
      <c r="AI362">
        <f ca="1"/>
        <v>-0.35362895561883678</v>
      </c>
      <c r="AJ362">
        <f ca="1"/>
        <v>0.10695760667132473</v>
      </c>
      <c r="AK362">
        <f ca="1"/>
        <v>0.75227932477596127</v>
      </c>
      <c r="AN362" s="9">
        <v>0.19550606801009537</v>
      </c>
      <c r="AO362" s="9">
        <v>3.597412177464189E-2</v>
      </c>
    </row>
    <row r="363" spans="28:41" x14ac:dyDescent="0.2">
      <c r="AB363" s="9"/>
      <c r="AC363" s="20"/>
      <c r="AE363" s="22" cm="1">
        <f t="array" aca="1" ref="AE363" ca="1">SQRT(MMULT(MMULT(AG363:AK363,var_covar),TRANSPOSE(AG363:AK363)))</f>
        <v>0.39680547868200555</v>
      </c>
      <c r="AF363" s="22">
        <f t="shared" ca="1" si="27"/>
        <v>7.59606095853642E-2</v>
      </c>
      <c r="AG363">
        <f ca="1"/>
        <v>-2.5210140105236176</v>
      </c>
      <c r="AH363">
        <f ca="1"/>
        <v>1.0317608214833711</v>
      </c>
      <c r="AI363">
        <f ca="1"/>
        <v>-0.91545582803850967</v>
      </c>
      <c r="AJ363">
        <f ca="1"/>
        <v>1.6705809753911816</v>
      </c>
      <c r="AK363">
        <f ca="1"/>
        <v>1.7341280416875746</v>
      </c>
      <c r="AN363" s="9">
        <v>0.1946631982710173</v>
      </c>
      <c r="AO363" s="9">
        <v>3.1180410986525266E-2</v>
      </c>
    </row>
    <row r="364" spans="28:41" x14ac:dyDescent="0.2">
      <c r="AB364" s="9"/>
      <c r="AC364" s="20"/>
      <c r="AE364" s="22" cm="1">
        <f t="array" aca="1" ref="AE364" ca="1">SQRT(MMULT(MMULT(AG364:AK364,var_covar),TRANSPOSE(AG364:AK364)))</f>
        <v>0.13685805688021355</v>
      </c>
      <c r="AF364" s="22">
        <f t="shared" ca="1" si="27"/>
        <v>5.091131514579128E-3</v>
      </c>
      <c r="AG364">
        <f ca="1"/>
        <v>0.93839535802037566</v>
      </c>
      <c r="AH364">
        <f ca="1"/>
        <v>0.28323689124101858</v>
      </c>
      <c r="AI364">
        <f ca="1"/>
        <v>0.92621205339552892</v>
      </c>
      <c r="AJ364">
        <f ca="1"/>
        <v>-0.90749380426683535</v>
      </c>
      <c r="AK364">
        <f ca="1"/>
        <v>-0.24035049839008768</v>
      </c>
      <c r="AN364" s="9">
        <v>0.19410281349395428</v>
      </c>
      <c r="AO364" s="9">
        <v>8.9691159352162254E-3</v>
      </c>
    </row>
    <row r="365" spans="28:41" x14ac:dyDescent="0.2">
      <c r="AB365" s="9"/>
      <c r="AC365" s="20"/>
      <c r="AE365" s="22" cm="1">
        <f t="array" aca="1" ref="AE365" ca="1">SQRT(MMULT(MMULT(AG365:AK365,var_covar),TRANSPOSE(AG365:AK365)))</f>
        <v>0.14842880948774184</v>
      </c>
      <c r="AF365" s="22">
        <f t="shared" ca="1" si="27"/>
        <v>2.2165578507979525E-2</v>
      </c>
      <c r="AG365">
        <f ca="1"/>
        <v>0.35175720452073667</v>
      </c>
      <c r="AH365">
        <f ca="1"/>
        <v>0.88501561182762667</v>
      </c>
      <c r="AI365">
        <f ca="1"/>
        <v>0.36047613288962849</v>
      </c>
      <c r="AJ365">
        <f ca="1"/>
        <v>0.120661550299428</v>
      </c>
      <c r="AK365">
        <f ca="1"/>
        <v>-0.7179104995374197</v>
      </c>
      <c r="AN365" s="9">
        <v>0.19374319794456699</v>
      </c>
      <c r="AO365" s="9">
        <v>5.9576771790693019E-2</v>
      </c>
    </row>
    <row r="366" spans="28:41" x14ac:dyDescent="0.2">
      <c r="AB366" s="9"/>
      <c r="AC366" s="20"/>
      <c r="AE366" s="22" cm="1">
        <f t="array" aca="1" ref="AE366" ca="1">SQRT(MMULT(MMULT(AG366:AK366,var_covar),TRANSPOSE(AG366:AK366)))</f>
        <v>0.10012581147268187</v>
      </c>
      <c r="AF366" s="22">
        <f t="shared" ca="1" si="27"/>
        <v>2.8277523321679189E-2</v>
      </c>
      <c r="AG366">
        <f ca="1"/>
        <v>-8.4599930657296776E-3</v>
      </c>
      <c r="AH366">
        <f ca="1"/>
        <v>0.31488143627403475</v>
      </c>
      <c r="AI366">
        <f ca="1"/>
        <v>0.74844599859029615</v>
      </c>
      <c r="AJ366">
        <f ca="1"/>
        <v>2.0644155022293272E-2</v>
      </c>
      <c r="AK366">
        <f ca="1"/>
        <v>-7.5511596820894436E-2</v>
      </c>
      <c r="AN366" s="9">
        <v>0.1931576894784445</v>
      </c>
      <c r="AO366" s="9">
        <v>7.043122687265306E-2</v>
      </c>
    </row>
    <row r="367" spans="28:41" x14ac:dyDescent="0.2">
      <c r="AB367" s="9"/>
      <c r="AC367" s="20"/>
      <c r="AE367" s="22" cm="1">
        <f t="array" aca="1" ref="AE367" ca="1">SQRT(MMULT(MMULT(AG367:AK367,var_covar),TRANSPOSE(AG367:AK367)))</f>
        <v>0.33102743456688444</v>
      </c>
      <c r="AF367" s="22">
        <f t="shared" ca="1" si="27"/>
        <v>2.6352523593497421E-2</v>
      </c>
      <c r="AG367">
        <f ca="1"/>
        <v>0.32743570347140366</v>
      </c>
      <c r="AH367">
        <f ca="1"/>
        <v>0.27941770139054861</v>
      </c>
      <c r="AI367">
        <f ca="1"/>
        <v>-0.74862687224054314</v>
      </c>
      <c r="AJ367">
        <f ca="1"/>
        <v>-0.76016319426446444</v>
      </c>
      <c r="AK367">
        <f ca="1"/>
        <v>1.9019366616430551</v>
      </c>
      <c r="AN367" s="9">
        <v>0.1929689969870258</v>
      </c>
      <c r="AO367" s="9">
        <v>2.0853044312070249E-2</v>
      </c>
    </row>
    <row r="368" spans="28:41" x14ac:dyDescent="0.2">
      <c r="AB368" s="9"/>
      <c r="AC368" s="20"/>
      <c r="AE368" s="22" cm="1">
        <f t="array" aca="1" ref="AE368" ca="1">SQRT(MMULT(MMULT(AG368:AK368,var_covar),TRANSPOSE(AG368:AK368)))</f>
        <v>0.13534755059780254</v>
      </c>
      <c r="AF368" s="22">
        <f t="shared" ca="1" si="27"/>
        <v>4.7900130721352824E-2</v>
      </c>
      <c r="AG368">
        <f ca="1"/>
        <v>0.25740009093023558</v>
      </c>
      <c r="AH368">
        <f ca="1"/>
        <v>-0.57797949989739517</v>
      </c>
      <c r="AI368">
        <f ca="1"/>
        <v>0.69706517377287225</v>
      </c>
      <c r="AJ368">
        <f ca="1"/>
        <v>0.3900850579626578</v>
      </c>
      <c r="AK368">
        <f ca="1"/>
        <v>0.23342917723162943</v>
      </c>
      <c r="AN368" s="9">
        <v>0.19255649421337387</v>
      </c>
      <c r="AO368" s="9">
        <v>6.1430932178714787E-2</v>
      </c>
    </row>
    <row r="369" spans="28:41" x14ac:dyDescent="0.2">
      <c r="AB369" s="9"/>
      <c r="AC369" s="20"/>
      <c r="AE369" s="22" cm="1">
        <f t="array" aca="1" ref="AE369" ca="1">SQRT(MMULT(MMULT(AG369:AK369,var_covar),TRANSPOSE(AG369:AK369)))</f>
        <v>0.14237711612295456</v>
      </c>
      <c r="AF369" s="22">
        <f t="shared" ca="1" si="27"/>
        <v>3.6963145873213726E-2</v>
      </c>
      <c r="AG369">
        <f ca="1"/>
        <v>0.19537675793260431</v>
      </c>
      <c r="AH369">
        <f ca="1"/>
        <v>0.52433762797075656</v>
      </c>
      <c r="AI369">
        <f ca="1"/>
        <v>-0.50634960119161709</v>
      </c>
      <c r="AJ369">
        <f ca="1"/>
        <v>0.14178489236014605</v>
      </c>
      <c r="AK369">
        <f ca="1"/>
        <v>0.64485032292811018</v>
      </c>
      <c r="AN369" s="9">
        <v>0.19194157179087415</v>
      </c>
      <c r="AO369" s="9">
        <v>5.730710314892367E-2</v>
      </c>
    </row>
    <row r="370" spans="28:41" x14ac:dyDescent="0.2">
      <c r="AB370" s="9"/>
      <c r="AC370" s="20"/>
      <c r="AE370" s="22" cm="1">
        <f t="array" aca="1" ref="AE370" ca="1">SQRT(MMULT(MMULT(AG370:AK370,var_covar),TRANSPOSE(AG370:AK370)))</f>
        <v>0.12799393295487085</v>
      </c>
      <c r="AF370" s="22">
        <f t="shared" ca="1" si="27"/>
        <v>3.8710005658960288E-2</v>
      </c>
      <c r="AG370">
        <f ca="1"/>
        <v>-0.55984067850133334</v>
      </c>
      <c r="AH370">
        <f ca="1"/>
        <v>0.54440294151027224</v>
      </c>
      <c r="AI370">
        <f ca="1"/>
        <v>0.53970434386030142</v>
      </c>
      <c r="AJ370">
        <f ca="1"/>
        <v>0.52549895100381849</v>
      </c>
      <c r="AK370">
        <f ca="1"/>
        <v>-4.9765557873058586E-2</v>
      </c>
      <c r="AN370" s="9">
        <v>0.19189140260393733</v>
      </c>
      <c r="AO370" s="9">
        <v>2.5936463343687426E-2</v>
      </c>
    </row>
    <row r="371" spans="28:41" x14ac:dyDescent="0.2">
      <c r="AB371" s="9"/>
      <c r="AC371" s="20"/>
      <c r="AE371" s="22" cm="1">
        <f t="array" aca="1" ref="AE371" ca="1">SQRT(MMULT(MMULT(AG371:AK371,var_covar),TRANSPOSE(AG371:AK371)))</f>
        <v>8.8966404426753826E-2</v>
      </c>
      <c r="AF371" s="22">
        <f t="shared" ca="1" si="27"/>
        <v>1.7788740215507432E-2</v>
      </c>
      <c r="AG371">
        <f ca="1"/>
        <v>0.53628961929433039</v>
      </c>
      <c r="AH371">
        <f ca="1"/>
        <v>0.70342255154144562</v>
      </c>
      <c r="AI371">
        <f ca="1"/>
        <v>0.19266114559464367</v>
      </c>
      <c r="AJ371">
        <f ca="1"/>
        <v>-0.31380105609034048</v>
      </c>
      <c r="AK371">
        <f ca="1"/>
        <v>-0.1185722603400791</v>
      </c>
      <c r="AN371" s="9">
        <v>0.19162026858324827</v>
      </c>
      <c r="AO371" s="9">
        <v>6.7057460465056548E-2</v>
      </c>
    </row>
    <row r="372" spans="28:41" x14ac:dyDescent="0.2">
      <c r="AB372" s="9"/>
      <c r="AC372" s="20"/>
      <c r="AE372" s="22" cm="1">
        <f t="array" aca="1" ref="AE372" ca="1">SQRT(MMULT(MMULT(AG372:AK372,var_covar),TRANSPOSE(AG372:AK372)))</f>
        <v>0.11063910912159236</v>
      </c>
      <c r="AF372" s="22">
        <f t="shared" ca="1" si="27"/>
        <v>2.1049379865769616E-2</v>
      </c>
      <c r="AG372">
        <f ca="1"/>
        <v>-7.5666942457234251E-2</v>
      </c>
      <c r="AH372">
        <f ca="1"/>
        <v>0.7356410473089583</v>
      </c>
      <c r="AI372">
        <f ca="1"/>
        <v>0.22445066949976999</v>
      </c>
      <c r="AJ372">
        <f ca="1"/>
        <v>-0.29532259910550818</v>
      </c>
      <c r="AK372">
        <f ca="1"/>
        <v>0.4108978247540141</v>
      </c>
      <c r="AN372" s="9">
        <v>0.19071937859623905</v>
      </c>
      <c r="AO372" s="9">
        <v>6.240924018738566E-2</v>
      </c>
    </row>
    <row r="373" spans="28:41" x14ac:dyDescent="0.2">
      <c r="AB373" s="9"/>
      <c r="AC373" s="20"/>
      <c r="AE373" s="22" cm="1">
        <f t="array" aca="1" ref="AE373" ca="1">SQRT(MMULT(MMULT(AG373:AK373,var_covar),TRANSPOSE(AG373:AK373)))</f>
        <v>9.2726294079339508E-2</v>
      </c>
      <c r="AF373" s="22">
        <f t="shared" ca="1" si="27"/>
        <v>3.8969619032048652E-2</v>
      </c>
      <c r="AG373">
        <f ca="1"/>
        <v>0.19518869248025816</v>
      </c>
      <c r="AH373">
        <f ca="1"/>
        <v>0.12655698421622288</v>
      </c>
      <c r="AI373">
        <f ca="1"/>
        <v>0.18487612188291278</v>
      </c>
      <c r="AJ373">
        <f ca="1"/>
        <v>0.24303370441813993</v>
      </c>
      <c r="AK373">
        <f ca="1"/>
        <v>0.2503444970024663</v>
      </c>
      <c r="AN373" s="9">
        <v>0.19034719017166429</v>
      </c>
      <c r="AO373" s="9">
        <v>7.4945303399764157E-2</v>
      </c>
    </row>
    <row r="374" spans="28:41" x14ac:dyDescent="0.2">
      <c r="AB374" s="9"/>
      <c r="AC374" s="20"/>
      <c r="AE374" s="22" cm="1">
        <f t="array" aca="1" ref="AE374" ca="1">SQRT(MMULT(MMULT(AG374:AK374,var_covar),TRANSPOSE(AG374:AK374)))</f>
        <v>0.14759491956051779</v>
      </c>
      <c r="AF374" s="22">
        <f t="shared" ca="1" si="27"/>
        <v>7.6328685076025912E-3</v>
      </c>
      <c r="AG374">
        <f ca="1"/>
        <v>-0.54815630714207186</v>
      </c>
      <c r="AH374">
        <f ca="1"/>
        <v>1.326343117847534</v>
      </c>
      <c r="AI374">
        <f ca="1"/>
        <v>0.81055280888735293</v>
      </c>
      <c r="AJ374">
        <f ca="1"/>
        <v>-0.38855278753424177</v>
      </c>
      <c r="AK374">
        <f ca="1"/>
        <v>-0.20018683205857346</v>
      </c>
      <c r="AN374" s="9">
        <v>0.18953091972443814</v>
      </c>
      <c r="AO374" s="9">
        <v>4.4518926755932831E-2</v>
      </c>
    </row>
    <row r="375" spans="28:41" x14ac:dyDescent="0.2">
      <c r="AB375" s="9"/>
      <c r="AC375" s="20"/>
      <c r="AE375" s="22" cm="1">
        <f t="array" aca="1" ref="AE375" ca="1">SQRT(MMULT(MMULT(AG375:AK375,var_covar),TRANSPOSE(AG375:AK375)))</f>
        <v>0.12459707210958708</v>
      </c>
      <c r="AF375" s="22">
        <f t="shared" ca="1" si="27"/>
        <v>5.201617515595032E-2</v>
      </c>
      <c r="AG375">
        <f ca="1"/>
        <v>0.24162672026406998</v>
      </c>
      <c r="AH375">
        <f ca="1"/>
        <v>-0.21764088847067697</v>
      </c>
      <c r="AI375">
        <f ca="1"/>
        <v>0.33286043843924223</v>
      </c>
      <c r="AJ375">
        <f ca="1"/>
        <v>0.76216301904468453</v>
      </c>
      <c r="AK375">
        <f ca="1"/>
        <v>-0.11900928927731994</v>
      </c>
      <c r="AN375" s="9">
        <v>0.18933895644528595</v>
      </c>
      <c r="AO375" s="9">
        <v>6.0303822651907632E-2</v>
      </c>
    </row>
    <row r="376" spans="28:41" x14ac:dyDescent="0.2">
      <c r="AB376" s="9"/>
      <c r="AC376" s="20"/>
      <c r="AE376" s="22" cm="1">
        <f t="array" aca="1" ref="AE376" ca="1">SQRT(MMULT(MMULT(AG376:AK376,var_covar),TRANSPOSE(AG376:AK376)))</f>
        <v>0.24628702537956546</v>
      </c>
      <c r="AF376" s="22">
        <f t="shared" ca="1" si="27"/>
        <v>4.076413227461461E-2</v>
      </c>
      <c r="AG376">
        <f ca="1"/>
        <v>1.8346072465952028</v>
      </c>
      <c r="AH376">
        <f ca="1"/>
        <v>-0.17894352383138148</v>
      </c>
      <c r="AI376">
        <f ca="1"/>
        <v>1.7171768961094097E-2</v>
      </c>
      <c r="AJ376">
        <f ca="1"/>
        <v>0.55085098081279471</v>
      </c>
      <c r="AK376">
        <f ca="1"/>
        <v>-1.2236864725377099</v>
      </c>
      <c r="AN376" s="9">
        <v>0.18875097942673366</v>
      </c>
      <c r="AO376" s="9">
        <v>3.8614422733690902E-2</v>
      </c>
    </row>
    <row r="377" spans="28:41" x14ac:dyDescent="0.2">
      <c r="AB377" s="9"/>
      <c r="AC377" s="20"/>
      <c r="AE377" s="22" cm="1">
        <f t="array" aca="1" ref="AE377" ca="1">SQRT(MMULT(MMULT(AG377:AK377,var_covar),TRANSPOSE(AG377:AK377)))</f>
        <v>0.37379895214367193</v>
      </c>
      <c r="AF377" s="22">
        <f t="shared" ca="1" si="27"/>
        <v>6.4599171966061228E-2</v>
      </c>
      <c r="AG377">
        <f ca="1"/>
        <v>-2.8118988469726651</v>
      </c>
      <c r="AH377">
        <f ca="1"/>
        <v>-0.15997409757962841</v>
      </c>
      <c r="AI377">
        <f ca="1"/>
        <v>1.9952775812664434</v>
      </c>
      <c r="AJ377">
        <f ca="1"/>
        <v>1.3102172687281461</v>
      </c>
      <c r="AK377">
        <f ca="1"/>
        <v>0.66637809455770369</v>
      </c>
      <c r="AN377" s="9">
        <v>0.1885886644261216</v>
      </c>
      <c r="AO377" s="9">
        <v>4.093095724312866E-2</v>
      </c>
    </row>
    <row r="378" spans="28:41" x14ac:dyDescent="0.2">
      <c r="AB378" s="9"/>
      <c r="AC378" s="20"/>
      <c r="AE378" s="22" cm="1">
        <f t="array" aca="1" ref="AE378" ca="1">SQRT(MMULT(MMULT(AG378:AK378,var_covar),TRANSPOSE(AG378:AK378)))</f>
        <v>0.27827033440665394</v>
      </c>
      <c r="AF378" s="22">
        <f t="shared" ca="1" si="27"/>
        <v>4.6548111599985544E-2</v>
      </c>
      <c r="AG378">
        <f ca="1"/>
        <v>0.81385535787849173</v>
      </c>
      <c r="AH378">
        <f ca="1"/>
        <v>-1.3540285894077564</v>
      </c>
      <c r="AI378">
        <f ca="1"/>
        <v>1.9619970461103877</v>
      </c>
      <c r="AJ378">
        <f ca="1"/>
        <v>0.43919736377449908</v>
      </c>
      <c r="AK378">
        <f ca="1"/>
        <v>-0.86102117835562209</v>
      </c>
      <c r="AN378" s="9">
        <v>0.18771306912568164</v>
      </c>
      <c r="AO378" s="9">
        <v>3.7516838204646338E-2</v>
      </c>
    </row>
    <row r="379" spans="28:41" x14ac:dyDescent="0.2">
      <c r="AB379" s="9"/>
      <c r="AC379" s="20"/>
      <c r="AE379" s="22" cm="1">
        <f t="array" aca="1" ref="AE379" ca="1">SQRT(MMULT(MMULT(AG379:AK379,var_covar),TRANSPOSE(AG379:AK379)))</f>
        <v>7.9864435263934219E-2</v>
      </c>
      <c r="AF379" s="22">
        <f t="shared" ca="1" si="27"/>
        <v>2.3925667752577793E-2</v>
      </c>
      <c r="AG379">
        <f ca="1"/>
        <v>0.24521458359466425</v>
      </c>
      <c r="AH379">
        <f ca="1"/>
        <v>0.57550689379035591</v>
      </c>
      <c r="AI379">
        <f ca="1"/>
        <v>0.31504477906014383</v>
      </c>
      <c r="AJ379">
        <f ca="1"/>
        <v>-0.12053021368548937</v>
      </c>
      <c r="AK379">
        <f ca="1"/>
        <v>-1.523604275967453E-2</v>
      </c>
      <c r="AN379" s="9">
        <v>0.18770305978643637</v>
      </c>
      <c r="AO379" s="9">
        <v>3.520838607569516E-2</v>
      </c>
    </row>
    <row r="380" spans="28:41" x14ac:dyDescent="0.2">
      <c r="AB380" s="9"/>
      <c r="AC380" s="20"/>
      <c r="AE380" s="22" cm="1">
        <f t="array" aca="1" ref="AE380" ca="1">SQRT(MMULT(MMULT(AG380:AK380,var_covar),TRANSPOSE(AG380:AK380)))</f>
        <v>0.41871170852821887</v>
      </c>
      <c r="AF380" s="22">
        <f t="shared" ca="1" si="27"/>
        <v>-1.9084775159406202E-2</v>
      </c>
      <c r="AG380">
        <f ca="1"/>
        <v>4.5204250181154899</v>
      </c>
      <c r="AH380">
        <f ca="1"/>
        <v>-1.0855035512391884</v>
      </c>
      <c r="AI380">
        <f ca="1"/>
        <v>0.64997874872440009</v>
      </c>
      <c r="AJ380">
        <f ca="1"/>
        <v>-2.4230413426077706</v>
      </c>
      <c r="AK380">
        <f ca="1"/>
        <v>-0.66185887299293111</v>
      </c>
      <c r="AN380" s="9">
        <v>0.18673351853533746</v>
      </c>
      <c r="AO380" s="9">
        <v>2.6917827895674491E-2</v>
      </c>
    </row>
    <row r="381" spans="28:41" x14ac:dyDescent="0.2">
      <c r="AB381" s="9"/>
      <c r="AC381" s="20"/>
      <c r="AE381" s="22" cm="1">
        <f t="array" aca="1" ref="AE381" ca="1">SQRT(MMULT(MMULT(AG381:AK381,var_covar),TRANSPOSE(AG381:AK381)))</f>
        <v>0.96017272144106636</v>
      </c>
      <c r="AF381" s="22">
        <f t="shared" ca="1" si="27"/>
        <v>0.14906883625330394</v>
      </c>
      <c r="AG381">
        <f ca="1"/>
        <v>6.0029901152006611</v>
      </c>
      <c r="AH381">
        <f ca="1"/>
        <v>-8.3524927270155818</v>
      </c>
      <c r="AI381">
        <f ca="1"/>
        <v>3.2327763159494238</v>
      </c>
      <c r="AJ381">
        <f ca="1"/>
        <v>2.3422191735456281</v>
      </c>
      <c r="AK381">
        <f ca="1"/>
        <v>-2.2254928776801304</v>
      </c>
      <c r="AN381" s="9">
        <v>0.18650160532502205</v>
      </c>
      <c r="AO381" s="9">
        <v>5.249037891105679E-2</v>
      </c>
    </row>
    <row r="382" spans="28:41" x14ac:dyDescent="0.2">
      <c r="AB382" s="9"/>
      <c r="AC382" s="20"/>
      <c r="AE382" s="22" cm="1">
        <f t="array" aca="1" ref="AE382" ca="1">SQRT(MMULT(MMULT(AG382:AK382,var_covar),TRANSPOSE(AG382:AK382)))</f>
        <v>0.15607221698033197</v>
      </c>
      <c r="AF382" s="22">
        <f t="shared" ca="1" si="27"/>
        <v>5.2360256049967066E-2</v>
      </c>
      <c r="AG382">
        <f ca="1"/>
        <v>1.3095043833843691</v>
      </c>
      <c r="AH382">
        <f ca="1"/>
        <v>-0.73312739366386004</v>
      </c>
      <c r="AI382">
        <f ca="1"/>
        <v>0.15732098561553501</v>
      </c>
      <c r="AJ382">
        <f ca="1"/>
        <v>0.59466808361235668</v>
      </c>
      <c r="AK382">
        <f ca="1"/>
        <v>-0.3283660589484006</v>
      </c>
      <c r="AN382" s="9">
        <v>0.18635254482486491</v>
      </c>
      <c r="AO382" s="9">
        <v>2.4036953569400554E-2</v>
      </c>
    </row>
    <row r="383" spans="28:41" x14ac:dyDescent="0.2">
      <c r="AB383" s="9"/>
      <c r="AC383" s="20"/>
      <c r="AE383" s="22" cm="1">
        <f t="array" aca="1" ref="AE383" ca="1">SQRT(MMULT(MMULT(AG383:AK383,var_covar),TRANSPOSE(AG383:AK383)))</f>
        <v>0.11181729391685821</v>
      </c>
      <c r="AF383" s="22">
        <f t="shared" ca="1" si="27"/>
        <v>4.3997698860067561E-2</v>
      </c>
      <c r="AG383">
        <f ca="1"/>
        <v>0.12653669654185892</v>
      </c>
      <c r="AH383">
        <f ca="1"/>
        <v>0.19399148338493238</v>
      </c>
      <c r="AI383">
        <f ca="1"/>
        <v>-0.12855912796976363</v>
      </c>
      <c r="AJ383">
        <f ca="1"/>
        <v>0.40798822729574119</v>
      </c>
      <c r="AK383">
        <f ca="1"/>
        <v>0.40004272074723102</v>
      </c>
      <c r="AN383" s="9">
        <v>0.18617104941058149</v>
      </c>
      <c r="AO383" s="9">
        <v>-2.9765364448561954E-3</v>
      </c>
    </row>
    <row r="384" spans="28:41" x14ac:dyDescent="0.2">
      <c r="AB384" s="9"/>
      <c r="AC384" s="20"/>
      <c r="AE384" s="22" cm="1">
        <f t="array" aca="1" ref="AE384" ca="1">SQRT(MMULT(MMULT(AG384:AK384,var_covar),TRANSPOSE(AG384:AK384)))</f>
        <v>9.2846522181857336E-2</v>
      </c>
      <c r="AF384" s="22">
        <f t="shared" ca="1" si="27"/>
        <v>3.2186031383230833E-2</v>
      </c>
      <c r="AG384">
        <f ca="1"/>
        <v>0.3378675640365586</v>
      </c>
      <c r="AH384">
        <f ca="1"/>
        <v>0.14247416663711357</v>
      </c>
      <c r="AI384">
        <f ca="1"/>
        <v>0.24303793012476996</v>
      </c>
      <c r="AJ384">
        <f ca="1"/>
        <v>-4.9080924486034648E-2</v>
      </c>
      <c r="AK384">
        <f ca="1"/>
        <v>0.32570126368759256</v>
      </c>
      <c r="AN384" s="9">
        <v>0.18564622262590796</v>
      </c>
      <c r="AO384" s="9">
        <v>6.4517583274806764E-2</v>
      </c>
    </row>
    <row r="385" spans="28:41" x14ac:dyDescent="0.2">
      <c r="AB385" s="9"/>
      <c r="AC385" s="20"/>
      <c r="AE385" s="22" cm="1">
        <f t="array" aca="1" ref="AE385" ca="1">SQRT(MMULT(MMULT(AG385:AK385,var_covar),TRANSPOSE(AG385:AK385)))</f>
        <v>0.17717296397207663</v>
      </c>
      <c r="AF385" s="22">
        <f t="shared" ca="1" si="27"/>
        <v>4.391351387937624E-2</v>
      </c>
      <c r="AG385">
        <f ca="1"/>
        <v>-0.68785944955020983</v>
      </c>
      <c r="AH385">
        <f ca="1"/>
        <v>0.4014570554405818</v>
      </c>
      <c r="AI385">
        <f ca="1"/>
        <v>3.7084995880527528E-2</v>
      </c>
      <c r="AJ385">
        <f ca="1"/>
        <v>0.39313029115058135</v>
      </c>
      <c r="AK385">
        <f ca="1"/>
        <v>0.85618710707851919</v>
      </c>
      <c r="AN385" s="9">
        <v>0.18551540536694128</v>
      </c>
      <c r="AO385" s="9">
        <v>6.7320300327209717E-2</v>
      </c>
    </row>
    <row r="386" spans="28:41" x14ac:dyDescent="0.2">
      <c r="AB386" s="9"/>
      <c r="AC386" s="20"/>
      <c r="AE386" s="22" cm="1">
        <f t="array" aca="1" ref="AE386" ca="1">SQRT(MMULT(MMULT(AG386:AK386,var_covar),TRANSPOSE(AG386:AK386)))</f>
        <v>0.1361016488211356</v>
      </c>
      <c r="AF386" s="22">
        <f t="shared" ca="1" si="27"/>
        <v>5.6407078576343084E-2</v>
      </c>
      <c r="AG386">
        <f ca="1"/>
        <v>0.4943053168709336</v>
      </c>
      <c r="AH386">
        <f ca="1"/>
        <v>-0.63268595042219378</v>
      </c>
      <c r="AI386">
        <f ca="1"/>
        <v>0.28264389036512777</v>
      </c>
      <c r="AJ386">
        <f ca="1"/>
        <v>0.69659131117928152</v>
      </c>
      <c r="AK386">
        <f ca="1"/>
        <v>0.15914543200685091</v>
      </c>
      <c r="AN386" s="9">
        <v>0.18489245114337743</v>
      </c>
      <c r="AO386" s="9">
        <v>7.4573393013974545E-2</v>
      </c>
    </row>
    <row r="387" spans="28:41" x14ac:dyDescent="0.2">
      <c r="AB387" s="9"/>
      <c r="AC387" s="20"/>
      <c r="AE387" s="22" cm="1">
        <f t="array" aca="1" ref="AE387" ca="1">SQRT(MMULT(MMULT(AG387:AK387,var_covar),TRANSPOSE(AG387:AK387)))</f>
        <v>0.42125939292251474</v>
      </c>
      <c r="AF387" s="22">
        <f t="shared" ca="1" si="27"/>
        <v>3.5719275295444851E-2</v>
      </c>
      <c r="AG387">
        <f ca="1"/>
        <v>2.6947765100053229</v>
      </c>
      <c r="AH387">
        <f ca="1"/>
        <v>-0.29973767341374397</v>
      </c>
      <c r="AI387">
        <f ca="1"/>
        <v>-2.3168827428276417</v>
      </c>
      <c r="AJ387">
        <f ca="1"/>
        <v>-0.72551180673394156</v>
      </c>
      <c r="AK387">
        <f ca="1"/>
        <v>1.6473557129700045</v>
      </c>
      <c r="AN387" s="9">
        <v>0.18453289087012908</v>
      </c>
      <c r="AO387" s="9">
        <v>3.2145902409491077E-2</v>
      </c>
    </row>
    <row r="388" spans="28:41" x14ac:dyDescent="0.2">
      <c r="AB388" s="9"/>
      <c r="AC388" s="20"/>
      <c r="AE388" s="22" cm="1">
        <f t="array" aca="1" ref="AE388" ca="1">SQRT(MMULT(MMULT(AG388:AK388,var_covar),TRANSPOSE(AG388:AK388)))</f>
        <v>0.14421897926944827</v>
      </c>
      <c r="AF388" s="22">
        <f t="shared" ref="AF388:AF451" ca="1" si="28">SUMPRODUCT(AG388:AK388,$S$2:$W$2)</f>
        <v>3.6520581295365055E-2</v>
      </c>
      <c r="AG388">
        <f ca="1"/>
        <v>-2.4681063555490001E-2</v>
      </c>
      <c r="AH388">
        <f ca="1"/>
        <v>0.11639716470937531</v>
      </c>
      <c r="AI388">
        <f ca="1"/>
        <v>0.15491882022537865</v>
      </c>
      <c r="AJ388">
        <f ca="1"/>
        <v>3.3397918835604726E-3</v>
      </c>
      <c r="AK388">
        <f ca="1"/>
        <v>0.75002528673717561</v>
      </c>
      <c r="AN388" s="9">
        <v>0.1842725994400867</v>
      </c>
      <c r="AO388" s="9">
        <v>4.6850642534076455E-2</v>
      </c>
    </row>
    <row r="389" spans="28:41" x14ac:dyDescent="0.2">
      <c r="AB389" s="9"/>
      <c r="AC389" s="20"/>
      <c r="AE389" s="22" cm="1">
        <f t="array" aca="1" ref="AE389" ca="1">SQRT(MMULT(MMULT(AG389:AK389,var_covar),TRANSPOSE(AG389:AK389)))</f>
        <v>0.10718721261737411</v>
      </c>
      <c r="AF389" s="22">
        <f t="shared" ca="1" si="28"/>
        <v>2.8160374983132161E-2</v>
      </c>
      <c r="AG389">
        <f ca="1"/>
        <v>0.71477194281562939</v>
      </c>
      <c r="AH389">
        <f ca="1"/>
        <v>0.71673901364693893</v>
      </c>
      <c r="AI389">
        <f ca="1"/>
        <v>-0.40758539447084158</v>
      </c>
      <c r="AJ389">
        <f ca="1"/>
        <v>4.6430335113211291E-2</v>
      </c>
      <c r="AK389">
        <f ca="1"/>
        <v>-7.0355897104938059E-2</v>
      </c>
      <c r="AN389" s="9">
        <v>0.18390684798729753</v>
      </c>
      <c r="AO389" s="9">
        <v>3.1593460108232885E-2</v>
      </c>
    </row>
    <row r="390" spans="28:41" x14ac:dyDescent="0.2">
      <c r="AB390" s="9"/>
      <c r="AC390" s="20"/>
      <c r="AE390" s="22" cm="1">
        <f t="array" aca="1" ref="AE390" ca="1">SQRT(MMULT(MMULT(AG390:AK390,var_covar),TRANSPOSE(AG390:AK390)))</f>
        <v>9.727118725814668E-2</v>
      </c>
      <c r="AF390" s="22">
        <f t="shared" ca="1" si="28"/>
        <v>3.7743576806117181E-2</v>
      </c>
      <c r="AG390">
        <f ca="1"/>
        <v>0.22940827828350818</v>
      </c>
      <c r="AH390">
        <f ca="1"/>
        <v>4.3277634923674903E-2</v>
      </c>
      <c r="AI390">
        <f ca="1"/>
        <v>0.53669894660047479</v>
      </c>
      <c r="AJ390">
        <f ca="1"/>
        <v>0.28712024099349043</v>
      </c>
      <c r="AK390">
        <f ca="1"/>
        <v>-9.6505100801148089E-2</v>
      </c>
      <c r="AN390" s="9">
        <v>0.18270785087444372</v>
      </c>
      <c r="AO390" s="9">
        <v>4.3160050862710922E-2</v>
      </c>
    </row>
    <row r="391" spans="28:41" x14ac:dyDescent="0.2">
      <c r="AB391" s="9"/>
      <c r="AC391" s="20"/>
      <c r="AE391" s="22" cm="1">
        <f t="array" aca="1" ref="AE391" ca="1">SQRT(MMULT(MMULT(AG391:AK391,var_covar),TRANSPOSE(AG391:AK391)))</f>
        <v>9.2710392586332943E-2</v>
      </c>
      <c r="AF391" s="22">
        <f t="shared" ca="1" si="28"/>
        <v>1.7868471066746681E-2</v>
      </c>
      <c r="AG391">
        <f ca="1"/>
        <v>0.17490395001613754</v>
      </c>
      <c r="AH391">
        <f ca="1"/>
        <v>0.85402303164827487</v>
      </c>
      <c r="AI391">
        <f ca="1"/>
        <v>0.33034826007199108</v>
      </c>
      <c r="AJ391">
        <f ca="1"/>
        <v>-0.22813815615349553</v>
      </c>
      <c r="AK391">
        <f ca="1"/>
        <v>-0.13113708558290807</v>
      </c>
      <c r="AN391" s="9">
        <v>0.18219812437361518</v>
      </c>
      <c r="AO391" s="9">
        <v>1.3085242028747654E-2</v>
      </c>
    </row>
    <row r="392" spans="28:41" x14ac:dyDescent="0.2">
      <c r="AB392" s="9"/>
      <c r="AC392" s="20"/>
      <c r="AE392" s="22" cm="1">
        <f t="array" aca="1" ref="AE392" ca="1">SQRT(MMULT(MMULT(AG392:AK392,var_covar),TRANSPOSE(AG392:AK392)))</f>
        <v>0.1195799728679388</v>
      </c>
      <c r="AF392" s="22">
        <f t="shared" ca="1" si="28"/>
        <v>2.9223817124552964E-2</v>
      </c>
      <c r="AG392">
        <f ca="1"/>
        <v>-0.31331706289191746</v>
      </c>
      <c r="AH392">
        <f ca="1"/>
        <v>0.84582511319002229</v>
      </c>
      <c r="AI392">
        <f ca="1"/>
        <v>0.44139526982748589</v>
      </c>
      <c r="AJ392">
        <f ca="1"/>
        <v>0.2963695060198665</v>
      </c>
      <c r="AK392">
        <f ca="1"/>
        <v>-0.27027282614545722</v>
      </c>
      <c r="AN392" s="9">
        <v>0.18204717488697469</v>
      </c>
      <c r="AO392" s="9">
        <v>5.272985186811692E-2</v>
      </c>
    </row>
    <row r="393" spans="28:41" x14ac:dyDescent="0.2">
      <c r="AB393" s="9"/>
      <c r="AC393" s="20"/>
      <c r="AE393" s="22" cm="1">
        <f t="array" aca="1" ref="AE393" ca="1">SQRT(MMULT(MMULT(AG393:AK393,var_covar),TRANSPOSE(AG393:AK393)))</f>
        <v>9.859287784928969E-2</v>
      </c>
      <c r="AF393" s="22">
        <f t="shared" ca="1" si="28"/>
        <v>1.2184405155894671E-2</v>
      </c>
      <c r="AG393">
        <f ca="1"/>
        <v>0.22260815842673173</v>
      </c>
      <c r="AH393">
        <f ca="1"/>
        <v>0.74892596867277483</v>
      </c>
      <c r="AI393">
        <f ca="1"/>
        <v>0.56994572840272339</v>
      </c>
      <c r="AJ393">
        <f ca="1"/>
        <v>-0.50912287167651216</v>
      </c>
      <c r="AK393">
        <f ca="1"/>
        <v>-3.2356983825717944E-2</v>
      </c>
      <c r="AN393" s="9">
        <v>0.1818671702555465</v>
      </c>
      <c r="AO393" s="9">
        <v>3.3610738989778337E-2</v>
      </c>
    </row>
    <row r="394" spans="28:41" x14ac:dyDescent="0.2">
      <c r="AB394" s="9"/>
      <c r="AC394" s="20"/>
      <c r="AE394" s="22" cm="1">
        <f t="array" aca="1" ref="AE394" ca="1">SQRT(MMULT(MMULT(AG394:AK394,var_covar),TRANSPOSE(AG394:AK394)))</f>
        <v>0.13495421737740976</v>
      </c>
      <c r="AF394" s="22">
        <f t="shared" ca="1" si="28"/>
        <v>4.1141258047282657E-2</v>
      </c>
      <c r="AG394">
        <f ca="1"/>
        <v>1.36337580139042</v>
      </c>
      <c r="AH394">
        <f ca="1"/>
        <v>-2.4188121948754474E-2</v>
      </c>
      <c r="AI394">
        <f ca="1"/>
        <v>-0.45294022300959474</v>
      </c>
      <c r="AJ394">
        <f ca="1"/>
        <v>0.31233724860932816</v>
      </c>
      <c r="AK394">
        <f ca="1"/>
        <v>-0.19858470504139883</v>
      </c>
      <c r="AN394" s="9">
        <v>0.18184188185837405</v>
      </c>
      <c r="AO394" s="9">
        <v>5.7316182615648116E-2</v>
      </c>
    </row>
    <row r="395" spans="28:41" x14ac:dyDescent="0.2">
      <c r="AB395" s="9"/>
      <c r="AC395" s="20"/>
      <c r="AE395" s="22" cm="1">
        <f t="array" aca="1" ref="AE395" ca="1">SQRT(MMULT(MMULT(AG395:AK395,var_covar),TRANSPOSE(AG395:AK395)))</f>
        <v>0.21737826505623128</v>
      </c>
      <c r="AF395" s="22">
        <f t="shared" ca="1" si="28"/>
        <v>5.2123663515297056E-2</v>
      </c>
      <c r="AG395">
        <f ca="1"/>
        <v>-0.37844792039996333</v>
      </c>
      <c r="AH395">
        <f ca="1"/>
        <v>-0.94972087830082286</v>
      </c>
      <c r="AI395">
        <f ca="1"/>
        <v>1.5085169723464338</v>
      </c>
      <c r="AJ395">
        <f ca="1"/>
        <v>0.4813296068372438</v>
      </c>
      <c r="AK395">
        <f ca="1"/>
        <v>0.33832221951710884</v>
      </c>
      <c r="AN395" s="9">
        <v>0.18051665958088184</v>
      </c>
      <c r="AO395" s="9">
        <v>6.8102204970931723E-2</v>
      </c>
    </row>
    <row r="396" spans="28:41" x14ac:dyDescent="0.2">
      <c r="AB396" s="9"/>
      <c r="AC396" s="20"/>
      <c r="AE396" s="22" cm="1">
        <f t="array" aca="1" ref="AE396" ca="1">SQRT(MMULT(MMULT(AG396:AK396,var_covar),TRANSPOSE(AG396:AK396)))</f>
        <v>9.4585845725059611E-2</v>
      </c>
      <c r="AF396" s="22">
        <f t="shared" ca="1" si="28"/>
        <v>3.3266209740663313E-2</v>
      </c>
      <c r="AG396">
        <f ca="1"/>
        <v>0.3074414482773527</v>
      </c>
      <c r="AH396">
        <f ca="1"/>
        <v>0.53270026138493609</v>
      </c>
      <c r="AI396">
        <f ca="1"/>
        <v>-0.20885797630077038</v>
      </c>
      <c r="AJ396">
        <f ca="1"/>
        <v>0.12835033543183255</v>
      </c>
      <c r="AK396">
        <f ca="1"/>
        <v>0.24036593120664904</v>
      </c>
      <c r="AN396" s="9">
        <v>0.18045132073566544</v>
      </c>
      <c r="AO396" s="9">
        <v>1.9130597957009849E-2</v>
      </c>
    </row>
    <row r="397" spans="28:41" x14ac:dyDescent="0.2">
      <c r="AB397" s="9"/>
      <c r="AC397" s="20"/>
      <c r="AE397" s="22" cm="1">
        <f t="array" aca="1" ref="AE397" ca="1">SQRT(MMULT(MMULT(AG397:AK397,var_covar),TRANSPOSE(AG397:AK397)))</f>
        <v>0.25513041584217516</v>
      </c>
      <c r="AF397" s="22">
        <f t="shared" ca="1" si="28"/>
        <v>2.7079525547632002E-2</v>
      </c>
      <c r="AG397">
        <f ca="1"/>
        <v>-1.2319702425975501</v>
      </c>
      <c r="AH397">
        <f ca="1"/>
        <v>0.14671534197382688</v>
      </c>
      <c r="AI397">
        <f ca="1"/>
        <v>1.3234781205610604</v>
      </c>
      <c r="AJ397">
        <f ca="1"/>
        <v>-0.33408394508432315</v>
      </c>
      <c r="AK397">
        <f ca="1"/>
        <v>1.0958607251469861</v>
      </c>
      <c r="AN397" s="9">
        <v>0.1804025393258</v>
      </c>
      <c r="AO397" s="9">
        <v>4.111594990791291E-2</v>
      </c>
    </row>
    <row r="398" spans="28:41" x14ac:dyDescent="0.2">
      <c r="AB398" s="9"/>
      <c r="AC398" s="20"/>
      <c r="AE398" s="22" cm="1">
        <f t="array" aca="1" ref="AE398" ca="1">SQRT(MMULT(MMULT(AG398:AK398,var_covar),TRANSPOSE(AG398:AK398)))</f>
        <v>0.11808837186426784</v>
      </c>
      <c r="AF398" s="22">
        <f t="shared" ca="1" si="28"/>
        <v>5.2382012336410981E-2</v>
      </c>
      <c r="AG398">
        <f ca="1"/>
        <v>0.23177045113426406</v>
      </c>
      <c r="AH398">
        <f ca="1"/>
        <v>-0.23478440715526031</v>
      </c>
      <c r="AI398">
        <f ca="1"/>
        <v>0.15826148075740767</v>
      </c>
      <c r="AJ398">
        <f ca="1"/>
        <v>0.67582195271076495</v>
      </c>
      <c r="AK398">
        <f ca="1"/>
        <v>0.16893052255282354</v>
      </c>
      <c r="AN398" s="9">
        <v>0.18023796052054625</v>
      </c>
      <c r="AO398" s="9">
        <v>1.8487534985297711E-2</v>
      </c>
    </row>
    <row r="399" spans="28:41" x14ac:dyDescent="0.2">
      <c r="AB399" s="9"/>
      <c r="AC399" s="20"/>
      <c r="AE399" s="22" cm="1">
        <f t="array" aca="1" ref="AE399" ca="1">SQRT(MMULT(MMULT(AG399:AK399,var_covar),TRANSPOSE(AG399:AK399)))</f>
        <v>0.25544024252566261</v>
      </c>
      <c r="AF399" s="22">
        <f t="shared" ca="1" si="28"/>
        <v>5.7956407042147037E-2</v>
      </c>
      <c r="AG399">
        <f ca="1"/>
        <v>-0.29723620726689881</v>
      </c>
      <c r="AH399">
        <f ca="1"/>
        <v>0.1790336413479712</v>
      </c>
      <c r="AI399">
        <f ca="1"/>
        <v>0.70861832011561465</v>
      </c>
      <c r="AJ399">
        <f ca="1"/>
        <v>1.463094461832497</v>
      </c>
      <c r="AK399">
        <f ca="1"/>
        <v>-1.0535102160291843</v>
      </c>
      <c r="AN399" s="9">
        <v>0.17987113739147084</v>
      </c>
      <c r="AO399" s="9">
        <v>5.1719800671412089E-2</v>
      </c>
    </row>
    <row r="400" spans="28:41" x14ac:dyDescent="0.2">
      <c r="AB400" s="9"/>
      <c r="AC400" s="20"/>
      <c r="AE400" s="22" cm="1">
        <f t="array" aca="1" ref="AE400" ca="1">SQRT(MMULT(MMULT(AG400:AK400,var_covar),TRANSPOSE(AG400:AK400)))</f>
        <v>0.18306372036413723</v>
      </c>
      <c r="AF400" s="22">
        <f t="shared" ca="1" si="28"/>
        <v>2.416932444449062E-2</v>
      </c>
      <c r="AG400">
        <f ca="1"/>
        <v>1.5316673754135917</v>
      </c>
      <c r="AH400">
        <f ca="1"/>
        <v>0.65425907734173172</v>
      </c>
      <c r="AI400">
        <f ca="1"/>
        <v>-0.47215385738246712</v>
      </c>
      <c r="AJ400">
        <f ca="1"/>
        <v>1.3433739881349617E-2</v>
      </c>
      <c r="AK400">
        <f ca="1"/>
        <v>-0.72720633525420564</v>
      </c>
      <c r="AN400" s="9">
        <v>0.17964530713323706</v>
      </c>
      <c r="AO400" s="9">
        <v>1.8883014464613351E-2</v>
      </c>
    </row>
    <row r="401" spans="28:41" x14ac:dyDescent="0.2">
      <c r="AB401" s="9"/>
      <c r="AC401" s="20"/>
      <c r="AE401" s="22" cm="1">
        <f t="array" aca="1" ref="AE401" ca="1">SQRT(MMULT(MMULT(AG401:AK401,var_covar),TRANSPOSE(AG401:AK401)))</f>
        <v>9.6296496294859354E-2</v>
      </c>
      <c r="AF401" s="22">
        <f t="shared" ca="1" si="28"/>
        <v>3.8141106267197605E-2</v>
      </c>
      <c r="AG401">
        <f ca="1"/>
        <v>0.44461015509978741</v>
      </c>
      <c r="AH401">
        <f ca="1"/>
        <v>1.4808562483918165E-2</v>
      </c>
      <c r="AI401">
        <f ca="1"/>
        <v>8.9957895370501403E-2</v>
      </c>
      <c r="AJ401">
        <f ca="1"/>
        <v>0.13292745284955476</v>
      </c>
      <c r="AK401">
        <f ca="1"/>
        <v>0.31769593419623826</v>
      </c>
      <c r="AN401" s="9">
        <v>0.17955159421469619</v>
      </c>
      <c r="AO401" s="9">
        <v>6.3370683767838429E-2</v>
      </c>
    </row>
    <row r="402" spans="28:41" x14ac:dyDescent="0.2">
      <c r="AB402" s="9"/>
      <c r="AC402" s="20"/>
      <c r="AE402" s="22" cm="1">
        <f t="array" aca="1" ref="AE402" ca="1">SQRT(MMULT(MMULT(AG402:AK402,var_covar),TRANSPOSE(AG402:AK402)))</f>
        <v>0.64804333492470811</v>
      </c>
      <c r="AF402" s="22">
        <f t="shared" ca="1" si="28"/>
        <v>1.278784877396383E-2</v>
      </c>
      <c r="AG402">
        <f ca="1"/>
        <v>1.2816293949576409</v>
      </c>
      <c r="AH402">
        <f ca="1"/>
        <v>4.4132552892441712</v>
      </c>
      <c r="AI402">
        <f ca="1"/>
        <v>-5.245651723094455</v>
      </c>
      <c r="AJ402">
        <f ca="1"/>
        <v>0.28756738945771299</v>
      </c>
      <c r="AK402">
        <f ca="1"/>
        <v>0.26319964943492957</v>
      </c>
      <c r="AN402" s="9">
        <v>0.17892547176216206</v>
      </c>
      <c r="AO402" s="9">
        <v>4.6217735527076531E-2</v>
      </c>
    </row>
    <row r="403" spans="28:41" x14ac:dyDescent="0.2">
      <c r="AB403" s="9"/>
      <c r="AC403" s="20"/>
      <c r="AE403" s="22" cm="1">
        <f t="array" aca="1" ref="AE403" ca="1">SQRT(MMULT(MMULT(AG403:AK403,var_covar),TRANSPOSE(AG403:AK403)))</f>
        <v>0.44438518486386019</v>
      </c>
      <c r="AF403" s="22">
        <f t="shared" ca="1" si="28"/>
        <v>9.8452810763640208E-2</v>
      </c>
      <c r="AG403">
        <f ca="1"/>
        <v>0.71172972690072844</v>
      </c>
      <c r="AH403">
        <f ca="1"/>
        <v>-0.2605762033400722</v>
      </c>
      <c r="AI403">
        <f ca="1"/>
        <v>-0.60029363882099984</v>
      </c>
      <c r="AJ403">
        <f ca="1"/>
        <v>3.0532316768937875</v>
      </c>
      <c r="AK403">
        <f ca="1"/>
        <v>-1.9040915616334437</v>
      </c>
      <c r="AN403" s="9">
        <v>0.1782012934151195</v>
      </c>
      <c r="AO403" s="9">
        <v>7.5363055247524222E-3</v>
      </c>
    </row>
    <row r="404" spans="28:41" x14ac:dyDescent="0.2">
      <c r="AB404" s="9"/>
      <c r="AC404" s="20"/>
      <c r="AE404" s="22" cm="1">
        <f t="array" aca="1" ref="AE404" ca="1">SQRT(MMULT(MMULT(AG404:AK404,var_covar),TRANSPOSE(AG404:AK404)))</f>
        <v>1.0625997621777992</v>
      </c>
      <c r="AF404" s="22">
        <f t="shared" ca="1" si="28"/>
        <v>-2.0202535103221841E-2</v>
      </c>
      <c r="AG404">
        <f ca="1"/>
        <v>-1.4451491169761597</v>
      </c>
      <c r="AH404">
        <f ca="1"/>
        <v>0.53010632631163324</v>
      </c>
      <c r="AI404">
        <f ca="1"/>
        <v>-0.57741669020256092</v>
      </c>
      <c r="AJ404">
        <f ca="1"/>
        <v>-3.7051237516564077</v>
      </c>
      <c r="AK404">
        <f ca="1"/>
        <v>6.1975832325234954</v>
      </c>
      <c r="AN404" s="9">
        <v>0.17801134391826043</v>
      </c>
      <c r="AO404" s="9">
        <v>1.0861236793608092E-2</v>
      </c>
    </row>
    <row r="405" spans="28:41" x14ac:dyDescent="0.2">
      <c r="AB405" s="9"/>
      <c r="AC405" s="20"/>
      <c r="AE405" s="22" cm="1">
        <f t="array" aca="1" ref="AE405" ca="1">SQRT(MMULT(MMULT(AG405:AK405,var_covar),TRANSPOSE(AG405:AK405)))</f>
        <v>0.25903385450487781</v>
      </c>
      <c r="AF405" s="22">
        <f t="shared" ca="1" si="28"/>
        <v>2.8332884548356238E-2</v>
      </c>
      <c r="AG405">
        <f ca="1"/>
        <v>0.59094392449348598</v>
      </c>
      <c r="AH405">
        <f ca="1"/>
        <v>0.21428726382931457</v>
      </c>
      <c r="AI405">
        <f ca="1"/>
        <v>1.214458070610529</v>
      </c>
      <c r="AJ405">
        <f ca="1"/>
        <v>0.3753117940102727</v>
      </c>
      <c r="AK405">
        <f ca="1"/>
        <v>-1.3950010529436021</v>
      </c>
      <c r="AN405" s="9">
        <v>0.17769219417978077</v>
      </c>
      <c r="AO405" s="9">
        <v>5.7556913403208884E-2</v>
      </c>
    </row>
    <row r="406" spans="28:41" x14ac:dyDescent="0.2">
      <c r="AB406" s="9"/>
      <c r="AC406" s="20"/>
      <c r="AE406" s="22" cm="1">
        <f t="array" aca="1" ref="AE406" ca="1">SQRT(MMULT(MMULT(AG406:AK406,var_covar),TRANSPOSE(AG406:AK406)))</f>
        <v>0.10845186205697468</v>
      </c>
      <c r="AF406" s="22">
        <f t="shared" ca="1" si="28"/>
        <v>1.4365260850348281E-2</v>
      </c>
      <c r="AG406">
        <f ca="1"/>
        <v>0.44315250628140712</v>
      </c>
      <c r="AH406">
        <f ca="1"/>
        <v>0.92223874461685518</v>
      </c>
      <c r="AI406">
        <f ca="1"/>
        <v>0.27283478543087492</v>
      </c>
      <c r="AJ406">
        <f ca="1"/>
        <v>-0.30121567858464515</v>
      </c>
      <c r="AK406">
        <f ca="1"/>
        <v>-0.3370103577444919</v>
      </c>
      <c r="AN406" s="9">
        <v>0.17704115864594019</v>
      </c>
      <c r="AO406" s="9">
        <v>3.8131124994364655E-2</v>
      </c>
    </row>
    <row r="407" spans="28:41" x14ac:dyDescent="0.2">
      <c r="AB407" s="9"/>
      <c r="AC407" s="20"/>
      <c r="AE407" s="22" cm="1">
        <f t="array" aca="1" ref="AE407" ca="1">SQRT(MMULT(MMULT(AG407:AK407,var_covar),TRANSPOSE(AG407:AK407)))</f>
        <v>0.18301358527857658</v>
      </c>
      <c r="AF407" s="22">
        <f t="shared" ca="1" si="28"/>
        <v>-1.0135217473302854E-2</v>
      </c>
      <c r="AG407">
        <f ca="1"/>
        <v>1.1268795142913475</v>
      </c>
      <c r="AH407">
        <f ca="1"/>
        <v>0.99926909292731514</v>
      </c>
      <c r="AI407">
        <f ca="1"/>
        <v>0.66121265628239356</v>
      </c>
      <c r="AJ407">
        <f ca="1"/>
        <v>-1.1901224454880857</v>
      </c>
      <c r="AK407">
        <f ca="1"/>
        <v>-0.59723881801297041</v>
      </c>
      <c r="AN407" s="9">
        <v>0.17696650474765124</v>
      </c>
      <c r="AO407" s="9">
        <v>8.2587631036158127E-3</v>
      </c>
    </row>
    <row r="408" spans="28:41" x14ac:dyDescent="0.2">
      <c r="AB408" s="9"/>
      <c r="AC408" s="20"/>
      <c r="AE408" s="22" cm="1">
        <f t="array" aca="1" ref="AE408" ca="1">SQRT(MMULT(MMULT(AG408:AK408,var_covar),TRANSPOSE(AG408:AK408)))</f>
        <v>1.7432101795146522</v>
      </c>
      <c r="AF408" s="22">
        <f t="shared" ca="1" si="28"/>
        <v>0.31635202346697283</v>
      </c>
      <c r="AG408">
        <f ca="1"/>
        <v>-8.5431185189486438</v>
      </c>
      <c r="AH408">
        <f ca="1"/>
        <v>-8.6287034516059453</v>
      </c>
      <c r="AI408">
        <f ca="1"/>
        <v>9.0155560846642047</v>
      </c>
      <c r="AJ408">
        <f ca="1"/>
        <v>9.4721534170245665</v>
      </c>
      <c r="AK408">
        <f ca="1"/>
        <v>-0.31588753113418444</v>
      </c>
      <c r="AN408" s="9">
        <v>0.17686516703769184</v>
      </c>
      <c r="AO408" s="9">
        <v>3.122810591455322E-2</v>
      </c>
    </row>
    <row r="409" spans="28:41" x14ac:dyDescent="0.2">
      <c r="AB409" s="9"/>
      <c r="AC409" s="20"/>
      <c r="AE409" s="22" cm="1">
        <f t="array" aca="1" ref="AE409" ca="1">SQRT(MMULT(MMULT(AG409:AK409,var_covar),TRANSPOSE(AG409:AK409)))</f>
        <v>0.24623251249362113</v>
      </c>
      <c r="AF409" s="22">
        <f t="shared" ca="1" si="28"/>
        <v>6.6391871166712024E-2</v>
      </c>
      <c r="AG409">
        <f ca="1"/>
        <v>0.16992952483863766</v>
      </c>
      <c r="AH409">
        <f ca="1"/>
        <v>-1.0709992316778674</v>
      </c>
      <c r="AI409">
        <f ca="1"/>
        <v>5.5390713372195928E-2</v>
      </c>
      <c r="AJ409">
        <f ca="1"/>
        <v>0.63831447830262267</v>
      </c>
      <c r="AK409">
        <f ca="1"/>
        <v>1.2073645151644112</v>
      </c>
      <c r="AN409" s="9">
        <v>0.17625932525066601</v>
      </c>
      <c r="AO409" s="9">
        <v>6.3443196251019726E-2</v>
      </c>
    </row>
    <row r="410" spans="28:41" x14ac:dyDescent="0.2">
      <c r="AB410" s="9"/>
      <c r="AC410" s="20"/>
      <c r="AE410" s="22" cm="1">
        <f t="array" aca="1" ref="AE410" ca="1">SQRT(MMULT(MMULT(AG410:AK410,var_covar),TRANSPOSE(AG410:AK410)))</f>
        <v>0.15343631905981467</v>
      </c>
      <c r="AF410" s="22">
        <f t="shared" ca="1" si="28"/>
        <v>5.547352352469502E-2</v>
      </c>
      <c r="AG410">
        <f ca="1"/>
        <v>0.37351699161844482</v>
      </c>
      <c r="AH410">
        <f ca="1"/>
        <v>-0.74648719271165898</v>
      </c>
      <c r="AI410">
        <f ca="1"/>
        <v>0.358452666783457</v>
      </c>
      <c r="AJ410">
        <f ca="1"/>
        <v>0.53651396834688381</v>
      </c>
      <c r="AK410">
        <f ca="1"/>
        <v>0.4780035659628733</v>
      </c>
      <c r="AN410" s="9">
        <v>0.17583012118144056</v>
      </c>
      <c r="AO410" s="9">
        <v>4.1616751459089552E-2</v>
      </c>
    </row>
    <row r="411" spans="28:41" x14ac:dyDescent="0.2">
      <c r="AB411" s="9"/>
      <c r="AC411" s="20"/>
      <c r="AE411" s="22" cm="1">
        <f t="array" aca="1" ref="AE411" ca="1">SQRT(MMULT(MMULT(AG411:AK411,var_covar),TRANSPOSE(AG411:AK411)))</f>
        <v>8.5724470169941669E-2</v>
      </c>
      <c r="AF411" s="22">
        <f t="shared" ca="1" si="28"/>
        <v>2.1537010173494804E-2</v>
      </c>
      <c r="AG411">
        <f ca="1"/>
        <v>0.1163379755934344</v>
      </c>
      <c r="AH411">
        <f ca="1"/>
        <v>0.64501130706535603</v>
      </c>
      <c r="AI411">
        <f ca="1"/>
        <v>0.34896613810138244</v>
      </c>
      <c r="AJ411">
        <f ca="1"/>
        <v>-0.22060394287960222</v>
      </c>
      <c r="AK411">
        <f ca="1"/>
        <v>0.11028852211942927</v>
      </c>
      <c r="AN411" s="9">
        <v>0.17553176876869986</v>
      </c>
      <c r="AO411" s="9">
        <v>3.8170432290018458E-2</v>
      </c>
    </row>
    <row r="412" spans="28:41" x14ac:dyDescent="0.2">
      <c r="AB412" s="9"/>
      <c r="AC412" s="20"/>
      <c r="AE412" s="22" cm="1">
        <f t="array" aca="1" ref="AE412" ca="1">SQRT(MMULT(MMULT(AG412:AK412,var_covar),TRANSPOSE(AG412:AK412)))</f>
        <v>8.6378406997857857E-2</v>
      </c>
      <c r="AF412" s="22">
        <f t="shared" ca="1" si="28"/>
        <v>3.4729874424191759E-2</v>
      </c>
      <c r="AG412">
        <f ca="1"/>
        <v>0.1388650115032683</v>
      </c>
      <c r="AH412">
        <f ca="1"/>
        <v>0.20705508121860766</v>
      </c>
      <c r="AI412">
        <f ca="1"/>
        <v>0.38688471565035282</v>
      </c>
      <c r="AJ412">
        <f ca="1"/>
        <v>0.15777413945646968</v>
      </c>
      <c r="AK412">
        <f ca="1"/>
        <v>0.1094210521713016</v>
      </c>
      <c r="AN412" s="9">
        <v>0.17536655752888258</v>
      </c>
      <c r="AO412" s="9">
        <v>-1.2320697458756379E-2</v>
      </c>
    </row>
    <row r="413" spans="28:41" x14ac:dyDescent="0.2">
      <c r="AB413" s="9"/>
      <c r="AC413" s="20"/>
      <c r="AE413" s="22" cm="1">
        <f t="array" aca="1" ref="AE413" ca="1">SQRT(MMULT(MMULT(AG413:AK413,var_covar),TRANSPOSE(AG413:AK413)))</f>
        <v>0.14124206211944065</v>
      </c>
      <c r="AF413" s="22">
        <f t="shared" ca="1" si="28"/>
        <v>5.298088263980244E-2</v>
      </c>
      <c r="AG413">
        <f ca="1"/>
        <v>-0.10375252185279525</v>
      </c>
      <c r="AH413">
        <f ca="1"/>
        <v>-6.1209177175276318E-2</v>
      </c>
      <c r="AI413">
        <f ca="1"/>
        <v>-3.0529987815080834E-2</v>
      </c>
      <c r="AJ413">
        <f ca="1"/>
        <v>0.6560394712566352</v>
      </c>
      <c r="AK413">
        <f ca="1"/>
        <v>0.53945221558651724</v>
      </c>
      <c r="AN413" s="9">
        <v>0.17534383527694589</v>
      </c>
      <c r="AO413" s="9">
        <v>3.3235060431891492E-2</v>
      </c>
    </row>
    <row r="414" spans="28:41" x14ac:dyDescent="0.2">
      <c r="AB414" s="9"/>
      <c r="AC414" s="20"/>
      <c r="AE414" s="22" cm="1">
        <f t="array" aca="1" ref="AE414" ca="1">SQRT(MMULT(MMULT(AG414:AK414,var_covar),TRANSPOSE(AG414:AK414)))</f>
        <v>0.25972233771397446</v>
      </c>
      <c r="AF414" s="22">
        <f t="shared" ca="1" si="28"/>
        <v>6.1193550925099149E-2</v>
      </c>
      <c r="AG414">
        <f ca="1"/>
        <v>-0.479423761915518</v>
      </c>
      <c r="AH414">
        <f ca="1"/>
        <v>-0.28179976675840734</v>
      </c>
      <c r="AI414">
        <f ca="1"/>
        <v>-0.30883566730866119</v>
      </c>
      <c r="AJ414">
        <f ca="1"/>
        <v>0.65143814167574454</v>
      </c>
      <c r="AK414">
        <f ca="1"/>
        <v>1.418621054306842</v>
      </c>
      <c r="AN414" s="9">
        <v>0.17403782787744759</v>
      </c>
      <c r="AO414" s="9">
        <v>4.0116274085302432E-2</v>
      </c>
    </row>
    <row r="415" spans="28:41" x14ac:dyDescent="0.2">
      <c r="AB415" s="9"/>
      <c r="AC415" s="20"/>
      <c r="AE415" s="22" cm="1">
        <f t="array" aca="1" ref="AE415" ca="1">SQRT(MMULT(MMULT(AG415:AK415,var_covar),TRANSPOSE(AG415:AK415)))</f>
        <v>9.5049617833345174E-2</v>
      </c>
      <c r="AF415" s="22">
        <f t="shared" ca="1" si="28"/>
        <v>3.804439124300002E-2</v>
      </c>
      <c r="AG415">
        <f ca="1"/>
        <v>0.14821087917033421</v>
      </c>
      <c r="AH415">
        <f ca="1"/>
        <v>0.19434479637571389</v>
      </c>
      <c r="AI415">
        <f ca="1"/>
        <v>0.14071273860099484</v>
      </c>
      <c r="AJ415">
        <f ca="1"/>
        <v>0.21351291172331002</v>
      </c>
      <c r="AK415">
        <f ca="1"/>
        <v>0.30321867412964704</v>
      </c>
      <c r="AN415" s="9">
        <v>0.17390813375372141</v>
      </c>
      <c r="AO415" s="9">
        <v>1.4241376606640356E-2</v>
      </c>
    </row>
    <row r="416" spans="28:41" x14ac:dyDescent="0.2">
      <c r="AB416" s="9"/>
      <c r="AC416" s="20"/>
      <c r="AE416" s="22" cm="1">
        <f t="array" aca="1" ref="AE416" ca="1">SQRT(MMULT(MMULT(AG416:AK416,var_covar),TRANSPOSE(AG416:AK416)))</f>
        <v>0.73753791415839498</v>
      </c>
      <c r="AF416" s="22">
        <f t="shared" ca="1" si="28"/>
        <v>-1.3877610706790194E-2</v>
      </c>
      <c r="AG416">
        <f ca="1"/>
        <v>1.8415933459894642</v>
      </c>
      <c r="AH416">
        <f ca="1"/>
        <v>0.6035736001341141</v>
      </c>
      <c r="AI416">
        <f ca="1"/>
        <v>-2.2631176224031488</v>
      </c>
      <c r="AJ416">
        <f ca="1"/>
        <v>-2.9907081685048733</v>
      </c>
      <c r="AK416">
        <f ca="1"/>
        <v>3.8086588447844441</v>
      </c>
      <c r="AN416" s="9">
        <v>0.17353843741348651</v>
      </c>
      <c r="AO416" s="9">
        <v>3.510450072007211E-2</v>
      </c>
    </row>
    <row r="417" spans="28:41" x14ac:dyDescent="0.2">
      <c r="AB417" s="9"/>
      <c r="AC417" s="20"/>
      <c r="AE417" s="22" cm="1">
        <f t="array" aca="1" ref="AE417" ca="1">SQRT(MMULT(MMULT(AG417:AK417,var_covar),TRANSPOSE(AG417:AK417)))</f>
        <v>0.32548689457927416</v>
      </c>
      <c r="AF417" s="22">
        <f t="shared" ca="1" si="28"/>
        <v>3.5394150314812453E-2</v>
      </c>
      <c r="AG417">
        <f ca="1"/>
        <v>0.80114494815893156</v>
      </c>
      <c r="AH417">
        <f ca="1"/>
        <v>-0.27230297686118549</v>
      </c>
      <c r="AI417">
        <f ca="1"/>
        <v>1.5896285889331176</v>
      </c>
      <c r="AJ417">
        <f ca="1"/>
        <v>0.59640345797999006</v>
      </c>
      <c r="AK417">
        <f ca="1"/>
        <v>-1.7148740182108535</v>
      </c>
      <c r="AN417" s="9">
        <v>0.17309909904436516</v>
      </c>
      <c r="AO417" s="9">
        <v>5.6299920741799153E-2</v>
      </c>
    </row>
    <row r="418" spans="28:41" x14ac:dyDescent="0.2">
      <c r="AB418" s="9"/>
      <c r="AC418" s="20"/>
      <c r="AE418" s="22" cm="1">
        <f t="array" aca="1" ref="AE418" ca="1">SQRT(MMULT(MMULT(AG418:AK418,var_covar),TRANSPOSE(AG418:AK418)))</f>
        <v>0.14592499745951487</v>
      </c>
      <c r="AF418" s="22">
        <f t="shared" ca="1" si="28"/>
        <v>9.9506233193954081E-3</v>
      </c>
      <c r="AG418">
        <f ca="1"/>
        <v>0.35602898070653616</v>
      </c>
      <c r="AH418">
        <f ca="1"/>
        <v>0.42660403228152449</v>
      </c>
      <c r="AI418">
        <f ca="1"/>
        <v>0.54006029044809745</v>
      </c>
      <c r="AJ418">
        <f ca="1"/>
        <v>-0.89784667379796856</v>
      </c>
      <c r="AK418">
        <f ca="1"/>
        <v>0.57515337036181058</v>
      </c>
      <c r="AN418" s="9">
        <v>0.17243519687443359</v>
      </c>
      <c r="AO418" s="9">
        <v>4.0222651597291721E-2</v>
      </c>
    </row>
    <row r="419" spans="28:41" x14ac:dyDescent="0.2">
      <c r="AB419" s="9"/>
      <c r="AC419" s="20"/>
      <c r="AE419" s="22" cm="1">
        <f t="array" aca="1" ref="AE419" ca="1">SQRT(MMULT(MMULT(AG419:AK419,var_covar),TRANSPOSE(AG419:AK419)))</f>
        <v>0.11406740931035368</v>
      </c>
      <c r="AF419" s="22">
        <f t="shared" ca="1" si="28"/>
        <v>4.4519019491417518E-2</v>
      </c>
      <c r="AG419">
        <f ca="1"/>
        <v>3.4293432904660068E-2</v>
      </c>
      <c r="AH419">
        <f ca="1"/>
        <v>0.28190981580053909</v>
      </c>
      <c r="AI419">
        <f ca="1"/>
        <v>0.22670767563198396</v>
      </c>
      <c r="AJ419">
        <f ca="1"/>
        <v>0.66486478657693615</v>
      </c>
      <c r="AK419">
        <f ca="1"/>
        <v>-0.20777571091411909</v>
      </c>
      <c r="AN419" s="9">
        <v>0.17243067666986991</v>
      </c>
      <c r="AO419" s="9">
        <v>3.5825370655356278E-2</v>
      </c>
    </row>
    <row r="420" spans="28:41" x14ac:dyDescent="0.2">
      <c r="AB420" s="9"/>
      <c r="AC420" s="20"/>
      <c r="AE420" s="22" cm="1">
        <f t="array" aca="1" ref="AE420" ca="1">SQRT(MMULT(MMULT(AG420:AK420,var_covar),TRANSPOSE(AG420:AK420)))</f>
        <v>0.15736255573274058</v>
      </c>
      <c r="AF420" s="22">
        <f t="shared" ca="1" si="28"/>
        <v>1.6709696535999082E-2</v>
      </c>
      <c r="AG420">
        <f ca="1"/>
        <v>0.20094207793064361</v>
      </c>
      <c r="AH420">
        <f ca="1"/>
        <v>1.5960749797682785</v>
      </c>
      <c r="AI420">
        <f ca="1"/>
        <v>-0.44010681420366632</v>
      </c>
      <c r="AJ420">
        <f ca="1"/>
        <v>6.6850396919437198E-4</v>
      </c>
      <c r="AK420">
        <f ca="1"/>
        <v>-0.35757874746445018</v>
      </c>
      <c r="AN420" s="9">
        <v>0.17232917319912158</v>
      </c>
      <c r="AO420" s="9">
        <v>1.2122831240798528E-2</v>
      </c>
    </row>
    <row r="421" spans="28:41" x14ac:dyDescent="0.2">
      <c r="AB421" s="9"/>
      <c r="AC421" s="20"/>
      <c r="AE421" s="22" cm="1">
        <f t="array" aca="1" ref="AE421" ca="1">SQRT(MMULT(MMULT(AG421:AK421,var_covar),TRANSPOSE(AG421:AK421)))</f>
        <v>0.58152667580756412</v>
      </c>
      <c r="AF421" s="22">
        <f t="shared" ca="1" si="28"/>
        <v>8.5214530985041864E-2</v>
      </c>
      <c r="AG421">
        <f ca="1"/>
        <v>1.4663288187694075</v>
      </c>
      <c r="AH421">
        <f ca="1"/>
        <v>1.9310250472397326</v>
      </c>
      <c r="AI421">
        <f ca="1"/>
        <v>-5.2041283148832189</v>
      </c>
      <c r="AJ421">
        <f ca="1"/>
        <v>2.2310155710106243</v>
      </c>
      <c r="AK421">
        <f ca="1"/>
        <v>0.57575887786345448</v>
      </c>
      <c r="AN421" s="9">
        <v>0.17147519921874041</v>
      </c>
      <c r="AO421" s="9">
        <v>2.6189395137700494E-2</v>
      </c>
    </row>
    <row r="422" spans="28:41" x14ac:dyDescent="0.2">
      <c r="AB422" s="9"/>
      <c r="AC422" s="20"/>
      <c r="AE422" s="22" cm="1">
        <f t="array" aca="1" ref="AE422" ca="1">SQRT(MMULT(MMULT(AG422:AK422,var_covar),TRANSPOSE(AG422:AK422)))</f>
        <v>0.10930221463638415</v>
      </c>
      <c r="AF422" s="22">
        <f t="shared" ca="1" si="28"/>
        <v>2.6751339816635515E-2</v>
      </c>
      <c r="AG422">
        <f ca="1"/>
        <v>-1.7495971060563959E-2</v>
      </c>
      <c r="AH422">
        <f ca="1"/>
        <v>0.40883182208890179</v>
      </c>
      <c r="AI422">
        <f ca="1"/>
        <v>0.79941078363508689</v>
      </c>
      <c r="AJ422">
        <f ca="1"/>
        <v>4.192708955927333E-2</v>
      </c>
      <c r="AK422">
        <f ca="1"/>
        <v>-0.23267372422269811</v>
      </c>
      <c r="AN422" s="9">
        <v>0.17146591378006562</v>
      </c>
      <c r="AO422" s="9">
        <v>6.5988674385480686E-2</v>
      </c>
    </row>
    <row r="423" spans="28:41" x14ac:dyDescent="0.2">
      <c r="AB423" s="9"/>
      <c r="AC423" s="20"/>
      <c r="AE423" s="22" cm="1">
        <f t="array" aca="1" ref="AE423" ca="1">SQRT(MMULT(MMULT(AG423:AK423,var_covar),TRANSPOSE(AG423:AK423)))</f>
        <v>0.12030524043644046</v>
      </c>
      <c r="AF423" s="22">
        <f t="shared" ca="1" si="28"/>
        <v>4.0344072939118417E-2</v>
      </c>
      <c r="AG423">
        <f ca="1"/>
        <v>3.6872319587050631E-2</v>
      </c>
      <c r="AH423">
        <f ca="1"/>
        <v>-3.9926126473285431E-2</v>
      </c>
      <c r="AI423">
        <f ca="1"/>
        <v>0.31915377411865792</v>
      </c>
      <c r="AJ423">
        <f ca="1"/>
        <v>0.18269831808107057</v>
      </c>
      <c r="AK423">
        <f ca="1"/>
        <v>0.50120171468650643</v>
      </c>
      <c r="AN423" s="9">
        <v>0.17093014042723284</v>
      </c>
      <c r="AO423" s="9">
        <v>4.4408486648605625E-2</v>
      </c>
    </row>
    <row r="424" spans="28:41" x14ac:dyDescent="0.2">
      <c r="AB424" s="9"/>
      <c r="AC424" s="20"/>
      <c r="AE424" s="22" cm="1">
        <f t="array" aca="1" ref="AE424" ca="1">SQRT(MMULT(MMULT(AG424:AK424,var_covar),TRANSPOSE(AG424:AK424)))</f>
        <v>0.27132848661034537</v>
      </c>
      <c r="AF424" s="22">
        <f t="shared" ca="1" si="28"/>
        <v>6.8595096976990635E-2</v>
      </c>
      <c r="AG424">
        <f ca="1"/>
        <v>9.6028403941805757E-2</v>
      </c>
      <c r="AH424">
        <f ca="1"/>
        <v>-1.089501026056571</v>
      </c>
      <c r="AI424">
        <f ca="1"/>
        <v>-6.2060344148728831E-2</v>
      </c>
      <c r="AJ424">
        <f ca="1"/>
        <v>0.66177213090013998</v>
      </c>
      <c r="AK424">
        <f ca="1"/>
        <v>1.3937608353633539</v>
      </c>
      <c r="AN424" s="9">
        <v>0.17084854327271229</v>
      </c>
      <c r="AO424" s="9">
        <v>6.67371294032294E-2</v>
      </c>
    </row>
    <row r="425" spans="28:41" x14ac:dyDescent="0.2">
      <c r="AB425" s="9"/>
      <c r="AC425" s="20"/>
      <c r="AE425" s="22" cm="1">
        <f t="array" aca="1" ref="AE425" ca="1">SQRT(MMULT(MMULT(AG425:AK425,var_covar),TRANSPOSE(AG425:AK425)))</f>
        <v>8.6733220205577111E-2</v>
      </c>
      <c r="AF425" s="22">
        <f t="shared" ca="1" si="28"/>
        <v>3.8374602209252331E-2</v>
      </c>
      <c r="AG425">
        <f ca="1"/>
        <v>0.32364013748903708</v>
      </c>
      <c r="AH425">
        <f ca="1"/>
        <v>6.3970641894673844E-2</v>
      </c>
      <c r="AI425">
        <f ca="1"/>
        <v>0.28807921905199174</v>
      </c>
      <c r="AJ425">
        <f ca="1"/>
        <v>0.2489512607826776</v>
      </c>
      <c r="AK425">
        <f ca="1"/>
        <v>7.5358740781619735E-2</v>
      </c>
      <c r="AN425" s="9">
        <v>0.17035208646303035</v>
      </c>
      <c r="AO425" s="9">
        <v>3.9933000644185618E-2</v>
      </c>
    </row>
    <row r="426" spans="28:41" x14ac:dyDescent="0.2">
      <c r="AB426" s="9"/>
      <c r="AC426" s="20"/>
      <c r="AE426" s="22" cm="1">
        <f t="array" aca="1" ref="AE426" ca="1">SQRT(MMULT(MMULT(AG426:AK426,var_covar),TRANSPOSE(AG426:AK426)))</f>
        <v>0.10816963048282198</v>
      </c>
      <c r="AF426" s="22">
        <f t="shared" ca="1" si="28"/>
        <v>4.5118429544520181E-2</v>
      </c>
      <c r="AG426">
        <f ca="1"/>
        <v>0.39104897916460157</v>
      </c>
      <c r="AH426">
        <f ca="1"/>
        <v>-0.22862921164356476</v>
      </c>
      <c r="AI426">
        <f ca="1"/>
        <v>0.19254981238289148</v>
      </c>
      <c r="AJ426">
        <f ca="1"/>
        <v>0.34126804300265767</v>
      </c>
      <c r="AK426">
        <f ca="1"/>
        <v>0.30376237709341397</v>
      </c>
      <c r="AN426" s="9">
        <v>0.17011217628095959</v>
      </c>
      <c r="AO426" s="9">
        <v>6.4956032317805154E-2</v>
      </c>
    </row>
    <row r="427" spans="28:41" x14ac:dyDescent="0.2">
      <c r="AB427" s="9"/>
      <c r="AC427" s="20"/>
      <c r="AE427" s="22" cm="1">
        <f t="array" aca="1" ref="AE427" ca="1">SQRT(MMULT(MMULT(AG427:AK427,var_covar),TRANSPOSE(AG427:AK427)))</f>
        <v>9.8532729778874145E-2</v>
      </c>
      <c r="AF427" s="22">
        <f t="shared" ca="1" si="28"/>
        <v>3.3598478478408071E-2</v>
      </c>
      <c r="AG427">
        <f ca="1"/>
        <v>0.17105631277667871</v>
      </c>
      <c r="AH427">
        <f ca="1"/>
        <v>0.37561440578668093</v>
      </c>
      <c r="AI427">
        <f ca="1"/>
        <v>7.1446162389543827E-3</v>
      </c>
      <c r="AJ427">
        <f ca="1"/>
        <v>6.6198502512848298E-2</v>
      </c>
      <c r="AK427">
        <f ca="1"/>
        <v>0.3799861626848377</v>
      </c>
      <c r="AN427" s="9">
        <v>0.16954526189243216</v>
      </c>
      <c r="AO427" s="9">
        <v>4.4565797630263096E-2</v>
      </c>
    </row>
    <row r="428" spans="28:41" x14ac:dyDescent="0.2">
      <c r="AB428" s="9"/>
      <c r="AC428" s="20"/>
      <c r="AE428" s="22" cm="1">
        <f t="array" aca="1" ref="AE428" ca="1">SQRT(MMULT(MMULT(AG428:AK428,var_covar),TRANSPOSE(AG428:AK428)))</f>
        <v>9.2400183576899608E-2</v>
      </c>
      <c r="AF428" s="22">
        <f t="shared" ca="1" si="28"/>
        <v>3.2843538998877035E-2</v>
      </c>
      <c r="AG428">
        <f ca="1"/>
        <v>0.35303425487775225</v>
      </c>
      <c r="AH428">
        <f ca="1"/>
        <v>0.16098814450138721</v>
      </c>
      <c r="AI428">
        <f ca="1"/>
        <v>0.18057828459838932</v>
      </c>
      <c r="AJ428">
        <f ca="1"/>
        <v>-2.116728013649128E-2</v>
      </c>
      <c r="AK428">
        <f ca="1"/>
        <v>0.32656659615896261</v>
      </c>
      <c r="AN428" s="9">
        <v>0.16948335864720909</v>
      </c>
      <c r="AO428" s="9">
        <v>3.1966188854351291E-2</v>
      </c>
    </row>
    <row r="429" spans="28:41" x14ac:dyDescent="0.2">
      <c r="AB429" s="9"/>
      <c r="AC429" s="20"/>
      <c r="AE429" s="22" cm="1">
        <f t="array" aca="1" ref="AE429" ca="1">SQRT(MMULT(MMULT(AG429:AK429,var_covar),TRANSPOSE(AG429:AK429)))</f>
        <v>0.10565623331797708</v>
      </c>
      <c r="AF429" s="22">
        <f t="shared" ca="1" si="28"/>
        <v>3.4737490293102968E-2</v>
      </c>
      <c r="AG429">
        <f ca="1"/>
        <v>8.8958838308424437E-2</v>
      </c>
      <c r="AH429">
        <f ca="1"/>
        <v>0.33721168819044173</v>
      </c>
      <c r="AI429">
        <f ca="1"/>
        <v>4.3131963472508E-2</v>
      </c>
      <c r="AJ429">
        <f ca="1"/>
        <v>8.571206717757883E-2</v>
      </c>
      <c r="AK429">
        <f ca="1"/>
        <v>0.44498544285104707</v>
      </c>
      <c r="AN429" s="9">
        <v>0.16945038754604111</v>
      </c>
      <c r="AO429" s="9">
        <v>5.1417614189872424E-2</v>
      </c>
    </row>
    <row r="430" spans="28:41" x14ac:dyDescent="0.2">
      <c r="AB430" s="9"/>
      <c r="AC430" s="20"/>
      <c r="AE430" s="22" cm="1">
        <f t="array" aca="1" ref="AE430" ca="1">SQRT(MMULT(MMULT(AG430:AK430,var_covar),TRANSPOSE(AG430:AK430)))</f>
        <v>9.6678204668355291E-2</v>
      </c>
      <c r="AF430" s="22">
        <f t="shared" ca="1" si="28"/>
        <v>3.8927747858888431E-2</v>
      </c>
      <c r="AG430">
        <f ca="1"/>
        <v>0.31283910493679612</v>
      </c>
      <c r="AH430">
        <f ca="1"/>
        <v>-0.10735709880640802</v>
      </c>
      <c r="AI430">
        <f ca="1"/>
        <v>0.51295793040607862</v>
      </c>
      <c r="AJ430">
        <f ca="1"/>
        <v>0.23440846323960832</v>
      </c>
      <c r="AK430">
        <f ca="1"/>
        <v>4.7151600223924964E-2</v>
      </c>
      <c r="AN430" s="9">
        <v>0.16685613234458863</v>
      </c>
      <c r="AO430" s="9">
        <v>5.8287823240129176E-2</v>
      </c>
    </row>
    <row r="431" spans="28:41" x14ac:dyDescent="0.2">
      <c r="AB431" s="9"/>
      <c r="AC431" s="20"/>
      <c r="AE431" s="22" cm="1">
        <f t="array" aca="1" ref="AE431" ca="1">SQRT(MMULT(MMULT(AG431:AK431,var_covar),TRANSPOSE(AG431:AK431)))</f>
        <v>0.17297824406537593</v>
      </c>
      <c r="AF431" s="22">
        <f t="shared" ca="1" si="28"/>
        <v>5.1776098273250873E-2</v>
      </c>
      <c r="AG431">
        <f ca="1"/>
        <v>1.2350243520789368</v>
      </c>
      <c r="AH431">
        <f ca="1"/>
        <v>0.16947746951853032</v>
      </c>
      <c r="AI431">
        <f ca="1"/>
        <v>-0.9281363910395346</v>
      </c>
      <c r="AJ431">
        <f ca="1"/>
        <v>0.80822395021774862</v>
      </c>
      <c r="AK431">
        <f ca="1"/>
        <v>-0.28458938077568097</v>
      </c>
      <c r="AN431" s="9">
        <v>0.1667936728027849</v>
      </c>
      <c r="AO431" s="9">
        <v>4.2952338719544465E-2</v>
      </c>
    </row>
    <row r="432" spans="28:41" x14ac:dyDescent="0.2">
      <c r="AB432" s="9"/>
      <c r="AC432" s="20"/>
      <c r="AE432" s="22" cm="1">
        <f t="array" aca="1" ref="AE432" ca="1">SQRT(MMULT(MMULT(AG432:AK432,var_covar),TRANSPOSE(AG432:AK432)))</f>
        <v>0.10634104267065379</v>
      </c>
      <c r="AF432" s="22">
        <f t="shared" ca="1" si="28"/>
        <v>3.9150266994385542E-2</v>
      </c>
      <c r="AG432">
        <f ca="1"/>
        <v>0.53196301861821826</v>
      </c>
      <c r="AH432">
        <f ca="1"/>
        <v>8.8809583380394228E-2</v>
      </c>
      <c r="AI432">
        <f ca="1"/>
        <v>-0.16773134525014485</v>
      </c>
      <c r="AJ432">
        <f ca="1"/>
        <v>0.1577337450981374</v>
      </c>
      <c r="AK432">
        <f ca="1"/>
        <v>0.38922499815339506</v>
      </c>
      <c r="AN432" s="9">
        <v>0.16667361921657275</v>
      </c>
      <c r="AO432" s="9">
        <v>3.1511992019074869E-2</v>
      </c>
    </row>
    <row r="433" spans="28:41" x14ac:dyDescent="0.2">
      <c r="AB433" s="9"/>
      <c r="AC433" s="20"/>
      <c r="AE433" s="22" cm="1">
        <f t="array" aca="1" ref="AE433" ca="1">SQRT(MMULT(MMULT(AG433:AK433,var_covar),TRANSPOSE(AG433:AK433)))</f>
        <v>8.333015071555902E-2</v>
      </c>
      <c r="AF433" s="22">
        <f t="shared" ca="1" si="28"/>
        <v>2.854854765065188E-2</v>
      </c>
      <c r="AG433">
        <f ca="1"/>
        <v>0.25990066871595324</v>
      </c>
      <c r="AH433">
        <f ca="1"/>
        <v>0.31504882019821651</v>
      </c>
      <c r="AI433">
        <f ca="1"/>
        <v>0.31206834527565613</v>
      </c>
      <c r="AJ433">
        <f ca="1"/>
        <v>-9.105157709239152E-2</v>
      </c>
      <c r="AK433">
        <f ca="1"/>
        <v>0.20403374290256585</v>
      </c>
      <c r="AN433" s="9">
        <v>0.16595833661901388</v>
      </c>
      <c r="AO433" s="9">
        <v>3.8623920368518361E-2</v>
      </c>
    </row>
    <row r="434" spans="28:41" x14ac:dyDescent="0.2">
      <c r="AB434" s="9"/>
      <c r="AC434" s="20"/>
      <c r="AE434" s="22" cm="1">
        <f t="array" aca="1" ref="AE434" ca="1">SQRT(MMULT(MMULT(AG434:AK434,var_covar),TRANSPOSE(AG434:AK434)))</f>
        <v>0.13281806835488216</v>
      </c>
      <c r="AF434" s="22">
        <f t="shared" ca="1" si="28"/>
        <v>2.9607626084873374E-2</v>
      </c>
      <c r="AG434">
        <f ca="1"/>
        <v>-0.30833256157990158</v>
      </c>
      <c r="AH434">
        <f ca="1"/>
        <v>0.39752205594233248</v>
      </c>
      <c r="AI434">
        <f ca="1"/>
        <v>0.41329604097059142</v>
      </c>
      <c r="AJ434">
        <f ca="1"/>
        <v>-0.10176726620758995</v>
      </c>
      <c r="AK434">
        <f ca="1"/>
        <v>0.5992817308745676</v>
      </c>
      <c r="AN434" s="9">
        <v>0.16587437425590143</v>
      </c>
      <c r="AO434" s="9">
        <v>1.2379097667716742E-2</v>
      </c>
    </row>
    <row r="435" spans="28:41" x14ac:dyDescent="0.2">
      <c r="AB435" s="9"/>
      <c r="AC435" s="20"/>
      <c r="AE435" s="22" cm="1">
        <f t="array" aca="1" ref="AE435" ca="1">SQRT(MMULT(MMULT(AG435:AK435,var_covar),TRANSPOSE(AG435:AK435)))</f>
        <v>0.15671375076433175</v>
      </c>
      <c r="AF435" s="22">
        <f t="shared" ca="1" si="28"/>
        <v>6.1886562625880492E-2</v>
      </c>
      <c r="AG435">
        <f ca="1"/>
        <v>6.4786962560810124E-2</v>
      </c>
      <c r="AH435">
        <f ca="1"/>
        <v>-3.6548977109288561E-2</v>
      </c>
      <c r="AI435">
        <f ca="1"/>
        <v>-5.161115800319839E-2</v>
      </c>
      <c r="AJ435">
        <f ca="1"/>
        <v>1.2321772704110883</v>
      </c>
      <c r="AK435">
        <f ca="1"/>
        <v>-0.20880409785941137</v>
      </c>
      <c r="AN435" s="9">
        <v>0.16575067685642614</v>
      </c>
      <c r="AO435" s="9">
        <v>3.4640975219015276E-2</v>
      </c>
    </row>
    <row r="436" spans="28:41" x14ac:dyDescent="0.2">
      <c r="AB436" s="9"/>
      <c r="AC436" s="20"/>
      <c r="AE436" s="22" cm="1">
        <f t="array" aca="1" ref="AE436" ca="1">SQRT(MMULT(MMULT(AG436:AK436,var_covar),TRANSPOSE(AG436:AK436)))</f>
        <v>8.9545755280295861E-2</v>
      </c>
      <c r="AF436" s="22">
        <f t="shared" ca="1" si="28"/>
        <v>3.5135659270328759E-2</v>
      </c>
      <c r="AG436">
        <f ca="1"/>
        <v>0.4398143412761194</v>
      </c>
      <c r="AH436">
        <f ca="1"/>
        <v>0.4876938990880601</v>
      </c>
      <c r="AI436">
        <f ca="1"/>
        <v>-0.17180242794540801</v>
      </c>
      <c r="AJ436">
        <f ca="1"/>
        <v>0.25823072385627943</v>
      </c>
      <c r="AK436">
        <f ca="1"/>
        <v>-1.3936536275050796E-2</v>
      </c>
      <c r="AN436" s="9">
        <v>0.16568099903902034</v>
      </c>
      <c r="AO436" s="9">
        <v>3.2416120435704104E-2</v>
      </c>
    </row>
    <row r="437" spans="28:41" x14ac:dyDescent="0.2">
      <c r="AB437" s="9"/>
      <c r="AC437" s="20"/>
      <c r="AE437" s="22" cm="1">
        <f t="array" aca="1" ref="AE437" ca="1">SQRT(MMULT(MMULT(AG437:AK437,var_covar),TRANSPOSE(AG437:AK437)))</f>
        <v>0.10087917746997865</v>
      </c>
      <c r="AF437" s="22">
        <f t="shared" ca="1" si="28"/>
        <v>2.244976028989892E-2</v>
      </c>
      <c r="AG437">
        <f ca="1"/>
        <v>0.31620986964335196</v>
      </c>
      <c r="AH437">
        <f ca="1"/>
        <v>0.37219365418467587</v>
      </c>
      <c r="AI437">
        <f ca="1"/>
        <v>0.30465930609941994</v>
      </c>
      <c r="AJ437">
        <f ca="1"/>
        <v>-0.36981774738195194</v>
      </c>
      <c r="AK437">
        <f ca="1"/>
        <v>0.37675491745450412</v>
      </c>
      <c r="AN437" s="9">
        <v>0.16491996012219828</v>
      </c>
      <c r="AO437" s="9">
        <v>3.2900618924299865E-2</v>
      </c>
    </row>
    <row r="438" spans="28:41" x14ac:dyDescent="0.2">
      <c r="AB438" s="9"/>
      <c r="AC438" s="20"/>
      <c r="AE438" s="22" cm="1">
        <f t="array" aca="1" ref="AE438" ca="1">SQRT(MMULT(MMULT(AG438:AK438,var_covar),TRANSPOSE(AG438:AK438)))</f>
        <v>0.28360745397662007</v>
      </c>
      <c r="AF438" s="22">
        <f t="shared" ca="1" si="28"/>
        <v>4.863349575373771E-2</v>
      </c>
      <c r="AG438">
        <f ca="1"/>
        <v>-2.4900117911944584</v>
      </c>
      <c r="AH438">
        <f ca="1"/>
        <v>1.1926696054925043</v>
      </c>
      <c r="AI438">
        <f ca="1"/>
        <v>0.6294684001622306</v>
      </c>
      <c r="AJ438">
        <f ca="1"/>
        <v>1.0548538090972654</v>
      </c>
      <c r="AK438">
        <f ca="1"/>
        <v>0.61301997644245809</v>
      </c>
      <c r="AN438" s="9">
        <v>0.16458889265694895</v>
      </c>
      <c r="AO438" s="9">
        <v>4.9194500506653346E-2</v>
      </c>
    </row>
    <row r="439" spans="28:41" x14ac:dyDescent="0.2">
      <c r="AB439" s="9"/>
      <c r="AC439" s="20"/>
      <c r="AE439" s="22" cm="1">
        <f t="array" aca="1" ref="AE439" ca="1">SQRT(MMULT(MMULT(AG439:AK439,var_covar),TRANSPOSE(AG439:AK439)))</f>
        <v>0.39436288000391528</v>
      </c>
      <c r="AF439" s="22">
        <f t="shared" ca="1" si="28"/>
        <v>2.7768567061845818E-2</v>
      </c>
      <c r="AG439">
        <f ca="1"/>
        <v>4.1513882813777139</v>
      </c>
      <c r="AH439">
        <f ca="1"/>
        <v>-2.5694937509984475</v>
      </c>
      <c r="AI439">
        <f ca="1"/>
        <v>1.0455062611750614</v>
      </c>
      <c r="AJ439">
        <f ca="1"/>
        <v>-1.0383516514865081</v>
      </c>
      <c r="AK439">
        <f ca="1"/>
        <v>-0.58904914006781972</v>
      </c>
      <c r="AN439" s="9">
        <v>0.1634917621687863</v>
      </c>
      <c r="AO439" s="9">
        <v>5.60371855195212E-2</v>
      </c>
    </row>
    <row r="440" spans="28:41" x14ac:dyDescent="0.2">
      <c r="AB440" s="9"/>
      <c r="AC440" s="20"/>
      <c r="AE440" s="22" cm="1">
        <f t="array" aca="1" ref="AE440" ca="1">SQRT(MMULT(MMULT(AG440:AK440,var_covar),TRANSPOSE(AG440:AK440)))</f>
        <v>0.15498040555209217</v>
      </c>
      <c r="AF440" s="22">
        <f t="shared" ca="1" si="28"/>
        <v>2.8268255560353235E-2</v>
      </c>
      <c r="AG440">
        <f ca="1"/>
        <v>5.4390758605305185E-2</v>
      </c>
      <c r="AH440">
        <f ca="1"/>
        <v>8.60621325480352E-2</v>
      </c>
      <c r="AI440">
        <f ca="1"/>
        <v>0.39934567464795567</v>
      </c>
      <c r="AJ440">
        <f ca="1"/>
        <v>-0.34228865294078564</v>
      </c>
      <c r="AK440">
        <f ca="1"/>
        <v>0.80249008713948944</v>
      </c>
      <c r="AN440" s="9">
        <v>0.1632647753436581</v>
      </c>
      <c r="AO440" s="9">
        <v>6.6327276495261753E-2</v>
      </c>
    </row>
    <row r="441" spans="28:41" x14ac:dyDescent="0.2">
      <c r="AB441" s="9"/>
      <c r="AC441" s="20"/>
      <c r="AE441" s="22" cm="1">
        <f t="array" aca="1" ref="AE441" ca="1">SQRT(MMULT(MMULT(AG441:AK441,var_covar),TRANSPOSE(AG441:AK441)))</f>
        <v>0.32412540391940609</v>
      </c>
      <c r="AF441" s="22">
        <f t="shared" ca="1" si="28"/>
        <v>2.0877130504077693E-2</v>
      </c>
      <c r="AG441">
        <f ca="1"/>
        <v>-1.9595213240548321</v>
      </c>
      <c r="AH441">
        <f ca="1"/>
        <v>0.13882537694848857</v>
      </c>
      <c r="AI441">
        <f ca="1"/>
        <v>2.4107359215150468</v>
      </c>
      <c r="AJ441">
        <f ca="1"/>
        <v>-0.39700747334317332</v>
      </c>
      <c r="AK441">
        <f ca="1"/>
        <v>0.80696749893447017</v>
      </c>
      <c r="AN441" s="9">
        <v>0.16323882604093987</v>
      </c>
      <c r="AO441" s="9">
        <v>3.5843702577238602E-2</v>
      </c>
    </row>
    <row r="442" spans="28:41" x14ac:dyDescent="0.2">
      <c r="AB442" s="9"/>
      <c r="AC442" s="20"/>
      <c r="AE442" s="22" cm="1">
        <f t="array" aca="1" ref="AE442" ca="1">SQRT(MMULT(MMULT(AG442:AK442,var_covar),TRANSPOSE(AG442:AK442)))</f>
        <v>0.10609258649488258</v>
      </c>
      <c r="AF442" s="22">
        <f t="shared" ca="1" si="28"/>
        <v>3.3785752683189466E-2</v>
      </c>
      <c r="AG442">
        <f ca="1"/>
        <v>0.17145944609593661</v>
      </c>
      <c r="AH442">
        <f ca="1"/>
        <v>0.23372443042323712</v>
      </c>
      <c r="AI442">
        <f ca="1"/>
        <v>0.12441562161369681</v>
      </c>
      <c r="AJ442">
        <f ca="1"/>
        <v>7.1971234277847795E-3</v>
      </c>
      <c r="AK442">
        <f ca="1"/>
        <v>0.46320337843934473</v>
      </c>
      <c r="AN442" s="9">
        <v>0.16311994285041104</v>
      </c>
      <c r="AO442" s="9">
        <v>2.4974489425543086E-2</v>
      </c>
    </row>
    <row r="443" spans="28:41" x14ac:dyDescent="0.2">
      <c r="AB443" s="9"/>
      <c r="AC443" s="20"/>
      <c r="AE443" s="22" cm="1">
        <f t="array" aca="1" ref="AE443" ca="1">SQRT(MMULT(MMULT(AG443:AK443,var_covar),TRANSPOSE(AG443:AK443)))</f>
        <v>0.15901559757102846</v>
      </c>
      <c r="AF443" s="22">
        <f t="shared" ca="1" si="28"/>
        <v>3.3849813924805329E-2</v>
      </c>
      <c r="AG443">
        <f ca="1"/>
        <v>0.14262989570071813</v>
      </c>
      <c r="AH443">
        <f ca="1"/>
        <v>0.26032344761947479</v>
      </c>
      <c r="AI443">
        <f ca="1"/>
        <v>-0.15263176086080074</v>
      </c>
      <c r="AJ443">
        <f ca="1"/>
        <v>-0.11481376339878333</v>
      </c>
      <c r="AK443">
        <f ca="1"/>
        <v>0.86449218093939117</v>
      </c>
      <c r="AN443" s="9">
        <v>0.16289391815430765</v>
      </c>
      <c r="AO443" s="9">
        <v>3.5491899600538487E-2</v>
      </c>
    </row>
    <row r="444" spans="28:41" x14ac:dyDescent="0.2">
      <c r="AB444" s="9"/>
      <c r="AC444" s="20"/>
      <c r="AE444" s="22" cm="1">
        <f t="array" aca="1" ref="AE444" ca="1">SQRT(MMULT(MMULT(AG444:AK444,var_covar),TRANSPOSE(AG444:AK444)))</f>
        <v>0.15150416900089755</v>
      </c>
      <c r="AF444" s="22">
        <f t="shared" ca="1" si="28"/>
        <v>6.1576689659421105E-2</v>
      </c>
      <c r="AG444">
        <f ca="1"/>
        <v>-3.8436949655333862E-2</v>
      </c>
      <c r="AH444">
        <f ca="1"/>
        <v>-0.39156991483609493</v>
      </c>
      <c r="AI444">
        <f ca="1"/>
        <v>0.30951828857602531</v>
      </c>
      <c r="AJ444">
        <f ca="1"/>
        <v>1.0383741899213332</v>
      </c>
      <c r="AK444">
        <f ca="1"/>
        <v>8.2114385994070088E-2</v>
      </c>
      <c r="AN444" s="9">
        <v>0.16266406337592224</v>
      </c>
      <c r="AO444" s="9">
        <v>4.2183053726353318E-3</v>
      </c>
    </row>
    <row r="445" spans="28:41" x14ac:dyDescent="0.2">
      <c r="AB445" s="9"/>
      <c r="AC445" s="20"/>
      <c r="AE445" s="22" cm="1">
        <f t="array" aca="1" ref="AE445" ca="1">SQRT(MMULT(MMULT(AG445:AK445,var_covar),TRANSPOSE(AG445:AK445)))</f>
        <v>0.14861816974450917</v>
      </c>
      <c r="AF445" s="22">
        <f t="shared" ca="1" si="28"/>
        <v>-8.3580749368296348E-4</v>
      </c>
      <c r="AG445">
        <f ca="1"/>
        <v>0.35848512920395548</v>
      </c>
      <c r="AH445">
        <f ca="1"/>
        <v>0.8156462265946427</v>
      </c>
      <c r="AI445">
        <f ca="1"/>
        <v>1.0791292121935956</v>
      </c>
      <c r="AJ445">
        <f ca="1"/>
        <v>-0.88408597149060941</v>
      </c>
      <c r="AK445">
        <f ca="1"/>
        <v>-0.36917459650158418</v>
      </c>
      <c r="AN445" s="9">
        <v>0.16227689777995183</v>
      </c>
      <c r="AO445" s="9">
        <v>-3.466965382202418E-3</v>
      </c>
    </row>
    <row r="446" spans="28:41" x14ac:dyDescent="0.2">
      <c r="AB446" s="9"/>
      <c r="AC446" s="20"/>
      <c r="AE446" s="22" cm="1">
        <f t="array" aca="1" ref="AE446" ca="1">SQRT(MMULT(MMULT(AG446:AK446,var_covar),TRANSPOSE(AG446:AK446)))</f>
        <v>0.13232681211870978</v>
      </c>
      <c r="AF446" s="22">
        <f t="shared" ca="1" si="28"/>
        <v>3.1402698363362076E-2</v>
      </c>
      <c r="AG446">
        <f ca="1"/>
        <v>9.4016024449984567E-3</v>
      </c>
      <c r="AH446">
        <f ca="1"/>
        <v>-0.10674654389506295</v>
      </c>
      <c r="AI446">
        <f ca="1"/>
        <v>0.77687472152872927</v>
      </c>
      <c r="AJ446">
        <f ca="1"/>
        <v>-0.16450892875089015</v>
      </c>
      <c r="AK446">
        <f ca="1"/>
        <v>0.48497914867222547</v>
      </c>
      <c r="AN446" s="9">
        <v>0.16222599822778233</v>
      </c>
      <c r="AO446" s="9">
        <v>3.9831679142202939E-2</v>
      </c>
    </row>
    <row r="447" spans="28:41" x14ac:dyDescent="0.2">
      <c r="AB447" s="9"/>
      <c r="AC447" s="20"/>
      <c r="AE447" s="22" cm="1">
        <f t="array" aca="1" ref="AE447" ca="1">SQRT(MMULT(MMULT(AG447:AK447,var_covar),TRANSPOSE(AG447:AK447)))</f>
        <v>5.6525880708526604</v>
      </c>
      <c r="AF447" s="22">
        <f t="shared" ca="1" si="28"/>
        <v>1.7389662009179574E-3</v>
      </c>
      <c r="AG447">
        <f ca="1"/>
        <v>-2.4766749690160776</v>
      </c>
      <c r="AH447">
        <f ca="1"/>
        <v>20.265165675249023</v>
      </c>
      <c r="AI447">
        <f ca="1"/>
        <v>-1.0036894586756915E-2</v>
      </c>
      <c r="AJ447">
        <f ca="1"/>
        <v>15.408532656564526</v>
      </c>
      <c r="AK447">
        <f ca="1"/>
        <v>-32.186986468210719</v>
      </c>
      <c r="AN447" s="9">
        <v>0.16193211939915803</v>
      </c>
      <c r="AO447" s="9">
        <v>6.205034529284699E-2</v>
      </c>
    </row>
    <row r="448" spans="28:41" x14ac:dyDescent="0.2">
      <c r="AB448" s="9"/>
      <c r="AC448" s="20"/>
      <c r="AE448" s="22" cm="1">
        <f t="array" aca="1" ref="AE448" ca="1">SQRT(MMULT(MMULT(AG448:AK448,var_covar),TRANSPOSE(AG448:AK448)))</f>
        <v>0.18707905794713534</v>
      </c>
      <c r="AF448" s="22">
        <f t="shared" ca="1" si="28"/>
        <v>1.4841034918819586E-2</v>
      </c>
      <c r="AG448">
        <f ca="1"/>
        <v>0.57245851130059644</v>
      </c>
      <c r="AH448">
        <f ca="1"/>
        <v>1.3347997699791259</v>
      </c>
      <c r="AI448">
        <f ca="1"/>
        <v>-1.3224843557653699E-2</v>
      </c>
      <c r="AJ448">
        <f ca="1"/>
        <v>1.2439429285483643E-3</v>
      </c>
      <c r="AK448">
        <f ca="1"/>
        <v>-0.89527738065061691</v>
      </c>
      <c r="AN448" s="9">
        <v>0.16145790838255336</v>
      </c>
      <c r="AO448" s="9">
        <v>5.2361536137033544E-2</v>
      </c>
    </row>
    <row r="449" spans="28:41" x14ac:dyDescent="0.2">
      <c r="AB449" s="9"/>
      <c r="AC449" s="20"/>
      <c r="AE449" s="22" cm="1">
        <f t="array" aca="1" ref="AE449" ca="1">SQRT(MMULT(MMULT(AG449:AK449,var_covar),TRANSPOSE(AG449:AK449)))</f>
        <v>0.15469639587992859</v>
      </c>
      <c r="AF449" s="22">
        <f t="shared" ca="1" si="28"/>
        <v>4.7881158983564071E-2</v>
      </c>
      <c r="AG449">
        <f ca="1"/>
        <v>0.23719858533868279</v>
      </c>
      <c r="AH449">
        <f ca="1"/>
        <v>-0.49873212308844977</v>
      </c>
      <c r="AI449">
        <f ca="1"/>
        <v>0.31207973810859718</v>
      </c>
      <c r="AJ449">
        <f ca="1"/>
        <v>0.25972198383407147</v>
      </c>
      <c r="AK449">
        <f ca="1"/>
        <v>0.68973181580709853</v>
      </c>
      <c r="AN449" s="9">
        <v>0.16122252030064976</v>
      </c>
      <c r="AO449" s="9">
        <v>6.4248761572417379E-2</v>
      </c>
    </row>
    <row r="450" spans="28:41" x14ac:dyDescent="0.2">
      <c r="AB450" s="9"/>
      <c r="AC450" s="20"/>
      <c r="AE450" s="22" cm="1">
        <f t="array" aca="1" ref="AE450" ca="1">SQRT(MMULT(MMULT(AG450:AK450,var_covar),TRANSPOSE(AG450:AK450)))</f>
        <v>0.10476210150044826</v>
      </c>
      <c r="AF450" s="22">
        <f t="shared" ca="1" si="28"/>
        <v>3.150400764337228E-2</v>
      </c>
      <c r="AG450">
        <f ca="1"/>
        <v>0.27634447412268881</v>
      </c>
      <c r="AH450">
        <f ca="1"/>
        <v>8.2577566832786886E-2</v>
      </c>
      <c r="AI450">
        <f ca="1"/>
        <v>0.3331065937837851</v>
      </c>
      <c r="AJ450">
        <f ca="1"/>
        <v>-0.11813347838792861</v>
      </c>
      <c r="AK450">
        <f ca="1"/>
        <v>0.4261048436486678</v>
      </c>
      <c r="AN450" s="9">
        <v>0.16075790198279125</v>
      </c>
      <c r="AO450" s="9">
        <v>3.7572365574971539E-2</v>
      </c>
    </row>
    <row r="451" spans="28:41" x14ac:dyDescent="0.2">
      <c r="AB451" s="9"/>
      <c r="AC451" s="20"/>
      <c r="AE451" s="22" cm="1">
        <f t="array" aca="1" ref="AE451" ca="1">SQRT(MMULT(MMULT(AG451:AK451,var_covar),TRANSPOSE(AG451:AK451)))</f>
        <v>0.22599684951876142</v>
      </c>
      <c r="AF451" s="22">
        <f t="shared" ca="1" si="28"/>
        <v>5.9671847951360914E-2</v>
      </c>
      <c r="AG451">
        <f ca="1"/>
        <v>0.24022372072941464</v>
      </c>
      <c r="AH451">
        <f ca="1"/>
        <v>-0.60746360330348204</v>
      </c>
      <c r="AI451">
        <f ca="1"/>
        <v>-0.32828982361957243</v>
      </c>
      <c r="AJ451">
        <f ca="1"/>
        <v>0.50857432078016451</v>
      </c>
      <c r="AK451">
        <f ca="1"/>
        <v>1.1869553854134753</v>
      </c>
      <c r="AN451" s="9">
        <v>0.16055123427044898</v>
      </c>
      <c r="AO451" s="9">
        <v>5.4325113306975925E-2</v>
      </c>
    </row>
    <row r="452" spans="28:41" x14ac:dyDescent="0.2">
      <c r="AB452" s="9"/>
      <c r="AC452" s="20"/>
      <c r="AE452" s="22" cm="1">
        <f t="array" aca="1" ref="AE452" ca="1">SQRT(MMULT(MMULT(AG452:AK452,var_covar),TRANSPOSE(AG452:AK452)))</f>
        <v>8.1383527857903371E-2</v>
      </c>
      <c r="AF452" s="22">
        <f t="shared" ref="AF452:AF515" ca="1" si="29">SUMPRODUCT(AG452:AK452,$S$2:$W$2)</f>
        <v>2.7825854417710336E-2</v>
      </c>
      <c r="AG452">
        <f ca="1"/>
        <v>0.50004808814103208</v>
      </c>
      <c r="AH452">
        <f ca="1"/>
        <v>0.16423597249997471</v>
      </c>
      <c r="AI452">
        <f ca="1"/>
        <v>0.39039104245234912</v>
      </c>
      <c r="AJ452">
        <f ca="1"/>
        <v>-0.14642713506345376</v>
      </c>
      <c r="AK452">
        <f ca="1"/>
        <v>9.1752031970097819E-2</v>
      </c>
      <c r="AN452" s="9">
        <v>0.16051842766112709</v>
      </c>
      <c r="AO452" s="9">
        <v>3.1324942189520116E-2</v>
      </c>
    </row>
    <row r="453" spans="28:41" x14ac:dyDescent="0.2">
      <c r="AB453" s="9"/>
      <c r="AC453" s="20"/>
      <c r="AE453" s="22" cm="1">
        <f t="array" aca="1" ref="AE453" ca="1">SQRT(MMULT(MMULT(AG453:AK453,var_covar),TRANSPOSE(AG453:AK453)))</f>
        <v>0.55294788414838303</v>
      </c>
      <c r="AF453" s="22">
        <f t="shared" ca="1" si="29"/>
        <v>9.7584680695089784E-2</v>
      </c>
      <c r="AG453">
        <f ca="1"/>
        <v>2.3782333570547292</v>
      </c>
      <c r="AH453">
        <f ca="1"/>
        <v>-0.39177345225820315</v>
      </c>
      <c r="AI453">
        <f ca="1"/>
        <v>-4.3301646753900123</v>
      </c>
      <c r="AJ453">
        <f ca="1"/>
        <v>1.579647133426616</v>
      </c>
      <c r="AK453">
        <f ca="1"/>
        <v>1.7640576371668706</v>
      </c>
      <c r="AN453" s="9">
        <v>0.16029687201893741</v>
      </c>
      <c r="AO453" s="9">
        <v>4.5585200249974617E-2</v>
      </c>
    </row>
    <row r="454" spans="28:41" x14ac:dyDescent="0.2">
      <c r="AB454" s="9"/>
      <c r="AC454" s="20"/>
      <c r="AE454" s="22" cm="1">
        <f t="array" aca="1" ref="AE454" ca="1">SQRT(MMULT(MMULT(AG454:AK454,var_covar),TRANSPOSE(AG454:AK454)))</f>
        <v>0.15953227472099943</v>
      </c>
      <c r="AF454" s="22">
        <f t="shared" ca="1" si="29"/>
        <v>4.4635160086724343E-2</v>
      </c>
      <c r="AG454">
        <f ca="1"/>
        <v>0.42804799600411059</v>
      </c>
      <c r="AH454">
        <f ca="1"/>
        <v>-0.2215027594198053</v>
      </c>
      <c r="AI454">
        <f ca="1"/>
        <v>-0.17063811458399011</v>
      </c>
      <c r="AJ454">
        <f ca="1"/>
        <v>0.14979958184795206</v>
      </c>
      <c r="AK454">
        <f ca="1"/>
        <v>0.81429329615173285</v>
      </c>
      <c r="AN454" s="9">
        <v>0.15965862705285766</v>
      </c>
      <c r="AO454" s="9">
        <v>5.4545214151955887E-2</v>
      </c>
    </row>
    <row r="455" spans="28:41" x14ac:dyDescent="0.2">
      <c r="AB455" s="9"/>
      <c r="AC455" s="20"/>
      <c r="AE455" s="22" cm="1">
        <f t="array" aca="1" ref="AE455" ca="1">SQRT(MMULT(MMULT(AG455:AK455,var_covar),TRANSPOSE(AG455:AK455)))</f>
        <v>0.1387465155863134</v>
      </c>
      <c r="AF455" s="22">
        <f t="shared" ca="1" si="29"/>
        <v>5.6536667658284787E-2</v>
      </c>
      <c r="AG455">
        <f ca="1"/>
        <v>-0.25337142666191148</v>
      </c>
      <c r="AH455">
        <f ca="1"/>
        <v>5.0260125195093338E-3</v>
      </c>
      <c r="AI455">
        <f ca="1"/>
        <v>0.14647090193089207</v>
      </c>
      <c r="AJ455">
        <f ca="1"/>
        <v>0.95573841631838863</v>
      </c>
      <c r="AK455">
        <f ca="1"/>
        <v>0.1461360958931216</v>
      </c>
      <c r="AN455" s="9">
        <v>0.15952604689240035</v>
      </c>
      <c r="AO455" s="9">
        <v>6.4763057414428324E-2</v>
      </c>
    </row>
    <row r="456" spans="28:41" x14ac:dyDescent="0.2">
      <c r="AB456" s="9"/>
      <c r="AC456" s="20"/>
      <c r="AE456" s="22" cm="1">
        <f t="array" aca="1" ref="AE456" ca="1">SQRT(MMULT(MMULT(AG456:AK456,var_covar),TRANSPOSE(AG456:AK456)))</f>
        <v>0.18042667844999835</v>
      </c>
      <c r="AF456" s="22">
        <f t="shared" ca="1" si="29"/>
        <v>3.7037925435828997E-2</v>
      </c>
      <c r="AG456">
        <f ca="1"/>
        <v>4.079570405108035E-2</v>
      </c>
      <c r="AH456">
        <f ca="1"/>
        <v>0.64492351177979956</v>
      </c>
      <c r="AI456">
        <f ca="1"/>
        <v>-0.68919342424751939</v>
      </c>
      <c r="AJ456">
        <f ca="1"/>
        <v>0.10977681330497886</v>
      </c>
      <c r="AK456">
        <f ca="1"/>
        <v>0.89369739511166058</v>
      </c>
      <c r="AN456" s="9">
        <v>0.1594659225712817</v>
      </c>
      <c r="AO456" s="9">
        <v>5.2487771978332647E-2</v>
      </c>
    </row>
    <row r="457" spans="28:41" x14ac:dyDescent="0.2">
      <c r="AB457" s="9"/>
      <c r="AC457" s="20"/>
      <c r="AE457" s="22" cm="1">
        <f t="array" aca="1" ref="AE457" ca="1">SQRT(MMULT(MMULT(AG457:AK457,var_covar),TRANSPOSE(AG457:AK457)))</f>
        <v>41.769807764820307</v>
      </c>
      <c r="AF457" s="22">
        <f t="shared" ca="1" si="29"/>
        <v>-4.0419935527408688</v>
      </c>
      <c r="AG457">
        <f ca="1"/>
        <v>-65.814051490230923</v>
      </c>
      <c r="AH457">
        <f ca="1"/>
        <v>37.768207058868434</v>
      </c>
      <c r="AI457">
        <f ca="1"/>
        <v>294.83416166812515</v>
      </c>
      <c r="AJ457">
        <f ca="1"/>
        <v>-71.548169981913532</v>
      </c>
      <c r="AK457">
        <f ca="1"/>
        <v>-194.24014725484909</v>
      </c>
      <c r="AN457" s="9">
        <v>0.15911609387681519</v>
      </c>
      <c r="AO457" s="9">
        <v>1.9940435503286585E-2</v>
      </c>
    </row>
    <row r="458" spans="28:41" x14ac:dyDescent="0.2">
      <c r="AB458" s="9"/>
      <c r="AC458" s="20"/>
      <c r="AE458" s="22" cm="1">
        <f t="array" aca="1" ref="AE458" ca="1">SQRT(MMULT(MMULT(AG458:AK458,var_covar),TRANSPOSE(AG458:AK458)))</f>
        <v>0.18069631630902033</v>
      </c>
      <c r="AF458" s="22">
        <f t="shared" ca="1" si="29"/>
        <v>5.0145518805673195E-2</v>
      </c>
      <c r="AG458">
        <f ca="1"/>
        <v>0.40854893958302213</v>
      </c>
      <c r="AH458">
        <f ca="1"/>
        <v>3.2044544869279039E-2</v>
      </c>
      <c r="AI458">
        <f ca="1"/>
        <v>0.36907287913930265</v>
      </c>
      <c r="AJ458">
        <f ca="1"/>
        <v>0.95897026482658287</v>
      </c>
      <c r="AK458">
        <f ca="1"/>
        <v>-0.76863662841818658</v>
      </c>
      <c r="AN458" s="9">
        <v>0.15909762948446785</v>
      </c>
      <c r="AO458" s="9">
        <v>1.6511339127458585E-2</v>
      </c>
    </row>
    <row r="459" spans="28:41" x14ac:dyDescent="0.2">
      <c r="AB459" s="9"/>
      <c r="AC459" s="20"/>
      <c r="AE459" s="22" cm="1">
        <f t="array" aca="1" ref="AE459" ca="1">SQRT(MMULT(MMULT(AG459:AK459,var_covar),TRANSPOSE(AG459:AK459)))</f>
        <v>0.22484714274525402</v>
      </c>
      <c r="AF459" s="22">
        <f t="shared" ca="1" si="29"/>
        <v>4.3270751602067288E-2</v>
      </c>
      <c r="AG459">
        <f ca="1"/>
        <v>1.1910127839045144</v>
      </c>
      <c r="AH459">
        <f ca="1"/>
        <v>0.97316077893551267</v>
      </c>
      <c r="AI459">
        <f ca="1"/>
        <v>-1.4663751988131082</v>
      </c>
      <c r="AJ459">
        <f ca="1"/>
        <v>0.76860650319487744</v>
      </c>
      <c r="AK459">
        <f ca="1"/>
        <v>-0.4664048672217963</v>
      </c>
      <c r="AN459" s="9">
        <v>0.15908638694604504</v>
      </c>
      <c r="AO459" s="9">
        <v>5.9356516458606047E-2</v>
      </c>
    </row>
    <row r="460" spans="28:41" x14ac:dyDescent="0.2">
      <c r="AB460" s="9"/>
      <c r="AC460" s="20"/>
      <c r="AE460" s="22" cm="1">
        <f t="array" aca="1" ref="AE460" ca="1">SQRT(MMULT(MMULT(AG460:AK460,var_covar),TRANSPOSE(AG460:AK460)))</f>
        <v>8.7176627291083673</v>
      </c>
      <c r="AF460" s="22">
        <f t="shared" ca="1" si="29"/>
        <v>-0.60591100679791721</v>
      </c>
      <c r="AG460">
        <f ca="1"/>
        <v>43.475731828801855</v>
      </c>
      <c r="AH460">
        <f ca="1"/>
        <v>-4.4106577951130879</v>
      </c>
      <c r="AI460">
        <f ca="1"/>
        <v>-32.28612255215468</v>
      </c>
      <c r="AJ460">
        <f ca="1"/>
        <v>-41.90690805367872</v>
      </c>
      <c r="AK460">
        <f ca="1"/>
        <v>36.127956572144633</v>
      </c>
      <c r="AN460" s="9">
        <v>0.15903466336332536</v>
      </c>
      <c r="AO460" s="9">
        <v>5.0593090283185704E-2</v>
      </c>
    </row>
    <row r="461" spans="28:41" x14ac:dyDescent="0.2">
      <c r="AB461" s="9"/>
      <c r="AC461" s="20"/>
      <c r="AE461" s="22" cm="1">
        <f t="array" aca="1" ref="AE461" ca="1">SQRT(MMULT(MMULT(AG461:AK461,var_covar),TRANSPOSE(AG461:AK461)))</f>
        <v>0.34690724182912719</v>
      </c>
      <c r="AF461" s="22">
        <f t="shared" ca="1" si="29"/>
        <v>7.2854003131267442E-2</v>
      </c>
      <c r="AG461">
        <f ca="1"/>
        <v>-0.23547840555592828</v>
      </c>
      <c r="AH461">
        <f ca="1"/>
        <v>-1.9090438760650166</v>
      </c>
      <c r="AI461">
        <f ca="1"/>
        <v>2.3534729591071084</v>
      </c>
      <c r="AJ461">
        <f ca="1"/>
        <v>1.2631131041904318</v>
      </c>
      <c r="AK461">
        <f ca="1"/>
        <v>-0.47206378167659524</v>
      </c>
      <c r="AN461" s="9">
        <v>0.15900214493742265</v>
      </c>
      <c r="AO461" s="9">
        <v>1.9687970777953357E-2</v>
      </c>
    </row>
    <row r="462" spans="28:41" x14ac:dyDescent="0.2">
      <c r="AB462" s="9"/>
      <c r="AC462" s="20"/>
      <c r="AE462" s="22" cm="1">
        <f t="array" aca="1" ref="AE462" ca="1">SQRT(MMULT(MMULT(AG462:AK462,var_covar),TRANSPOSE(AG462:AK462)))</f>
        <v>0.13061409678238611</v>
      </c>
      <c r="AF462" s="22">
        <f t="shared" ca="1" si="29"/>
        <v>3.5773016430559669E-2</v>
      </c>
      <c r="AG462">
        <f ca="1"/>
        <v>2.3715497950371013E-2</v>
      </c>
      <c r="AH462">
        <f ca="1"/>
        <v>0.42182266526877416</v>
      </c>
      <c r="AI462">
        <f ca="1"/>
        <v>-0.169563252350663</v>
      </c>
      <c r="AJ462">
        <f ca="1"/>
        <v>9.14825766831832E-2</v>
      </c>
      <c r="AK462">
        <f ca="1"/>
        <v>0.6325425124483347</v>
      </c>
      <c r="AN462" s="9">
        <v>0.15883164546498421</v>
      </c>
      <c r="AO462" s="9">
        <v>5.6441498682578486E-2</v>
      </c>
    </row>
    <row r="463" spans="28:41" x14ac:dyDescent="0.2">
      <c r="AB463" s="9"/>
      <c r="AC463" s="20"/>
      <c r="AE463" s="22" cm="1">
        <f t="array" aca="1" ref="AE463" ca="1">SQRT(MMULT(MMULT(AG463:AK463,var_covar),TRANSPOSE(AG463:AK463)))</f>
        <v>8.6615013439920577E-2</v>
      </c>
      <c r="AF463" s="22">
        <f t="shared" ca="1" si="29"/>
        <v>2.5183288962551384E-2</v>
      </c>
      <c r="AG463">
        <f ca="1"/>
        <v>1.5864020155679091E-2</v>
      </c>
      <c r="AH463">
        <f ca="1"/>
        <v>0.54888965680362722</v>
      </c>
      <c r="AI463">
        <f ca="1"/>
        <v>0.42169530770390473</v>
      </c>
      <c r="AJ463">
        <f ca="1"/>
        <v>-9.8935379252018715E-2</v>
      </c>
      <c r="AK463">
        <f ca="1"/>
        <v>0.11248639458880753</v>
      </c>
      <c r="AN463" s="9">
        <v>0.15864396324411914</v>
      </c>
      <c r="AO463" s="9">
        <v>6.1215061369168065E-2</v>
      </c>
    </row>
    <row r="464" spans="28:41" x14ac:dyDescent="0.2">
      <c r="AB464" s="9"/>
      <c r="AC464" s="20"/>
      <c r="AE464" s="22" cm="1">
        <f t="array" aca="1" ref="AE464" ca="1">SQRT(MMULT(MMULT(AG464:AK464,var_covar),TRANSPOSE(AG464:AK464)))</f>
        <v>0.1070395543430107</v>
      </c>
      <c r="AF464" s="22">
        <f t="shared" ca="1" si="29"/>
        <v>1.7928221515139155E-2</v>
      </c>
      <c r="AG464">
        <f ca="1"/>
        <v>-5.5877568234980607E-3</v>
      </c>
      <c r="AH464">
        <f ca="1"/>
        <v>0.88977923694624483</v>
      </c>
      <c r="AI464">
        <f ca="1"/>
        <v>0.53180678843948503</v>
      </c>
      <c r="AJ464">
        <f ca="1"/>
        <v>-0.15311547433444325</v>
      </c>
      <c r="AK464">
        <f ca="1"/>
        <v>-0.26288279422778849</v>
      </c>
      <c r="AN464" s="9">
        <v>0.15845417203434833</v>
      </c>
      <c r="AO464" s="9">
        <v>2.5833573874356721E-2</v>
      </c>
    </row>
    <row r="465" spans="28:41" x14ac:dyDescent="0.2">
      <c r="AB465" s="9"/>
      <c r="AC465" s="20"/>
      <c r="AE465" s="22" cm="1">
        <f t="array" aca="1" ref="AE465" ca="1">SQRT(MMULT(MMULT(AG465:AK465,var_covar),TRANSPOSE(AG465:AK465)))</f>
        <v>0.13714060287809074</v>
      </c>
      <c r="AF465" s="22">
        <f t="shared" ca="1" si="29"/>
        <v>3.3568539792267989E-2</v>
      </c>
      <c r="AG465">
        <f ca="1"/>
        <v>-0.74394087118519059</v>
      </c>
      <c r="AH465">
        <f ca="1"/>
        <v>0.94530069420218998</v>
      </c>
      <c r="AI465">
        <f ca="1"/>
        <v>0.4033237448470694</v>
      </c>
      <c r="AJ465">
        <f ca="1"/>
        <v>0.46515651153413029</v>
      </c>
      <c r="AK465">
        <f ca="1"/>
        <v>-6.9840079398199029E-2</v>
      </c>
      <c r="AN465" s="9">
        <v>0.15807549414478517</v>
      </c>
      <c r="AO465" s="9">
        <v>2.7467200428364869E-2</v>
      </c>
    </row>
    <row r="466" spans="28:41" x14ac:dyDescent="0.2">
      <c r="AB466" s="9"/>
      <c r="AC466" s="20"/>
      <c r="AE466" s="22" cm="1">
        <f t="array" aca="1" ref="AE466" ca="1">SQRT(MMULT(MMULT(AG466:AK466,var_covar),TRANSPOSE(AG466:AK466)))</f>
        <v>0.19049414089567454</v>
      </c>
      <c r="AF466" s="22">
        <f t="shared" ca="1" si="29"/>
        <v>4.6100750927341949E-2</v>
      </c>
      <c r="AG466">
        <f ca="1"/>
        <v>-0.57956126603656066</v>
      </c>
      <c r="AH466">
        <f ca="1"/>
        <v>-2.8356463786120542E-2</v>
      </c>
      <c r="AI466">
        <f ca="1"/>
        <v>0.33763436516705736</v>
      </c>
      <c r="AJ466">
        <f ca="1"/>
        <v>0.31594380422551743</v>
      </c>
      <c r="AK466">
        <f ca="1"/>
        <v>0.95433956043010637</v>
      </c>
      <c r="AN466" s="9">
        <v>0.15802253010436326</v>
      </c>
      <c r="AO466" s="9">
        <v>2.8909350100462632E-3</v>
      </c>
    </row>
    <row r="467" spans="28:41" x14ac:dyDescent="0.2">
      <c r="AB467" s="9"/>
      <c r="AC467" s="20"/>
      <c r="AE467" s="22" cm="1">
        <f t="array" aca="1" ref="AE467" ca="1">SQRT(MMULT(MMULT(AG467:AK467,var_covar),TRANSPOSE(AG467:AK467)))</f>
        <v>0.31162353007605198</v>
      </c>
      <c r="AF467" s="22">
        <f t="shared" ca="1" si="29"/>
        <v>5.1320162833704837E-2</v>
      </c>
      <c r="AG467">
        <f ca="1"/>
        <v>0.25818104093025512</v>
      </c>
      <c r="AH467">
        <f ca="1"/>
        <v>-1.8004237340888358</v>
      </c>
      <c r="AI467">
        <f ca="1"/>
        <v>1.421045952424832</v>
      </c>
      <c r="AJ467">
        <f ca="1"/>
        <v>-0.16107130218738122</v>
      </c>
      <c r="AK467">
        <f ca="1"/>
        <v>1.2822680429211297</v>
      </c>
      <c r="AN467" s="9">
        <v>0.15754586179957447</v>
      </c>
      <c r="AO467" s="9">
        <v>3.0629797240546073E-2</v>
      </c>
    </row>
    <row r="468" spans="28:41" x14ac:dyDescent="0.2">
      <c r="AB468" s="9"/>
      <c r="AC468" s="20"/>
      <c r="AE468" s="22" cm="1">
        <f t="array" aca="1" ref="AE468" ca="1">SQRT(MMULT(MMULT(AG468:AK468,var_covar),TRANSPOSE(AG468:AK468)))</f>
        <v>0.66074732788477897</v>
      </c>
      <c r="AF468" s="22">
        <f t="shared" ca="1" si="29"/>
        <v>8.0803288906437315E-2</v>
      </c>
      <c r="AG468">
        <f ca="1"/>
        <v>1.2733441154380059</v>
      </c>
      <c r="AH468">
        <f ca="1"/>
        <v>-0.24334780437362713</v>
      </c>
      <c r="AI468">
        <f ca="1"/>
        <v>0.68404794807867075</v>
      </c>
      <c r="AJ468">
        <f ca="1"/>
        <v>2.9090868202348288</v>
      </c>
      <c r="AK468">
        <f ca="1"/>
        <v>-3.6231310793778784</v>
      </c>
      <c r="AN468" s="9">
        <v>0.15731349700230132</v>
      </c>
      <c r="AO468" s="9">
        <v>4.4107747222538629E-2</v>
      </c>
    </row>
    <row r="469" spans="28:41" x14ac:dyDescent="0.2">
      <c r="AB469" s="9"/>
      <c r="AC469" s="20"/>
      <c r="AE469" s="22" cm="1">
        <f t="array" aca="1" ref="AE469" ca="1">SQRT(MMULT(MMULT(AG469:AK469,var_covar),TRANSPOSE(AG469:AK469)))</f>
        <v>1.0809942927947489</v>
      </c>
      <c r="AF469" s="22">
        <f t="shared" ca="1" si="29"/>
        <v>0.16594522326244474</v>
      </c>
      <c r="AG469">
        <f ca="1"/>
        <v>-8.8805579985691576</v>
      </c>
      <c r="AH469">
        <f ca="1"/>
        <v>4.2087711948947275</v>
      </c>
      <c r="AI469">
        <f ca="1"/>
        <v>-3.414468716072443</v>
      </c>
      <c r="AJ469">
        <f ca="1"/>
        <v>6.2050753669015046</v>
      </c>
      <c r="AK469">
        <f ca="1"/>
        <v>2.8811801528453689</v>
      </c>
      <c r="AN469" s="9">
        <v>0.15726536074040273</v>
      </c>
      <c r="AO469" s="9">
        <v>5.3265571502441697E-2</v>
      </c>
    </row>
    <row r="470" spans="28:41" x14ac:dyDescent="0.2">
      <c r="AB470" s="9"/>
      <c r="AC470" s="20"/>
      <c r="AE470" s="22" cm="1">
        <f t="array" aca="1" ref="AE470" ca="1">SQRT(MMULT(MMULT(AG470:AK470,var_covar),TRANSPOSE(AG470:AK470)))</f>
        <v>0.10769168633986965</v>
      </c>
      <c r="AF470" s="22">
        <f t="shared" ca="1" si="29"/>
        <v>4.4608981559019822E-2</v>
      </c>
      <c r="AG470">
        <f ca="1"/>
        <v>0.33740492315216097</v>
      </c>
      <c r="AH470">
        <f ca="1"/>
        <v>-0.11391990373656642</v>
      </c>
      <c r="AI470">
        <f ca="1"/>
        <v>8.3383380686831515E-2</v>
      </c>
      <c r="AJ470">
        <f ca="1"/>
        <v>0.3428982228808799</v>
      </c>
      <c r="AK470">
        <f ca="1"/>
        <v>0.35023337701669388</v>
      </c>
      <c r="AN470" s="9">
        <v>0.1566657388554249</v>
      </c>
      <c r="AO470" s="9">
        <v>1.1680211783038071E-2</v>
      </c>
    </row>
    <row r="471" spans="28:41" x14ac:dyDescent="0.2">
      <c r="AB471" s="9"/>
      <c r="AC471" s="20"/>
      <c r="AE471" s="22" cm="1">
        <f t="array" aca="1" ref="AE471" ca="1">SQRT(MMULT(MMULT(AG471:AK471,var_covar),TRANSPOSE(AG471:AK471)))</f>
        <v>0.13936607291920489</v>
      </c>
      <c r="AF471" s="22">
        <f t="shared" ca="1" si="29"/>
        <v>1.184432167631326E-2</v>
      </c>
      <c r="AG471">
        <f ca="1"/>
        <v>0.65738782110428795</v>
      </c>
      <c r="AH471">
        <f ca="1"/>
        <v>-5.222367813478631E-2</v>
      </c>
      <c r="AI471">
        <f ca="1"/>
        <v>1.1551723197876063</v>
      </c>
      <c r="AJ471">
        <f ca="1"/>
        <v>-0.81057821418567388</v>
      </c>
      <c r="AK471">
        <f ca="1"/>
        <v>5.0241751428565858E-2</v>
      </c>
      <c r="AN471" s="9">
        <v>0.15635011946529948</v>
      </c>
      <c r="AO471" s="9">
        <v>3.9486812625995356E-2</v>
      </c>
    </row>
    <row r="472" spans="28:41" x14ac:dyDescent="0.2">
      <c r="AB472" s="9"/>
      <c r="AC472" s="20"/>
      <c r="AE472" s="22" cm="1">
        <f t="array" aca="1" ref="AE472" ca="1">SQRT(MMULT(MMULT(AG472:AK472,var_covar),TRANSPOSE(AG472:AK472)))</f>
        <v>8.8351988084275426E-2</v>
      </c>
      <c r="AF472" s="22">
        <f t="shared" ca="1" si="29"/>
        <v>3.3549070153895404E-2</v>
      </c>
      <c r="AG472">
        <f ca="1"/>
        <v>0.1397934126518332</v>
      </c>
      <c r="AH472">
        <f ca="1"/>
        <v>0.45826370905288394</v>
      </c>
      <c r="AI472">
        <f ca="1"/>
        <v>3.276806777185616E-2</v>
      </c>
      <c r="AJ472">
        <f ca="1"/>
        <v>0.14061367288236379</v>
      </c>
      <c r="AK472">
        <f ca="1"/>
        <v>0.22856113764106298</v>
      </c>
      <c r="AN472" s="9">
        <v>0.15624723032611723</v>
      </c>
      <c r="AO472" s="9">
        <v>4.840181040635453E-2</v>
      </c>
    </row>
    <row r="473" spans="28:41" x14ac:dyDescent="0.2">
      <c r="AB473" s="9"/>
      <c r="AC473" s="20"/>
      <c r="AE473" s="22" cm="1">
        <f t="array" aca="1" ref="AE473" ca="1">SQRT(MMULT(MMULT(AG473:AK473,var_covar),TRANSPOSE(AG473:AK473)))</f>
        <v>1.2846126152849076</v>
      </c>
      <c r="AF473" s="22">
        <f t="shared" ca="1" si="29"/>
        <v>-0.13855457163242482</v>
      </c>
      <c r="AG473">
        <f ca="1"/>
        <v>12.137204601144608</v>
      </c>
      <c r="AH473">
        <f ca="1"/>
        <v>-4.6932725065533534</v>
      </c>
      <c r="AI473">
        <f ca="1"/>
        <v>3.3311433990300516</v>
      </c>
      <c r="AJ473">
        <f ca="1"/>
        <v>-8.4965098767521354</v>
      </c>
      <c r="AK473">
        <f ca="1"/>
        <v>-1.2785656168691732</v>
      </c>
      <c r="AN473" s="9">
        <v>0.15618914821934063</v>
      </c>
      <c r="AO473" s="9">
        <v>4.1933349953100406E-2</v>
      </c>
    </row>
    <row r="474" spans="28:41" x14ac:dyDescent="0.2">
      <c r="AB474" s="9"/>
      <c r="AC474" s="20"/>
      <c r="AE474" s="22" cm="1">
        <f t="array" aca="1" ref="AE474" ca="1">SQRT(MMULT(MMULT(AG474:AK474,var_covar),TRANSPOSE(AG474:AK474)))</f>
        <v>0.15803660485293988</v>
      </c>
      <c r="AF474" s="22">
        <f t="shared" ca="1" si="29"/>
        <v>5.384560012233898E-2</v>
      </c>
      <c r="AG474">
        <f ca="1"/>
        <v>-0.25623064747345436</v>
      </c>
      <c r="AH474">
        <f ca="1"/>
        <v>0.581999151702558</v>
      </c>
      <c r="AI474">
        <f ca="1"/>
        <v>-0.64607951078362413</v>
      </c>
      <c r="AJ474">
        <f ca="1"/>
        <v>0.92627571353046279</v>
      </c>
      <c r="AK474">
        <f ca="1"/>
        <v>0.3940352930240576</v>
      </c>
      <c r="AN474" s="9">
        <v>0.15616666159957429</v>
      </c>
      <c r="AO474" s="9">
        <v>1.8183039653748595E-2</v>
      </c>
    </row>
    <row r="475" spans="28:41" x14ac:dyDescent="0.2">
      <c r="AB475" s="9"/>
      <c r="AC475" s="20"/>
      <c r="AE475" s="22" cm="1">
        <f t="array" aca="1" ref="AE475" ca="1">SQRT(MMULT(MMULT(AG475:AK475,var_covar),TRANSPOSE(AG475:AK475)))</f>
        <v>9.874512602753395E-2</v>
      </c>
      <c r="AF475" s="22">
        <f t="shared" ca="1" si="29"/>
        <v>3.5884788173811785E-2</v>
      </c>
      <c r="AG475">
        <f ca="1"/>
        <v>-6.6470281773888751E-2</v>
      </c>
      <c r="AH475">
        <f ca="1"/>
        <v>0.24592992259558838</v>
      </c>
      <c r="AI475">
        <f ca="1"/>
        <v>0.36708161518252402</v>
      </c>
      <c r="AJ475">
        <f ca="1"/>
        <v>0.17756090687685769</v>
      </c>
      <c r="AK475">
        <f ca="1"/>
        <v>0.27589783711891858</v>
      </c>
      <c r="AN475" s="9">
        <v>0.15606265263975394</v>
      </c>
      <c r="AO475" s="9">
        <v>2.4286305744169102E-2</v>
      </c>
    </row>
    <row r="476" spans="28:41" x14ac:dyDescent="0.2">
      <c r="AB476" s="9"/>
      <c r="AC476" s="20"/>
      <c r="AE476" s="22" cm="1">
        <f t="array" aca="1" ref="AE476" ca="1">SQRT(MMULT(MMULT(AG476:AK476,var_covar),TRANSPOSE(AG476:AK476)))</f>
        <v>0.10662309552832161</v>
      </c>
      <c r="AF476" s="22">
        <f t="shared" ca="1" si="29"/>
        <v>4.0713122191155693E-2</v>
      </c>
      <c r="AG476">
        <f ca="1"/>
        <v>0.313208585849304</v>
      </c>
      <c r="AH476">
        <f ca="1"/>
        <v>0.15575107188575557</v>
      </c>
      <c r="AI476">
        <f ca="1"/>
        <v>-0.12566343252739173</v>
      </c>
      <c r="AJ476">
        <f ca="1"/>
        <v>0.25278539385454157</v>
      </c>
      <c r="AK476">
        <f ca="1"/>
        <v>0.40391838093779076</v>
      </c>
      <c r="AN476" s="9">
        <v>0.15577648420811807</v>
      </c>
      <c r="AO476" s="9">
        <v>4.3613978884377638E-2</v>
      </c>
    </row>
    <row r="477" spans="28:41" x14ac:dyDescent="0.2">
      <c r="AB477" s="9"/>
      <c r="AC477" s="20"/>
      <c r="AE477" s="22" cm="1">
        <f t="array" aca="1" ref="AE477" ca="1">SQRT(MMULT(MMULT(AG477:AK477,var_covar),TRANSPOSE(AG477:AK477)))</f>
        <v>0.23799839025753811</v>
      </c>
      <c r="AF477" s="22">
        <f t="shared" ca="1" si="29"/>
        <v>7.3956766489989653E-2</v>
      </c>
      <c r="AG477">
        <f ca="1"/>
        <v>-1.2195837584282883</v>
      </c>
      <c r="AH477">
        <f ca="1"/>
        <v>0.40066661889200772</v>
      </c>
      <c r="AI477">
        <f ca="1"/>
        <v>-0.43681912324721933</v>
      </c>
      <c r="AJ477">
        <f ca="1"/>
        <v>1.6757457447012845</v>
      </c>
      <c r="AK477">
        <f ca="1"/>
        <v>0.57999051808221547</v>
      </c>
      <c r="AN477" s="9">
        <v>0.15572225646331714</v>
      </c>
      <c r="AO477" s="9">
        <v>3.1134325328200867E-2</v>
      </c>
    </row>
    <row r="478" spans="28:41" x14ac:dyDescent="0.2">
      <c r="AB478" s="9"/>
      <c r="AC478" s="20"/>
      <c r="AE478" s="22" cm="1">
        <f t="array" aca="1" ref="AE478" ca="1">SQRT(MMULT(MMULT(AG478:AK478,var_covar),TRANSPOSE(AG478:AK478)))</f>
        <v>0.16766111315311563</v>
      </c>
      <c r="AF478" s="22">
        <f t="shared" ca="1" si="29"/>
        <v>4.0991380037395934E-2</v>
      </c>
      <c r="AG478">
        <f ca="1"/>
        <v>0.25272617892308386</v>
      </c>
      <c r="AH478">
        <f ca="1"/>
        <v>-0.37187083012925048</v>
      </c>
      <c r="AI478">
        <f ca="1"/>
        <v>1.1781382125041742</v>
      </c>
      <c r="AJ478">
        <f ca="1"/>
        <v>0.42612284055084154</v>
      </c>
      <c r="AK478">
        <f ca="1"/>
        <v>-0.48511640184884913</v>
      </c>
      <c r="AN478" s="9">
        <v>0.15567440799933993</v>
      </c>
      <c r="AO478" s="9">
        <v>3.797738550449474E-2</v>
      </c>
    </row>
    <row r="479" spans="28:41" x14ac:dyDescent="0.2">
      <c r="AB479" s="9"/>
      <c r="AC479" s="20"/>
      <c r="AE479" s="22" cm="1">
        <f t="array" aca="1" ref="AE479" ca="1">SQRT(MMULT(MMULT(AG479:AK479,var_covar),TRANSPOSE(AG479:AK479)))</f>
        <v>0.29950687237335399</v>
      </c>
      <c r="AF479" s="22">
        <f t="shared" ca="1" si="29"/>
        <v>9.0662762276265574E-2</v>
      </c>
      <c r="AG479">
        <f ca="1"/>
        <v>-1.5834518183308075</v>
      </c>
      <c r="AH479">
        <f ca="1"/>
        <v>-0.46873244150241639</v>
      </c>
      <c r="AI479">
        <f ca="1"/>
        <v>0.27752764050251716</v>
      </c>
      <c r="AJ479">
        <f ca="1"/>
        <v>2.0690488328597652</v>
      </c>
      <c r="AK479">
        <f ca="1"/>
        <v>0.70560778647094136</v>
      </c>
      <c r="AN479" s="9">
        <v>0.15554477292861693</v>
      </c>
      <c r="AO479" s="9">
        <v>5.0676364791547149E-2</v>
      </c>
    </row>
    <row r="480" spans="28:41" x14ac:dyDescent="0.2">
      <c r="AB480" s="9"/>
      <c r="AC480" s="20"/>
      <c r="AE480" s="22" cm="1">
        <f t="array" aca="1" ref="AE480" ca="1">SQRT(MMULT(MMULT(AG480:AK480,var_covar),TRANSPOSE(AG480:AK480)))</f>
        <v>2.4162502739781324</v>
      </c>
      <c r="AF480" s="22">
        <f t="shared" ca="1" si="29"/>
        <v>-0.10875897246401395</v>
      </c>
      <c r="AG480">
        <f ca="1"/>
        <v>-11.52901460109503</v>
      </c>
      <c r="AH480">
        <f ca="1"/>
        <v>18.467574326903826</v>
      </c>
      <c r="AI480">
        <f ca="1"/>
        <v>-12.250959074589225</v>
      </c>
      <c r="AJ480">
        <f ca="1"/>
        <v>-1.818850683184581</v>
      </c>
      <c r="AK480">
        <f ca="1"/>
        <v>8.1312500319650134</v>
      </c>
      <c r="AN480" s="9">
        <v>0.1555344980903352</v>
      </c>
      <c r="AO480" s="9">
        <v>4.2536378732597496E-2</v>
      </c>
    </row>
    <row r="481" spans="28:41" x14ac:dyDescent="0.2">
      <c r="AB481" s="9"/>
      <c r="AC481" s="20"/>
      <c r="AE481" s="22" cm="1">
        <f t="array" aca="1" ref="AE481" ca="1">SQRT(MMULT(MMULT(AG481:AK481,var_covar),TRANSPOSE(AG481:AK481)))</f>
        <v>0.38458045874559887</v>
      </c>
      <c r="AF481" s="22">
        <f t="shared" ca="1" si="29"/>
        <v>-4.5362577148843487E-2</v>
      </c>
      <c r="AG481">
        <f ca="1"/>
        <v>-0.87516418206665447</v>
      </c>
      <c r="AH481">
        <f ca="1"/>
        <v>1.0242450781407408</v>
      </c>
      <c r="AI481">
        <f ca="1"/>
        <v>3.3082332696150782</v>
      </c>
      <c r="AJ481">
        <f ca="1"/>
        <v>-2.5265930819471083</v>
      </c>
      <c r="AK481">
        <f ca="1"/>
        <v>6.9278916257943829E-2</v>
      </c>
      <c r="AN481" s="9">
        <v>0.15551026992475322</v>
      </c>
      <c r="AO481" s="9">
        <v>5.7509170286561641E-2</v>
      </c>
    </row>
    <row r="482" spans="28:41" x14ac:dyDescent="0.2">
      <c r="AB482" s="9"/>
      <c r="AC482" s="20"/>
      <c r="AE482" s="22" cm="1">
        <f t="array" aca="1" ref="AE482" ca="1">SQRT(MMULT(MMULT(AG482:AK482,var_covar),TRANSPOSE(AG482:AK482)))</f>
        <v>0.19184811809960842</v>
      </c>
      <c r="AF482" s="22">
        <f t="shared" ca="1" si="29"/>
        <v>6.1988784730081375E-2</v>
      </c>
      <c r="AG482">
        <f ca="1"/>
        <v>-0.39866848723974541</v>
      </c>
      <c r="AH482">
        <f ca="1"/>
        <v>0.74720959242757801</v>
      </c>
      <c r="AI482">
        <f ca="1"/>
        <v>-0.89223170228344273</v>
      </c>
      <c r="AJ482">
        <f ca="1"/>
        <v>1.3654664881120138</v>
      </c>
      <c r="AK482">
        <f ca="1"/>
        <v>0.17822410898359634</v>
      </c>
      <c r="AN482" s="9">
        <v>0.15526467238766853</v>
      </c>
      <c r="AO482" s="9">
        <v>5.0668739120876036E-2</v>
      </c>
    </row>
    <row r="483" spans="28:41" x14ac:dyDescent="0.2">
      <c r="AB483" s="9"/>
      <c r="AC483" s="20"/>
      <c r="AE483" s="22" cm="1">
        <f t="array" aca="1" ref="AE483" ca="1">SQRT(MMULT(MMULT(AG483:AK483,var_covar),TRANSPOSE(AG483:AK483)))</f>
        <v>6.8841863426576673</v>
      </c>
      <c r="AF483" s="22">
        <f t="shared" ca="1" si="29"/>
        <v>-0.85795092589157906</v>
      </c>
      <c r="AG483">
        <f ca="1"/>
        <v>4.1092961943679924</v>
      </c>
      <c r="AH483">
        <f ca="1"/>
        <v>31.248416680202055</v>
      </c>
      <c r="AI483">
        <f ca="1"/>
        <v>16.949767824638943</v>
      </c>
      <c r="AJ483">
        <f ca="1"/>
        <v>-12.606114777209912</v>
      </c>
      <c r="AK483">
        <f ca="1"/>
        <v>-38.701365921999077</v>
      </c>
      <c r="AN483" s="9">
        <v>0.15497629499066359</v>
      </c>
      <c r="AO483" s="9">
        <v>6.0843049230810367E-2</v>
      </c>
    </row>
    <row r="484" spans="28:41" x14ac:dyDescent="0.2">
      <c r="AB484" s="9"/>
      <c r="AC484" s="20"/>
      <c r="AE484" s="22" cm="1">
        <f t="array" aca="1" ref="AE484" ca="1">SQRT(MMULT(MMULT(AG484:AK484,var_covar),TRANSPOSE(AG484:AK484)))</f>
        <v>0.1427906870671985</v>
      </c>
      <c r="AF484" s="22">
        <f t="shared" ca="1" si="29"/>
        <v>4.7784623499741344E-2</v>
      </c>
      <c r="AG484">
        <f ca="1"/>
        <v>-0.54684398336738838</v>
      </c>
      <c r="AH484">
        <f ca="1"/>
        <v>0.28605736431313195</v>
      </c>
      <c r="AI484">
        <f ca="1"/>
        <v>0.16053914724608337</v>
      </c>
      <c r="AJ484">
        <f ca="1"/>
        <v>0.61934865645599579</v>
      </c>
      <c r="AK484">
        <f ca="1"/>
        <v>0.48089881535217738</v>
      </c>
      <c r="AN484" s="9">
        <v>0.15468510757941337</v>
      </c>
      <c r="AO484" s="9">
        <v>3.6641555414898656E-2</v>
      </c>
    </row>
    <row r="485" spans="28:41" x14ac:dyDescent="0.2">
      <c r="AB485" s="9"/>
      <c r="AC485" s="20"/>
      <c r="AE485" s="22" cm="1">
        <f t="array" aca="1" ref="AE485" ca="1">SQRT(MMULT(MMULT(AG485:AK485,var_covar),TRANSPOSE(AG485:AK485)))</f>
        <v>0.15427603123733952</v>
      </c>
      <c r="AF485" s="22">
        <f t="shared" ca="1" si="29"/>
        <v>4.9750778063845702E-2</v>
      </c>
      <c r="AG485">
        <f ca="1"/>
        <v>1.0548453961042092</v>
      </c>
      <c r="AH485">
        <f ca="1"/>
        <v>-0.14955236057894711</v>
      </c>
      <c r="AI485">
        <f ca="1"/>
        <v>-0.75929760067600505</v>
      </c>
      <c r="AJ485">
        <f ca="1"/>
        <v>0.4259495740534372</v>
      </c>
      <c r="AK485">
        <f ca="1"/>
        <v>0.4280549910973056</v>
      </c>
      <c r="AN485" s="9">
        <v>0.1544942440294973</v>
      </c>
      <c r="AO485" s="9">
        <v>2.8080743309857846E-3</v>
      </c>
    </row>
    <row r="486" spans="28:41" x14ac:dyDescent="0.2">
      <c r="AB486" s="9"/>
      <c r="AC486" s="20"/>
      <c r="AE486" s="22" cm="1">
        <f t="array" aca="1" ref="AE486" ca="1">SQRT(MMULT(MMULT(AG486:AK486,var_covar),TRANSPOSE(AG486:AK486)))</f>
        <v>0.38750725333475222</v>
      </c>
      <c r="AF486" s="22">
        <f t="shared" ca="1" si="29"/>
        <v>4.6640684308021638E-2</v>
      </c>
      <c r="AG486">
        <f ca="1"/>
        <v>-0.13534554973511417</v>
      </c>
      <c r="AH486">
        <f ca="1"/>
        <v>-1.111018740263594</v>
      </c>
      <c r="AI486">
        <f ca="1"/>
        <v>0.45026697727885084</v>
      </c>
      <c r="AJ486">
        <f ca="1"/>
        <v>-0.42666248913265037</v>
      </c>
      <c r="AK486">
        <f ca="1"/>
        <v>2.2227598018525079</v>
      </c>
      <c r="AN486" s="9">
        <v>0.15364769626017902</v>
      </c>
      <c r="AO486" s="9">
        <v>2.4519661021846235E-2</v>
      </c>
    </row>
    <row r="487" spans="28:41" x14ac:dyDescent="0.2">
      <c r="AB487" s="9"/>
      <c r="AC487" s="20"/>
      <c r="AE487" s="22" cm="1">
        <f t="array" aca="1" ref="AE487" ca="1">SQRT(MMULT(MMULT(AG487:AK487,var_covar),TRANSPOSE(AG487:AK487)))</f>
        <v>0.28857236052906998</v>
      </c>
      <c r="AF487" s="22">
        <f t="shared" ca="1" si="29"/>
        <v>2.6634367151338947E-2</v>
      </c>
      <c r="AG487">
        <f ca="1"/>
        <v>0.69300317639253495</v>
      </c>
      <c r="AH487">
        <f ca="1"/>
        <v>0.38701763702185854</v>
      </c>
      <c r="AI487">
        <f ca="1"/>
        <v>1.1184759783606526</v>
      </c>
      <c r="AJ487">
        <f ca="1"/>
        <v>0.42274615055789566</v>
      </c>
      <c r="AK487">
        <f ca="1"/>
        <v>-1.6212429423329413</v>
      </c>
      <c r="AN487" s="9">
        <v>0.15343260480980575</v>
      </c>
      <c r="AO487" s="9">
        <v>2.1899683345786611E-2</v>
      </c>
    </row>
    <row r="488" spans="28:41" x14ac:dyDescent="0.2">
      <c r="AB488" s="9"/>
      <c r="AC488" s="20"/>
      <c r="AE488" s="22" cm="1">
        <f t="array" aca="1" ref="AE488" ca="1">SQRT(MMULT(MMULT(AG488:AK488,var_covar),TRANSPOSE(AG488:AK488)))</f>
        <v>9.4715552486547158E-2</v>
      </c>
      <c r="AF488" s="22">
        <f t="shared" ca="1" si="29"/>
        <v>3.1938311990473978E-2</v>
      </c>
      <c r="AG488">
        <f ca="1"/>
        <v>-0.11428131703040509</v>
      </c>
      <c r="AH488">
        <f ca="1"/>
        <v>0.44340843965441323</v>
      </c>
      <c r="AI488">
        <f ca="1"/>
        <v>0.49973528100946507</v>
      </c>
      <c r="AJ488">
        <f ca="1"/>
        <v>0.1832367361146183</v>
      </c>
      <c r="AK488">
        <f ca="1"/>
        <v>-1.2099139748091445E-2</v>
      </c>
      <c r="AN488" s="9">
        <v>0.15290687913990489</v>
      </c>
      <c r="AO488" s="9">
        <v>5.5874532207839472E-2</v>
      </c>
    </row>
    <row r="489" spans="28:41" x14ac:dyDescent="0.2">
      <c r="AB489" s="9"/>
      <c r="AC489" s="20"/>
      <c r="AE489" s="22" cm="1">
        <f t="array" aca="1" ref="AE489" ca="1">SQRT(MMULT(MMULT(AG489:AK489,var_covar),TRANSPOSE(AG489:AK489)))</f>
        <v>0.26940658241191501</v>
      </c>
      <c r="AF489" s="22">
        <f t="shared" ca="1" si="29"/>
        <v>8.6874986002449028E-2</v>
      </c>
      <c r="AG489">
        <f ca="1"/>
        <v>-0.23345540563963965</v>
      </c>
      <c r="AH489">
        <f ca="1"/>
        <v>-1.2359009438039461</v>
      </c>
      <c r="AI489">
        <f ca="1"/>
        <v>-2.1468312844423035E-2</v>
      </c>
      <c r="AJ489">
        <f ca="1"/>
        <v>1.4735129474659612</v>
      </c>
      <c r="AK489">
        <f ca="1"/>
        <v>1.0173117148220476</v>
      </c>
      <c r="AN489" s="9">
        <v>0.15285697399607978</v>
      </c>
      <c r="AO489" s="9">
        <v>3.59162919585191E-2</v>
      </c>
    </row>
    <row r="490" spans="28:41" x14ac:dyDescent="0.2">
      <c r="AB490" s="9"/>
      <c r="AC490" s="20"/>
      <c r="AE490" s="22" cm="1">
        <f t="array" aca="1" ref="AE490" ca="1">SQRT(MMULT(MMULT(AG490:AK490,var_covar),TRANSPOSE(AG490:AK490)))</f>
        <v>0.12030804847107088</v>
      </c>
      <c r="AF490" s="22">
        <f t="shared" ca="1" si="29"/>
        <v>3.9295708824716363E-2</v>
      </c>
      <c r="AG490">
        <f ca="1"/>
        <v>0.41403902769252038</v>
      </c>
      <c r="AH490">
        <f ca="1"/>
        <v>8.0844615415752233E-2</v>
      </c>
      <c r="AI490">
        <f ca="1"/>
        <v>-0.1590076338755135</v>
      </c>
      <c r="AJ490">
        <f ca="1"/>
        <v>0.12228917659438615</v>
      </c>
      <c r="AK490">
        <f ca="1"/>
        <v>0.54183481417285473</v>
      </c>
      <c r="AN490" s="9">
        <v>0.15207848890565254</v>
      </c>
      <c r="AO490" s="9">
        <v>3.0187075708502868E-2</v>
      </c>
    </row>
    <row r="491" spans="28:41" x14ac:dyDescent="0.2">
      <c r="AB491" s="9"/>
      <c r="AC491" s="20"/>
      <c r="AE491" s="22" cm="1">
        <f t="array" aca="1" ref="AE491" ca="1">SQRT(MMULT(MMULT(AG491:AK491,var_covar),TRANSPOSE(AG491:AK491)))</f>
        <v>9.4918273364411498E-2</v>
      </c>
      <c r="AF491" s="22">
        <f t="shared" ca="1" si="29"/>
        <v>4.3844731794850898E-2</v>
      </c>
      <c r="AG491">
        <f ca="1"/>
        <v>0.3239280044471487</v>
      </c>
      <c r="AH491">
        <f ca="1"/>
        <v>5.971268378984252E-2</v>
      </c>
      <c r="AI491">
        <f ca="1"/>
        <v>0.12295062686668433</v>
      </c>
      <c r="AJ491">
        <f ca="1"/>
        <v>0.47260366732295339</v>
      </c>
      <c r="AK491">
        <f ca="1"/>
        <v>2.0805017573370988E-2</v>
      </c>
      <c r="AN491" s="9">
        <v>0.15146113484431267</v>
      </c>
      <c r="AO491" s="9">
        <v>3.8196895137831151E-2</v>
      </c>
    </row>
    <row r="492" spans="28:41" x14ac:dyDescent="0.2">
      <c r="AB492" s="9"/>
      <c r="AC492" s="20"/>
      <c r="AE492" s="22" cm="1">
        <f t="array" aca="1" ref="AE492" ca="1">SQRT(MMULT(MMULT(AG492:AK492,var_covar),TRANSPOSE(AG492:AK492)))</f>
        <v>0.12520831335895743</v>
      </c>
      <c r="AF492" s="22">
        <f t="shared" ca="1" si="29"/>
        <v>4.1015591583814869E-2</v>
      </c>
      <c r="AG492">
        <f ca="1"/>
        <v>-0.12296781625691433</v>
      </c>
      <c r="AH492">
        <f ca="1"/>
        <v>0.10868433432764882</v>
      </c>
      <c r="AI492">
        <f ca="1"/>
        <v>0.72177854609201597</v>
      </c>
      <c r="AJ492">
        <f ca="1"/>
        <v>0.50374938149430393</v>
      </c>
      <c r="AK492">
        <f ca="1"/>
        <v>-0.21124444565705455</v>
      </c>
      <c r="AN492" s="9">
        <v>0.15137275747993156</v>
      </c>
      <c r="AO492" s="9">
        <v>5.3834749624150982E-2</v>
      </c>
    </row>
    <row r="493" spans="28:41" x14ac:dyDescent="0.2">
      <c r="AB493" s="9"/>
      <c r="AC493" s="20"/>
      <c r="AE493" s="22" cm="1">
        <f t="array" aca="1" ref="AE493" ca="1">SQRT(MMULT(MMULT(AG493:AK493,var_covar),TRANSPOSE(AG493:AK493)))</f>
        <v>0.11928379644531534</v>
      </c>
      <c r="AF493" s="22">
        <f t="shared" ca="1" si="29"/>
        <v>3.8787216983499122E-2</v>
      </c>
      <c r="AG493">
        <f ca="1"/>
        <v>-4.9863425676630643E-2</v>
      </c>
      <c r="AH493">
        <f ca="1"/>
        <v>-0.11707322675732994</v>
      </c>
      <c r="AI493">
        <f ca="1"/>
        <v>0.67377747740396232</v>
      </c>
      <c r="AJ493">
        <f ca="1"/>
        <v>0.17305686688121671</v>
      </c>
      <c r="AK493">
        <f ca="1"/>
        <v>0.32010230814878154</v>
      </c>
      <c r="AN493" s="9">
        <v>0.15132614340777967</v>
      </c>
      <c r="AO493" s="9">
        <v>3.8206598417224763E-2</v>
      </c>
    </row>
    <row r="494" spans="28:41" x14ac:dyDescent="0.2">
      <c r="AB494" s="9"/>
      <c r="AC494" s="20"/>
      <c r="AE494" s="22" cm="1">
        <f t="array" aca="1" ref="AE494" ca="1">SQRT(MMULT(MMULT(AG494:AK494,var_covar),TRANSPOSE(AG494:AK494)))</f>
        <v>0.35344395622264746</v>
      </c>
      <c r="AF494" s="22">
        <f t="shared" ca="1" si="29"/>
        <v>0.10320270277685062</v>
      </c>
      <c r="AG494">
        <f ca="1"/>
        <v>2.3460279170079068</v>
      </c>
      <c r="AH494">
        <f ca="1"/>
        <v>-2.9854725799780404</v>
      </c>
      <c r="AI494">
        <f ca="1"/>
        <v>-0.20641935002396766</v>
      </c>
      <c r="AJ494">
        <f ca="1"/>
        <v>1.6115058956323227</v>
      </c>
      <c r="AK494">
        <f ca="1"/>
        <v>0.23435811736177825</v>
      </c>
      <c r="AN494" s="9">
        <v>0.15020744969214153</v>
      </c>
      <c r="AO494" s="9">
        <v>1.889316464372344E-2</v>
      </c>
    </row>
    <row r="495" spans="28:41" x14ac:dyDescent="0.2">
      <c r="AB495" s="9"/>
      <c r="AC495" s="20"/>
      <c r="AE495" s="22" cm="1">
        <f t="array" aca="1" ref="AE495" ca="1">SQRT(MMULT(MMULT(AG495:AK495,var_covar),TRANSPOSE(AG495:AK495)))</f>
        <v>0.10007357962048304</v>
      </c>
      <c r="AF495" s="22">
        <f t="shared" ca="1" si="29"/>
        <v>4.3797290435206977E-2</v>
      </c>
      <c r="AG495">
        <f ca="1"/>
        <v>0.42868474856044453</v>
      </c>
      <c r="AH495">
        <f ca="1"/>
        <v>0.1213854852721781</v>
      </c>
      <c r="AI495">
        <f ca="1"/>
        <v>-0.17638427499867124</v>
      </c>
      <c r="AJ495">
        <f ca="1"/>
        <v>0.41118835525508929</v>
      </c>
      <c r="AK495">
        <f ca="1"/>
        <v>0.21512568591095929</v>
      </c>
      <c r="AN495" s="9">
        <v>0.15000533794637577</v>
      </c>
      <c r="AO495" s="9">
        <v>5.2526546496757635E-2</v>
      </c>
    </row>
    <row r="496" spans="28:41" x14ac:dyDescent="0.2">
      <c r="AB496" s="9"/>
      <c r="AC496" s="20"/>
      <c r="AE496" s="22" cm="1">
        <f t="array" aca="1" ref="AE496" ca="1">SQRT(MMULT(MMULT(AG496:AK496,var_covar),TRANSPOSE(AG496:AK496)))</f>
        <v>0.12650988280964748</v>
      </c>
      <c r="AF496" s="22">
        <f t="shared" ca="1" si="29"/>
        <v>1.6821764247824649E-2</v>
      </c>
      <c r="AG496">
        <f ca="1"/>
        <v>0.13004308366917941</v>
      </c>
      <c r="AH496">
        <f ca="1"/>
        <v>0.61123723621636472</v>
      </c>
      <c r="AI496">
        <f ca="1"/>
        <v>0.91589887158087202</v>
      </c>
      <c r="AJ496">
        <f ca="1"/>
        <v>-0.2282845755545394</v>
      </c>
      <c r="AK496">
        <f ca="1"/>
        <v>-0.42889461591187661</v>
      </c>
      <c r="AN496" s="9">
        <v>0.14999440432278302</v>
      </c>
      <c r="AO496" s="9">
        <v>3.8573423699628615E-2</v>
      </c>
    </row>
    <row r="497" spans="28:41" x14ac:dyDescent="0.2">
      <c r="AB497" s="9"/>
      <c r="AC497" s="20"/>
      <c r="AE497" s="22" cm="1">
        <f t="array" aca="1" ref="AE497" ca="1">SQRT(MMULT(MMULT(AG497:AK497,var_covar),TRANSPOSE(AG497:AK497)))</f>
        <v>0.31012654011014268</v>
      </c>
      <c r="AF497" s="22">
        <f t="shared" ca="1" si="29"/>
        <v>4.4684529316185759E-2</v>
      </c>
      <c r="AG497">
        <f ca="1"/>
        <v>-0.4830291728861093</v>
      </c>
      <c r="AH497">
        <f ca="1"/>
        <v>0.37864057439418453</v>
      </c>
      <c r="AI497">
        <f ca="1"/>
        <v>-0.7760007574165273</v>
      </c>
      <c r="AJ497">
        <f ca="1"/>
        <v>7.6792065774832177E-2</v>
      </c>
      <c r="AK497">
        <f ca="1"/>
        <v>1.8035972901336199</v>
      </c>
      <c r="AN497" s="9">
        <v>0.14992744030944211</v>
      </c>
      <c r="AO497" s="9">
        <v>5.2060503379080345E-2</v>
      </c>
    </row>
    <row r="498" spans="28:41" x14ac:dyDescent="0.2">
      <c r="AB498" s="9"/>
      <c r="AC498" s="20"/>
      <c r="AE498" s="22" cm="1">
        <f t="array" aca="1" ref="AE498" ca="1">SQRT(MMULT(MMULT(AG498:AK498,var_covar),TRANSPOSE(AG498:AK498)))</f>
        <v>0.19049801016517151</v>
      </c>
      <c r="AF498" s="22">
        <f t="shared" ca="1" si="29"/>
        <v>4.4335171185822926E-2</v>
      </c>
      <c r="AG498">
        <f ca="1"/>
        <v>0.8804379579735816</v>
      </c>
      <c r="AH498">
        <f ca="1"/>
        <v>-0.56633379190305866</v>
      </c>
      <c r="AI498">
        <f ca="1"/>
        <v>0.92640377325686885</v>
      </c>
      <c r="AJ498">
        <f ca="1"/>
        <v>0.5298293837532515</v>
      </c>
      <c r="AK498">
        <f ca="1"/>
        <v>-0.7703373230806434</v>
      </c>
      <c r="AN498" s="9">
        <v>0.14983492184098973</v>
      </c>
      <c r="AO498" s="9">
        <v>1.3804239241633307E-2</v>
      </c>
    </row>
    <row r="499" spans="28:41" x14ac:dyDescent="0.2">
      <c r="AB499" s="9"/>
      <c r="AC499" s="20"/>
      <c r="AE499" s="22" cm="1">
        <f t="array" aca="1" ref="AE499" ca="1">SQRT(MMULT(MMULT(AG499:AK499,var_covar),TRANSPOSE(AG499:AK499)))</f>
        <v>0.10421151688649523</v>
      </c>
      <c r="AF499" s="22">
        <f t="shared" ca="1" si="29"/>
        <v>1.4376690938480289E-2</v>
      </c>
      <c r="AG499">
        <f ca="1"/>
        <v>0.53345546858875148</v>
      </c>
      <c r="AH499">
        <f ca="1"/>
        <v>0.28703885751943425</v>
      </c>
      <c r="AI499">
        <f ca="1"/>
        <v>0.76943927818837909</v>
      </c>
      <c r="AJ499">
        <f ca="1"/>
        <v>-0.5959817252223889</v>
      </c>
      <c r="AK499">
        <f ca="1"/>
        <v>6.0481209258241696E-3</v>
      </c>
      <c r="AN499" s="9">
        <v>0.14976352975165524</v>
      </c>
      <c r="AO499" s="9">
        <v>5.7716080167015085E-2</v>
      </c>
    </row>
    <row r="500" spans="28:41" x14ac:dyDescent="0.2">
      <c r="AB500" s="9"/>
      <c r="AC500" s="20"/>
      <c r="AE500" s="22" cm="1">
        <f t="array" aca="1" ref="AE500" ca="1">SQRT(MMULT(MMULT(AG500:AK500,var_covar),TRANSPOSE(AG500:AK500)))</f>
        <v>0.37360535563268538</v>
      </c>
      <c r="AF500" s="22">
        <f t="shared" ca="1" si="29"/>
        <v>1.286600365620535E-2</v>
      </c>
      <c r="AG500">
        <f ca="1"/>
        <v>4.3747158602171128</v>
      </c>
      <c r="AH500">
        <f ca="1"/>
        <v>-0.82628059114226038</v>
      </c>
      <c r="AI500">
        <f ca="1"/>
        <v>-0.94996854447973911</v>
      </c>
      <c r="AJ500">
        <f ca="1"/>
        <v>-1.2302820580094267</v>
      </c>
      <c r="AK500">
        <f ca="1"/>
        <v>-0.36818466658568677</v>
      </c>
      <c r="AN500" s="9">
        <v>0.1496373994857414</v>
      </c>
      <c r="AO500" s="9">
        <v>2.9163688947009454E-2</v>
      </c>
    </row>
    <row r="501" spans="28:41" x14ac:dyDescent="0.2">
      <c r="AB501" s="9"/>
      <c r="AC501" s="20"/>
      <c r="AE501" s="22" cm="1">
        <f t="array" aca="1" ref="AE501" ca="1">SQRT(MMULT(MMULT(AG501:AK501,var_covar),TRANSPOSE(AG501:AK501)))</f>
        <v>0.66251281061293477</v>
      </c>
      <c r="AF501" s="22">
        <f t="shared" ca="1" si="29"/>
        <v>-0.10441973014395194</v>
      </c>
      <c r="AG501">
        <f ca="1"/>
        <v>-0.56020004143591817</v>
      </c>
      <c r="AH501">
        <f ca="1"/>
        <v>4.9179060704995168</v>
      </c>
      <c r="AI501">
        <f ca="1"/>
        <v>-0.91253108386968906</v>
      </c>
      <c r="AJ501">
        <f ca="1"/>
        <v>-4.3638016862729812</v>
      </c>
      <c r="AK501">
        <f ca="1"/>
        <v>1.9186267410790718</v>
      </c>
      <c r="AN501" s="9">
        <v>0.14953279791813423</v>
      </c>
      <c r="AO501" s="9">
        <v>4.379772836180363E-2</v>
      </c>
    </row>
    <row r="502" spans="28:41" x14ac:dyDescent="0.2">
      <c r="AB502" s="9"/>
      <c r="AC502" s="20"/>
      <c r="AE502" s="22" cm="1">
        <f t="array" aca="1" ref="AE502" ca="1">SQRT(MMULT(MMULT(AG502:AK502,var_covar),TRANSPOSE(AG502:AK502)))</f>
        <v>8.7245619989030063E-2</v>
      </c>
      <c r="AF502" s="22">
        <f t="shared" ca="1" si="29"/>
        <v>3.6527345510034198E-2</v>
      </c>
      <c r="AG502">
        <f ca="1"/>
        <v>0.39322861953067073</v>
      </c>
      <c r="AH502">
        <f ca="1"/>
        <v>0.1551349859792871</v>
      </c>
      <c r="AI502">
        <f ca="1"/>
        <v>7.978440259407768E-2</v>
      </c>
      <c r="AJ502">
        <f ca="1"/>
        <v>0.14585356233144381</v>
      </c>
      <c r="AK502">
        <f ca="1"/>
        <v>0.22599842956452065</v>
      </c>
      <c r="AN502" s="9">
        <v>0.14936821256790167</v>
      </c>
      <c r="AO502" s="9">
        <v>4.2813636310549005E-2</v>
      </c>
    </row>
    <row r="503" spans="28:41" x14ac:dyDescent="0.2">
      <c r="AB503" s="9"/>
      <c r="AC503" s="20"/>
      <c r="AE503" s="22" cm="1">
        <f t="array" aca="1" ref="AE503" ca="1">SQRT(MMULT(MMULT(AG503:AK503,var_covar),TRANSPOSE(AG503:AK503)))</f>
        <v>0.10302825940110691</v>
      </c>
      <c r="AF503" s="22">
        <f t="shared" ca="1" si="29"/>
        <v>3.8551894620768988E-2</v>
      </c>
      <c r="AG503">
        <f ca="1"/>
        <v>0.15183724647795596</v>
      </c>
      <c r="AH503">
        <f ca="1"/>
        <v>-9.7860680587432206E-2</v>
      </c>
      <c r="AI503">
        <f ca="1"/>
        <v>0.56844078271527398</v>
      </c>
      <c r="AJ503">
        <f ca="1"/>
        <v>0.19389046866985288</v>
      </c>
      <c r="AK503">
        <f ca="1"/>
        <v>0.18369218272434942</v>
      </c>
      <c r="AN503" s="9">
        <v>0.14874696673553772</v>
      </c>
      <c r="AO503" s="9">
        <v>-5.7211186556388478E-3</v>
      </c>
    </row>
    <row r="504" spans="28:41" x14ac:dyDescent="0.2">
      <c r="AB504" s="9"/>
      <c r="AC504" s="20"/>
      <c r="AE504" s="22" cm="1">
        <f t="array" aca="1" ref="AE504" ca="1">SQRT(MMULT(MMULT(AG504:AK504,var_covar),TRANSPOSE(AG504:AK504)))</f>
        <v>0.16635269243469475</v>
      </c>
      <c r="AF504" s="22">
        <f t="shared" ca="1" si="29"/>
        <v>6.4279660871712052E-2</v>
      </c>
      <c r="AG504">
        <f ca="1"/>
        <v>0.58390318759461424</v>
      </c>
      <c r="AH504">
        <f ca="1"/>
        <v>-4.0014715211244896E-2</v>
      </c>
      <c r="AI504">
        <f ca="1"/>
        <v>-0.81725834177121137</v>
      </c>
      <c r="AJ504">
        <f ca="1"/>
        <v>1.1584528292269847</v>
      </c>
      <c r="AK504">
        <f ca="1"/>
        <v>0.11491704016085759</v>
      </c>
      <c r="AN504" s="9">
        <v>0.14839537433557484</v>
      </c>
      <c r="AO504" s="9">
        <v>2.1417697961356719E-2</v>
      </c>
    </row>
    <row r="505" spans="28:41" x14ac:dyDescent="0.2">
      <c r="AB505" s="9"/>
      <c r="AC505" s="20"/>
      <c r="AE505" s="22" cm="1">
        <f t="array" aca="1" ref="AE505" ca="1">SQRT(MMULT(MMULT(AG505:AK505,var_covar),TRANSPOSE(AG505:AK505)))</f>
        <v>0.19671526057999722</v>
      </c>
      <c r="AF505" s="22">
        <f t="shared" ca="1" si="29"/>
        <v>2.3228406235265574E-2</v>
      </c>
      <c r="AG505">
        <f ca="1"/>
        <v>0.72303078373184604</v>
      </c>
      <c r="AH505">
        <f ca="1"/>
        <v>0.94272793061228399</v>
      </c>
      <c r="AI505">
        <f ca="1"/>
        <v>-1.0514504137859957</v>
      </c>
      <c r="AJ505">
        <f ca="1"/>
        <v>-0.35047067499958551</v>
      </c>
      <c r="AK505">
        <f ca="1"/>
        <v>0.73616237444145094</v>
      </c>
      <c r="AN505" s="9">
        <v>0.14830499553362247</v>
      </c>
      <c r="AO505" s="9">
        <v>3.4060618428357857E-2</v>
      </c>
    </row>
    <row r="506" spans="28:41" x14ac:dyDescent="0.2">
      <c r="AB506" s="9"/>
      <c r="AC506" s="20"/>
      <c r="AE506" s="22" cm="1">
        <f t="array" aca="1" ref="AE506" ca="1">SQRT(MMULT(MMULT(AG506:AK506,var_covar),TRANSPOSE(AG506:AK506)))</f>
        <v>9.0254824316996399E-2</v>
      </c>
      <c r="AF506" s="22">
        <f t="shared" ca="1" si="29"/>
        <v>3.8040333567742356E-2</v>
      </c>
      <c r="AG506">
        <f ca="1"/>
        <v>0.11966977480346259</v>
      </c>
      <c r="AH506">
        <f ca="1"/>
        <v>0.26458745829689473</v>
      </c>
      <c r="AI506">
        <f ca="1"/>
        <v>0.14004254191159671</v>
      </c>
      <c r="AJ506">
        <f ca="1"/>
        <v>0.26689948000546859</v>
      </c>
      <c r="AK506">
        <f ca="1"/>
        <v>0.20880074498257734</v>
      </c>
      <c r="AN506" s="9">
        <v>0.14723283660902223</v>
      </c>
      <c r="AO506" s="9">
        <v>4.1188650659762849E-2</v>
      </c>
    </row>
    <row r="507" spans="28:41" x14ac:dyDescent="0.2">
      <c r="AB507" s="9"/>
      <c r="AC507" s="20"/>
      <c r="AE507" s="22" cm="1">
        <f t="array" aca="1" ref="AE507" ca="1">SQRT(MMULT(MMULT(AG507:AK507,var_covar),TRANSPOSE(AG507:AK507)))</f>
        <v>0.11311367910844171</v>
      </c>
      <c r="AF507" s="22">
        <f t="shared" ca="1" si="29"/>
        <v>2.264986758065049E-2</v>
      </c>
      <c r="AG507">
        <f ca="1"/>
        <v>4.3658571505448218E-2</v>
      </c>
      <c r="AH507">
        <f ca="1"/>
        <v>0.39688314081264225</v>
      </c>
      <c r="AI507">
        <f ca="1"/>
        <v>0.45696528300038025</v>
      </c>
      <c r="AJ507">
        <f ca="1"/>
        <v>-0.35359584485750689</v>
      </c>
      <c r="AK507">
        <f ca="1"/>
        <v>0.45608884953903622</v>
      </c>
      <c r="AN507" s="9">
        <v>0.14672280663810142</v>
      </c>
      <c r="AO507" s="9">
        <v>5.1181541412716275E-2</v>
      </c>
    </row>
    <row r="508" spans="28:41" x14ac:dyDescent="0.2">
      <c r="AB508" s="9"/>
      <c r="AC508" s="20"/>
      <c r="AE508" s="22" cm="1">
        <f t="array" aca="1" ref="AE508" ca="1">SQRT(MMULT(MMULT(AG508:AK508,var_covar),TRANSPOSE(AG508:AK508)))</f>
        <v>0.11880961675379879</v>
      </c>
      <c r="AF508" s="22">
        <f t="shared" ca="1" si="29"/>
        <v>2.1058258475979263E-2</v>
      </c>
      <c r="AG508">
        <f ca="1"/>
        <v>0.14276573161539574</v>
      </c>
      <c r="AH508">
        <f ca="1"/>
        <v>0.12753259207410933</v>
      </c>
      <c r="AI508">
        <f ca="1"/>
        <v>1.0807560876374354</v>
      </c>
      <c r="AJ508">
        <f ca="1"/>
        <v>-0.33964691476107689</v>
      </c>
      <c r="AK508">
        <f ca="1"/>
        <v>-1.1407496565863562E-2</v>
      </c>
      <c r="AN508" s="9">
        <v>0.14631554055461049</v>
      </c>
      <c r="AO508" s="9">
        <v>3.5694617698178804E-2</v>
      </c>
    </row>
    <row r="509" spans="28:41" x14ac:dyDescent="0.2">
      <c r="AB509" s="9"/>
      <c r="AC509" s="20"/>
      <c r="AE509" s="22" cm="1">
        <f t="array" aca="1" ref="AE509" ca="1">SQRT(MMULT(MMULT(AG509:AK509,var_covar),TRANSPOSE(AG509:AK509)))</f>
        <v>0.11089404137277162</v>
      </c>
      <c r="AF509" s="22">
        <f t="shared" ca="1" si="29"/>
        <v>4.9567791265147265E-2</v>
      </c>
      <c r="AG509">
        <f ca="1"/>
        <v>0.13850975954607053</v>
      </c>
      <c r="AH509">
        <f ca="1"/>
        <v>7.4404306895415204E-2</v>
      </c>
      <c r="AI509">
        <f ca="1"/>
        <v>-5.4955895230536053E-2</v>
      </c>
      <c r="AJ509">
        <f ca="1"/>
        <v>0.65703721818916261</v>
      </c>
      <c r="AK509">
        <f ca="1"/>
        <v>0.18500461059988782</v>
      </c>
      <c r="AN509" s="9">
        <v>0.14617782009719812</v>
      </c>
      <c r="AO509" s="9">
        <v>6.1465955202800883E-2</v>
      </c>
    </row>
    <row r="510" spans="28:41" x14ac:dyDescent="0.2">
      <c r="AB510" s="9"/>
      <c r="AC510" s="20"/>
      <c r="AE510" s="22" cm="1">
        <f t="array" aca="1" ref="AE510" ca="1">SQRT(MMULT(MMULT(AG510:AK510,var_covar),TRANSPOSE(AG510:AK510)))</f>
        <v>0.14442775336874444</v>
      </c>
      <c r="AF510" s="22">
        <f t="shared" ca="1" si="29"/>
        <v>3.0357462531575046E-2</v>
      </c>
      <c r="AG510">
        <f ca="1"/>
        <v>-0.23838256451224354</v>
      </c>
      <c r="AH510">
        <f ca="1"/>
        <v>0.57230573843866539</v>
      </c>
      <c r="AI510">
        <f ca="1"/>
        <v>1.621706954781248E-2</v>
      </c>
      <c r="AJ510">
        <f ca="1"/>
        <v>-7.647351942315922E-2</v>
      </c>
      <c r="AK510">
        <f ca="1"/>
        <v>0.72633327594892494</v>
      </c>
      <c r="AN510" s="9">
        <v>0.14599505132857327</v>
      </c>
      <c r="AO510" s="9">
        <v>6.0808816585835222E-2</v>
      </c>
    </row>
    <row r="511" spans="28:41" x14ac:dyDescent="0.2">
      <c r="AB511" s="9"/>
      <c r="AC511" s="20"/>
      <c r="AE511" s="22" cm="1">
        <f t="array" aca="1" ref="AE511" ca="1">SQRT(MMULT(MMULT(AG511:AK511,var_covar),TRANSPOSE(AG511:AK511)))</f>
        <v>0.12185775387759017</v>
      </c>
      <c r="AF511" s="22">
        <f t="shared" ca="1" si="29"/>
        <v>3.2875011612069023E-2</v>
      </c>
      <c r="AG511">
        <f ca="1"/>
        <v>0.86385637072050536</v>
      </c>
      <c r="AH511">
        <f ca="1"/>
        <v>-0.31045862745736574</v>
      </c>
      <c r="AI511">
        <f ca="1"/>
        <v>0.74234030444898902</v>
      </c>
      <c r="AJ511">
        <f ca="1"/>
        <v>1.2682646539687785E-2</v>
      </c>
      <c r="AK511">
        <f ca="1"/>
        <v>-0.30842069425181667</v>
      </c>
      <c r="AN511" s="9">
        <v>0.14588060845692408</v>
      </c>
      <c r="AO511" s="9">
        <v>3.0437564668462321E-2</v>
      </c>
    </row>
    <row r="512" spans="28:41" x14ac:dyDescent="0.2">
      <c r="AB512" s="9"/>
      <c r="AC512" s="20"/>
      <c r="AE512" s="22" cm="1">
        <f t="array" aca="1" ref="AE512" ca="1">SQRT(MMULT(MMULT(AG512:AK512,var_covar),TRANSPOSE(AG512:AK512)))</f>
        <v>0.21635160995949421</v>
      </c>
      <c r="AF512" s="22">
        <f t="shared" ca="1" si="29"/>
        <v>4.1043918244857334E-2</v>
      </c>
      <c r="AG512">
        <f ca="1"/>
        <v>0.13160583671597492</v>
      </c>
      <c r="AH512">
        <f ca="1"/>
        <v>1.0150390356194089E-2</v>
      </c>
      <c r="AI512">
        <f ca="1"/>
        <v>1.1247332590387722</v>
      </c>
      <c r="AJ512">
        <f ca="1"/>
        <v>0.70741316316421055</v>
      </c>
      <c r="AK512">
        <f ca="1"/>
        <v>-0.97390264927515158</v>
      </c>
      <c r="AN512" s="9">
        <v>0.14583303277844051</v>
      </c>
      <c r="AO512" s="9">
        <v>1.9754992975314533E-2</v>
      </c>
    </row>
    <row r="513" spans="28:41" x14ac:dyDescent="0.2">
      <c r="AB513" s="9"/>
      <c r="AC513" s="20"/>
      <c r="AE513" s="22" cm="1">
        <f t="array" aca="1" ref="AE513" ca="1">SQRT(MMULT(MMULT(AG513:AK513,var_covar),TRANSPOSE(AG513:AK513)))</f>
        <v>0.15719785850889717</v>
      </c>
      <c r="AF513" s="22">
        <f t="shared" ca="1" si="29"/>
        <v>4.0032314110020652E-2</v>
      </c>
      <c r="AG513">
        <f ca="1"/>
        <v>-0.15652276135886015</v>
      </c>
      <c r="AH513">
        <f ca="1"/>
        <v>9.6818606259280987E-2</v>
      </c>
      <c r="AI513">
        <f ca="1"/>
        <v>0.11455641257337917</v>
      </c>
      <c r="AJ513">
        <f ca="1"/>
        <v>0.11898566457682273</v>
      </c>
      <c r="AK513">
        <f ca="1"/>
        <v>0.82616207794937724</v>
      </c>
      <c r="AN513" s="9">
        <v>0.14558434337881748</v>
      </c>
      <c r="AO513" s="9">
        <v>2.7085430430484399E-2</v>
      </c>
    </row>
    <row r="514" spans="28:41" x14ac:dyDescent="0.2">
      <c r="AB514" s="9"/>
      <c r="AC514" s="20"/>
      <c r="AE514" s="22" cm="1">
        <f t="array" aca="1" ref="AE514" ca="1">SQRT(MMULT(MMULT(AG514:AK514,var_covar),TRANSPOSE(AG514:AK514)))</f>
        <v>0.13336194988868252</v>
      </c>
      <c r="AF514" s="22">
        <f t="shared" ca="1" si="29"/>
        <v>3.1826278948890473E-2</v>
      </c>
      <c r="AG514">
        <f ca="1"/>
        <v>0.80738557321445048</v>
      </c>
      <c r="AH514">
        <f ca="1"/>
        <v>0.59985141939897413</v>
      </c>
      <c r="AI514">
        <f ca="1"/>
        <v>-0.72977714795797288</v>
      </c>
      <c r="AJ514">
        <f ca="1"/>
        <v>1.7929346625648088E-2</v>
      </c>
      <c r="AK514">
        <f ca="1"/>
        <v>0.30461080871890034</v>
      </c>
      <c r="AN514" s="9">
        <v>0.14534301860448839</v>
      </c>
      <c r="AO514" s="9">
        <v>4.9850097342477473E-2</v>
      </c>
    </row>
    <row r="515" spans="28:41" x14ac:dyDescent="0.2">
      <c r="AB515" s="9"/>
      <c r="AC515" s="20"/>
      <c r="AE515" s="22" cm="1">
        <f t="array" aca="1" ref="AE515" ca="1">SQRT(MMULT(MMULT(AG515:AK515,var_covar),TRANSPOSE(AG515:AK515)))</f>
        <v>9.1261978090572099E-2</v>
      </c>
      <c r="AF515" s="22">
        <f t="shared" ca="1" si="29"/>
        <v>2.3927370851652842E-2</v>
      </c>
      <c r="AG515">
        <f ca="1"/>
        <v>0.35458044322020693</v>
      </c>
      <c r="AH515">
        <f ca="1"/>
        <v>0.23242408562254696</v>
      </c>
      <c r="AI515">
        <f ca="1"/>
        <v>0.49265642923266156</v>
      </c>
      <c r="AJ515">
        <f ca="1"/>
        <v>-0.30472816410982578</v>
      </c>
      <c r="AK515">
        <f ca="1"/>
        <v>0.22506720603441022</v>
      </c>
      <c r="AN515" s="9">
        <v>0.14475517831905177</v>
      </c>
      <c r="AO515" s="9">
        <v>4.5309734641343302E-2</v>
      </c>
    </row>
    <row r="516" spans="28:41" x14ac:dyDescent="0.2">
      <c r="AB516" s="9"/>
      <c r="AC516" s="20"/>
      <c r="AE516" s="22" cm="1">
        <f t="array" aca="1" ref="AE516" ca="1">SQRT(MMULT(MMULT(AG516:AK516,var_covar),TRANSPOSE(AG516:AK516)))</f>
        <v>1.3220497677388059</v>
      </c>
      <c r="AF516" s="22">
        <f t="shared" ref="AF516:AF579" ca="1" si="30">SUMPRODUCT(AG516:AK516,$S$2:$W$2)</f>
        <v>-0.2493010856163865</v>
      </c>
      <c r="AG516">
        <f ca="1"/>
        <v>-2.0145481272456549</v>
      </c>
      <c r="AH516">
        <f ca="1"/>
        <v>4.8447889093346186</v>
      </c>
      <c r="AI516">
        <f ca="1"/>
        <v>4.3507545542950217</v>
      </c>
      <c r="AJ516">
        <f ca="1"/>
        <v>-10.508755550346685</v>
      </c>
      <c r="AK516">
        <f ca="1"/>
        <v>4.3277602139627005</v>
      </c>
      <c r="AN516" s="9">
        <v>0.14437666628793383</v>
      </c>
      <c r="AO516" s="9">
        <v>4.271790070138861E-2</v>
      </c>
    </row>
    <row r="517" spans="28:41" x14ac:dyDescent="0.2">
      <c r="AB517" s="9"/>
      <c r="AC517" s="20"/>
      <c r="AE517" s="22" cm="1">
        <f t="array" aca="1" ref="AE517" ca="1">SQRT(MMULT(MMULT(AG517:AK517,var_covar),TRANSPOSE(AG517:AK517)))</f>
        <v>0.30031119483110091</v>
      </c>
      <c r="AF517" s="22">
        <f t="shared" ca="1" si="30"/>
        <v>6.2830660579115766E-2</v>
      </c>
      <c r="AG517">
        <f ca="1"/>
        <v>-0.94479914729609005</v>
      </c>
      <c r="AH517">
        <f ca="1"/>
        <v>1.3062165025026009</v>
      </c>
      <c r="AI517">
        <f ca="1"/>
        <v>-0.37232543130762352</v>
      </c>
      <c r="AJ517">
        <f ca="1"/>
        <v>1.9945404513759533</v>
      </c>
      <c r="AK517">
        <f ca="1"/>
        <v>-0.9836323752748406</v>
      </c>
      <c r="AN517" s="9">
        <v>0.14435810721335898</v>
      </c>
      <c r="AO517" s="9">
        <v>2.8414334952291714E-2</v>
      </c>
    </row>
    <row r="518" spans="28:41" x14ac:dyDescent="0.2">
      <c r="AB518" s="9"/>
      <c r="AC518" s="20"/>
      <c r="AE518" s="22" cm="1">
        <f t="array" aca="1" ref="AE518" ca="1">SQRT(MMULT(MMULT(AG518:AK518,var_covar),TRANSPOSE(AG518:AK518)))</f>
        <v>0.36495070793577272</v>
      </c>
      <c r="AF518" s="22">
        <f t="shared" ca="1" si="30"/>
        <v>0.11612559014765197</v>
      </c>
      <c r="AG518">
        <f ca="1"/>
        <v>-0.16080108689841965</v>
      </c>
      <c r="AH518">
        <f ca="1"/>
        <v>-1.2819026871909374</v>
      </c>
      <c r="AI518">
        <f ca="1"/>
        <v>-1.2963241901285303</v>
      </c>
      <c r="AJ518">
        <f ca="1"/>
        <v>2.4752016921634938</v>
      </c>
      <c r="AK518">
        <f ca="1"/>
        <v>1.2638262720543934</v>
      </c>
      <c r="AN518" s="9">
        <v>0.14426040704446311</v>
      </c>
      <c r="AO518" s="9">
        <v>4.2500873474154419E-2</v>
      </c>
    </row>
    <row r="519" spans="28:41" x14ac:dyDescent="0.2">
      <c r="AB519" s="9"/>
      <c r="AC519" s="20"/>
      <c r="AE519" s="22" cm="1">
        <f t="array" aca="1" ref="AE519" ca="1">SQRT(MMULT(MMULT(AG519:AK519,var_covar),TRANSPOSE(AG519:AK519)))</f>
        <v>0.50365788264347067</v>
      </c>
      <c r="AF519" s="22">
        <f t="shared" ca="1" si="30"/>
        <v>-2.8707291030141802E-2</v>
      </c>
      <c r="AG519">
        <f ca="1"/>
        <v>2.1284126634481226</v>
      </c>
      <c r="AH519">
        <f ca="1"/>
        <v>3.3545512328302958</v>
      </c>
      <c r="AI519">
        <f ca="1"/>
        <v>-1.503596066357705</v>
      </c>
      <c r="AJ519">
        <f ca="1"/>
        <v>-0.84993672927805808</v>
      </c>
      <c r="AK519">
        <f ca="1"/>
        <v>-2.1294311006426558</v>
      </c>
      <c r="AN519" s="9">
        <v>0.14368828676613893</v>
      </c>
      <c r="AO519" s="9">
        <v>5.9432030230535518E-2</v>
      </c>
    </row>
    <row r="520" spans="28:41" x14ac:dyDescent="0.2">
      <c r="AB520" s="9"/>
      <c r="AC520" s="20"/>
      <c r="AE520" s="22" cm="1">
        <f t="array" aca="1" ref="AE520" ca="1">SQRT(MMULT(MMULT(AG520:AK520,var_covar),TRANSPOSE(AG520:AK520)))</f>
        <v>0.27168248616486168</v>
      </c>
      <c r="AF520" s="22">
        <f t="shared" ca="1" si="30"/>
        <v>6.8010794789212597E-2</v>
      </c>
      <c r="AG520">
        <f ca="1"/>
        <v>-9.3818051970903538E-2</v>
      </c>
      <c r="AH520">
        <f ca="1"/>
        <v>-1.517656123626824</v>
      </c>
      <c r="AI520">
        <f ca="1"/>
        <v>0.86898395191503031</v>
      </c>
      <c r="AJ520">
        <f ca="1"/>
        <v>0.64353679999488378</v>
      </c>
      <c r="AK520">
        <f ca="1"/>
        <v>1.0989534236878136</v>
      </c>
      <c r="AN520" s="9">
        <v>0.14366409600916549</v>
      </c>
      <c r="AO520" s="9">
        <v>2.143199078418228E-2</v>
      </c>
    </row>
    <row r="521" spans="28:41" x14ac:dyDescent="0.2">
      <c r="AB521" s="9"/>
      <c r="AC521" s="20"/>
      <c r="AE521" s="22" cm="1">
        <f t="array" aca="1" ref="AE521" ca="1">SQRT(MMULT(MMULT(AG521:AK521,var_covar),TRANSPOSE(AG521:AK521)))</f>
        <v>0.11526361199569871</v>
      </c>
      <c r="AF521" s="22">
        <f t="shared" ca="1" si="30"/>
        <v>4.4216271162854814E-2</v>
      </c>
      <c r="AG521">
        <f ca="1"/>
        <v>0.38733054009512757</v>
      </c>
      <c r="AH521">
        <f ca="1"/>
        <v>0.19022647936986919</v>
      </c>
      <c r="AI521">
        <f ca="1"/>
        <v>0.11207460475528833</v>
      </c>
      <c r="AJ521">
        <f ca="1"/>
        <v>0.62882745439924659</v>
      </c>
      <c r="AK521">
        <f ca="1"/>
        <v>-0.31845907861953165</v>
      </c>
      <c r="AN521" s="9">
        <v>0.14348437887835774</v>
      </c>
      <c r="AO521" s="9">
        <v>4.7336144449990764E-2</v>
      </c>
    </row>
    <row r="522" spans="28:41" x14ac:dyDescent="0.2">
      <c r="AB522" s="9"/>
      <c r="AC522" s="20"/>
      <c r="AE522" s="22" cm="1">
        <f t="array" aca="1" ref="AE522" ca="1">SQRT(MMULT(MMULT(AG522:AK522,var_covar),TRANSPOSE(AG522:AK522)))</f>
        <v>0.25711527211907337</v>
      </c>
      <c r="AF522" s="22">
        <f t="shared" ca="1" si="30"/>
        <v>-3.0665921151343048E-2</v>
      </c>
      <c r="AG522">
        <f ca="1"/>
        <v>-0.38765312770564375</v>
      </c>
      <c r="AH522">
        <f ca="1"/>
        <v>2.0150860290729526</v>
      </c>
      <c r="AI522">
        <f ca="1"/>
        <v>0.75651169897060089</v>
      </c>
      <c r="AJ522">
        <f ca="1"/>
        <v>-1.9099981372134573</v>
      </c>
      <c r="AK522">
        <f ca="1"/>
        <v>0.52605353687554746</v>
      </c>
      <c r="AN522" s="9">
        <v>0.14346229252400311</v>
      </c>
      <c r="AO522" s="9">
        <v>5.752959956182447E-2</v>
      </c>
    </row>
    <row r="523" spans="28:41" x14ac:dyDescent="0.2">
      <c r="AB523" s="9"/>
      <c r="AC523" s="20"/>
      <c r="AE523" s="22" cm="1">
        <f t="array" aca="1" ref="AE523" ca="1">SQRT(MMULT(MMULT(AG523:AK523,var_covar),TRANSPOSE(AG523:AK523)))</f>
        <v>0.35195005383148553</v>
      </c>
      <c r="AF523" s="22">
        <f t="shared" ca="1" si="30"/>
        <v>5.4572090007018806E-3</v>
      </c>
      <c r="AG523">
        <f ca="1"/>
        <v>0.76390904810323512</v>
      </c>
      <c r="AH523">
        <f ca="1"/>
        <v>-0.68657221445623329</v>
      </c>
      <c r="AI523">
        <f ca="1"/>
        <v>2.9902690594339156</v>
      </c>
      <c r="AJ523">
        <f ca="1"/>
        <v>-0.78687890907922942</v>
      </c>
      <c r="AK523">
        <f ca="1"/>
        <v>-1.2807269840016879</v>
      </c>
      <c r="AN523" s="9">
        <v>0.14342513907548049</v>
      </c>
      <c r="AO523" s="9">
        <v>5.5165144776046407E-2</v>
      </c>
    </row>
    <row r="524" spans="28:41" x14ac:dyDescent="0.2">
      <c r="AB524" s="9"/>
      <c r="AC524" s="20"/>
      <c r="AE524" s="22" cm="1">
        <f t="array" aca="1" ref="AE524" ca="1">SQRT(MMULT(MMULT(AG524:AK524,var_covar),TRANSPOSE(AG524:AK524)))</f>
        <v>0.26722271665840736</v>
      </c>
      <c r="AF524" s="22">
        <f t="shared" ca="1" si="30"/>
        <v>7.5202577683006339E-2</v>
      </c>
      <c r="AG524">
        <f ca="1"/>
        <v>-7.3930259112979749E-2</v>
      </c>
      <c r="AH524">
        <f ca="1"/>
        <v>-1.7046166822475073</v>
      </c>
      <c r="AI524">
        <f ca="1"/>
        <v>1.4043990973383913</v>
      </c>
      <c r="AJ524">
        <f ca="1"/>
        <v>1.1593141288770574</v>
      </c>
      <c r="AK524">
        <f ca="1"/>
        <v>0.21483371514503841</v>
      </c>
      <c r="AN524" s="9">
        <v>0.14279526989911456</v>
      </c>
      <c r="AO524" s="9">
        <v>2.8417799226745814E-2</v>
      </c>
    </row>
    <row r="525" spans="28:41" x14ac:dyDescent="0.2">
      <c r="AB525" s="9"/>
      <c r="AC525" s="20"/>
      <c r="AE525" s="22" cm="1">
        <f t="array" aca="1" ref="AE525" ca="1">SQRT(MMULT(MMULT(AG525:AK525,var_covar),TRANSPOSE(AG525:AK525)))</f>
        <v>0.19737981369939389</v>
      </c>
      <c r="AF525" s="22">
        <f t="shared" ca="1" si="30"/>
        <v>5.8831702398083247E-2</v>
      </c>
      <c r="AG525">
        <f ca="1"/>
        <v>-0.69073253198440077</v>
      </c>
      <c r="AH525">
        <f ca="1"/>
        <v>-0.20260731235358867</v>
      </c>
      <c r="AI525">
        <f ca="1"/>
        <v>0.25691377200107895</v>
      </c>
      <c r="AJ525">
        <f ca="1"/>
        <v>0.80155622619380917</v>
      </c>
      <c r="AK525">
        <f ca="1"/>
        <v>0.83486984614310134</v>
      </c>
      <c r="AN525" s="9">
        <v>0.14248274759357768</v>
      </c>
      <c r="AO525" s="9">
        <v>2.2853889167964141E-2</v>
      </c>
    </row>
    <row r="526" spans="28:41" x14ac:dyDescent="0.2">
      <c r="AB526" s="9"/>
      <c r="AC526" s="20"/>
      <c r="AE526" s="22" cm="1">
        <f t="array" aca="1" ref="AE526" ca="1">SQRT(MMULT(MMULT(AG526:AK526,var_covar),TRANSPOSE(AG526:AK526)))</f>
        <v>8.6492568784138552E-2</v>
      </c>
      <c r="AF526" s="22">
        <f t="shared" ca="1" si="30"/>
        <v>2.5885126952625914E-2</v>
      </c>
      <c r="AG526">
        <f ca="1"/>
        <v>0.44963881642148934</v>
      </c>
      <c r="AH526">
        <f ca="1"/>
        <v>0.64343048494870436</v>
      </c>
      <c r="AI526">
        <f ca="1"/>
        <v>-9.5842749136019659E-2</v>
      </c>
      <c r="AJ526">
        <f ca="1"/>
        <v>-8.4008974260804739E-2</v>
      </c>
      <c r="AK526">
        <f ca="1"/>
        <v>8.6782422026630737E-2</v>
      </c>
      <c r="AN526" s="9">
        <v>0.14220490758836937</v>
      </c>
      <c r="AO526" s="9">
        <v>5.3493822373628055E-2</v>
      </c>
    </row>
    <row r="527" spans="28:41" x14ac:dyDescent="0.2">
      <c r="AB527" s="9"/>
      <c r="AC527" s="20"/>
      <c r="AE527" s="22" cm="1">
        <f t="array" aca="1" ref="AE527" ca="1">SQRT(MMULT(MMULT(AG527:AK527,var_covar),TRANSPOSE(AG527:AK527)))</f>
        <v>0.41844404647193034</v>
      </c>
      <c r="AF527" s="22">
        <f t="shared" ca="1" si="30"/>
        <v>3.1943579142758041E-2</v>
      </c>
      <c r="AG527">
        <f ca="1"/>
        <v>0.49596606257417614</v>
      </c>
      <c r="AH527">
        <f ca="1"/>
        <v>1.2727689212463775</v>
      </c>
      <c r="AI527">
        <f ca="1"/>
        <v>0.48207004841216061</v>
      </c>
      <c r="AJ527">
        <f ca="1"/>
        <v>1.1399729504014515</v>
      </c>
      <c r="AK527">
        <f ca="1"/>
        <v>-2.3907779826341655</v>
      </c>
      <c r="AN527" s="9">
        <v>0.14193855061919383</v>
      </c>
      <c r="AO527" s="9">
        <v>3.0895319362271197E-2</v>
      </c>
    </row>
    <row r="528" spans="28:41" x14ac:dyDescent="0.2">
      <c r="AB528" s="9"/>
      <c r="AC528" s="20"/>
      <c r="AE528" s="22" cm="1">
        <f t="array" aca="1" ref="AE528" ca="1">SQRT(MMULT(MMULT(AG528:AK528,var_covar),TRANSPOSE(AG528:AK528)))</f>
        <v>0.21214073753475182</v>
      </c>
      <c r="AF528" s="22">
        <f t="shared" ca="1" si="30"/>
        <v>4.296387016483047E-2</v>
      </c>
      <c r="AG528">
        <f ca="1"/>
        <v>0.36000207664530248</v>
      </c>
      <c r="AH528">
        <f ca="1"/>
        <v>-0.37722333891520327</v>
      </c>
      <c r="AI528">
        <f ca="1"/>
        <v>-9.6717226033165765E-2</v>
      </c>
      <c r="AJ528">
        <f ca="1"/>
        <v>-7.296581654782755E-2</v>
      </c>
      <c r="AK528">
        <f ca="1"/>
        <v>1.186904304850894</v>
      </c>
      <c r="AN528" s="9">
        <v>0.14184809344947852</v>
      </c>
      <c r="AO528" s="9">
        <v>5.5532441092156708E-2</v>
      </c>
    </row>
    <row r="529" spans="28:41" x14ac:dyDescent="0.2">
      <c r="AB529" s="9"/>
      <c r="AC529" s="20"/>
      <c r="AE529" s="22" cm="1">
        <f t="array" aca="1" ref="AE529" ca="1">SQRT(MMULT(MMULT(AG529:AK529,var_covar),TRANSPOSE(AG529:AK529)))</f>
        <v>0.4419997283794308</v>
      </c>
      <c r="AF529" s="22">
        <f t="shared" ca="1" si="30"/>
        <v>7.2944549367189512E-3</v>
      </c>
      <c r="AG529">
        <f ca="1"/>
        <v>-1.3101303212715556</v>
      </c>
      <c r="AH529">
        <f ca="1"/>
        <v>-1.0594350830252355</v>
      </c>
      <c r="AI529">
        <f ca="1"/>
        <v>3.8091344056223413</v>
      </c>
      <c r="AJ529">
        <f ca="1"/>
        <v>-1.3269385932275988</v>
      </c>
      <c r="AK529">
        <f ca="1"/>
        <v>0.88736959190204845</v>
      </c>
      <c r="AN529" s="9">
        <v>0.14164827476357683</v>
      </c>
      <c r="AO529" s="9">
        <v>2.9570521623472176E-2</v>
      </c>
    </row>
    <row r="530" spans="28:41" x14ac:dyDescent="0.2">
      <c r="AB530" s="9"/>
      <c r="AC530" s="20"/>
      <c r="AE530" s="22" cm="1">
        <f t="array" aca="1" ref="AE530" ca="1">SQRT(MMULT(MMULT(AG530:AK530,var_covar),TRANSPOSE(AG530:AK530)))</f>
        <v>9.4366180857120716E-2</v>
      </c>
      <c r="AF530" s="22">
        <f t="shared" ca="1" si="30"/>
        <v>3.9228250593511454E-2</v>
      </c>
      <c r="AG530">
        <f ca="1"/>
        <v>0.14568074710737286</v>
      </c>
      <c r="AH530">
        <f ca="1"/>
        <v>0.12014908745533633</v>
      </c>
      <c r="AI530">
        <f ca="1"/>
        <v>0.22610480354568008</v>
      </c>
      <c r="AJ530">
        <f ca="1"/>
        <v>0.25555343740133057</v>
      </c>
      <c r="AK530">
        <f ca="1"/>
        <v>0.25251192449028004</v>
      </c>
      <c r="AN530" s="9">
        <v>0.14147873692421853</v>
      </c>
      <c r="AO530" s="9">
        <v>1.8805410392214953E-3</v>
      </c>
    </row>
    <row r="531" spans="28:41" x14ac:dyDescent="0.2">
      <c r="AB531" s="9"/>
      <c r="AC531" s="20"/>
      <c r="AE531" s="22" cm="1">
        <f t="array" aca="1" ref="AE531" ca="1">SQRT(MMULT(MMULT(AG531:AK531,var_covar),TRANSPOSE(AG531:AK531)))</f>
        <v>0.1671922506260016</v>
      </c>
      <c r="AF531" s="22">
        <f t="shared" ca="1" si="30"/>
        <v>4.1609915948063007E-2</v>
      </c>
      <c r="AG531">
        <f ca="1"/>
        <v>0.56595956396374458</v>
      </c>
      <c r="AH531">
        <f ca="1"/>
        <v>-0.92150400337981508</v>
      </c>
      <c r="AI531">
        <f ca="1"/>
        <v>1.2304648001436644</v>
      </c>
      <c r="AJ531">
        <f ca="1"/>
        <v>9.664553197149639E-2</v>
      </c>
      <c r="AK531">
        <f ca="1"/>
        <v>2.8434107300909662E-2</v>
      </c>
      <c r="AN531" s="9">
        <v>0.14088296181245741</v>
      </c>
      <c r="AO531" s="9">
        <v>3.2997071397154701E-2</v>
      </c>
    </row>
    <row r="532" spans="28:41" x14ac:dyDescent="0.2">
      <c r="AB532" s="9"/>
      <c r="AC532" s="20"/>
      <c r="AE532" s="22" cm="1">
        <f t="array" aca="1" ref="AE532" ca="1">SQRT(MMULT(MMULT(AG532:AK532,var_covar),TRANSPOSE(AG532:AK532)))</f>
        <v>8.6192160479496044E-2</v>
      </c>
      <c r="AF532" s="22">
        <f t="shared" ca="1" si="30"/>
        <v>3.4294876132623706E-2</v>
      </c>
      <c r="AG532">
        <f ca="1"/>
        <v>0.31209232955131733</v>
      </c>
      <c r="AH532">
        <f ca="1"/>
        <v>0.16261676659367727</v>
      </c>
      <c r="AI532">
        <f ca="1"/>
        <v>0.22412224616283308</v>
      </c>
      <c r="AJ532">
        <f ca="1"/>
        <v>7.055477474892935E-2</v>
      </c>
      <c r="AK532">
        <f ca="1"/>
        <v>0.23061388294324298</v>
      </c>
      <c r="AN532" s="9">
        <v>0.14056362365499223</v>
      </c>
      <c r="AO532" s="9">
        <v>1.664114177465071E-2</v>
      </c>
    </row>
    <row r="533" spans="28:41" x14ac:dyDescent="0.2">
      <c r="AB533" s="9"/>
      <c r="AC533" s="20"/>
      <c r="AE533" s="22" cm="1">
        <f t="array" aca="1" ref="AE533" ca="1">SQRT(MMULT(MMULT(AG533:AK533,var_covar),TRANSPOSE(AG533:AK533)))</f>
        <v>0.15422212686067829</v>
      </c>
      <c r="AF533" s="22">
        <f t="shared" ca="1" si="30"/>
        <v>5.2394204154876584E-2</v>
      </c>
      <c r="AG533">
        <f ca="1"/>
        <v>-0.3970420200074396</v>
      </c>
      <c r="AH533">
        <f ca="1"/>
        <v>-2.2837330434812703E-2</v>
      </c>
      <c r="AI533">
        <f ca="1"/>
        <v>0.16181139893914037</v>
      </c>
      <c r="AJ533">
        <f ca="1"/>
        <v>0.65301882893966168</v>
      </c>
      <c r="AK533">
        <f ca="1"/>
        <v>0.60504912256345011</v>
      </c>
      <c r="AN533" s="9">
        <v>0.14008799175562398</v>
      </c>
      <c r="AO533" s="9">
        <v>2.9131937668480403E-2</v>
      </c>
    </row>
    <row r="534" spans="28:41" x14ac:dyDescent="0.2">
      <c r="AB534" s="9"/>
      <c r="AC534" s="20"/>
      <c r="AE534" s="22" cm="1">
        <f t="array" aca="1" ref="AE534" ca="1">SQRT(MMULT(MMULT(AG534:AK534,var_covar),TRANSPOSE(AG534:AK534)))</f>
        <v>0.10980647638775839</v>
      </c>
      <c r="AF534" s="22">
        <f t="shared" ca="1" si="30"/>
        <v>3.7022358058320985E-2</v>
      </c>
      <c r="AG534">
        <f ca="1"/>
        <v>0.19554244488349215</v>
      </c>
      <c r="AH534">
        <f ca="1"/>
        <v>-0.1475436464508029</v>
      </c>
      <c r="AI534">
        <f ca="1"/>
        <v>0.78020886920552712</v>
      </c>
      <c r="AJ534">
        <f ca="1"/>
        <v>0.18386938460152022</v>
      </c>
      <c r="AK534">
        <f ca="1"/>
        <v>-1.2077052239736581E-2</v>
      </c>
      <c r="AN534" s="9">
        <v>0.1398234480544365</v>
      </c>
      <c r="AO534" s="9">
        <v>1.7574699086785588E-3</v>
      </c>
    </row>
    <row r="535" spans="28:41" x14ac:dyDescent="0.2">
      <c r="AB535" s="9"/>
      <c r="AC535" s="20"/>
      <c r="AE535" s="22" cm="1">
        <f t="array" aca="1" ref="AE535" ca="1">SQRT(MMULT(MMULT(AG535:AK535,var_covar),TRANSPOSE(AG535:AK535)))</f>
        <v>8.4527506912467507E-2</v>
      </c>
      <c r="AF535" s="22">
        <f t="shared" ca="1" si="30"/>
        <v>3.6540355840033317E-2</v>
      </c>
      <c r="AG535">
        <f ca="1"/>
        <v>0.59586923442320761</v>
      </c>
      <c r="AH535">
        <f ca="1"/>
        <v>0.1956904409834056</v>
      </c>
      <c r="AI535">
        <f ca="1"/>
        <v>-3.4733505058175754E-3</v>
      </c>
      <c r="AJ535">
        <f ca="1"/>
        <v>0.21166496101146987</v>
      </c>
      <c r="AK535">
        <f ca="1"/>
        <v>2.4871408773451261E-4</v>
      </c>
      <c r="AN535" s="9">
        <v>0.13961374764894838</v>
      </c>
      <c r="AO535" s="9">
        <v>4.5456860467291069E-2</v>
      </c>
    </row>
    <row r="536" spans="28:41" x14ac:dyDescent="0.2">
      <c r="AB536" s="9"/>
      <c r="AC536" s="20"/>
      <c r="AE536" s="22" cm="1">
        <f t="array" aca="1" ref="AE536" ca="1">SQRT(MMULT(MMULT(AG536:AK536,var_covar),TRANSPOSE(AG536:AK536)))</f>
        <v>9.4800284943907145E-2</v>
      </c>
      <c r="AF536" s="22">
        <f t="shared" ca="1" si="30"/>
        <v>3.595155739127414E-2</v>
      </c>
      <c r="AG536">
        <f ca="1"/>
        <v>0.80487345309823111</v>
      </c>
      <c r="AH536">
        <f ca="1"/>
        <v>4.7534087845115806E-2</v>
      </c>
      <c r="AI536">
        <f ca="1"/>
        <v>0.15192003819213817</v>
      </c>
      <c r="AJ536">
        <f ca="1"/>
        <v>0.19441739768418445</v>
      </c>
      <c r="AK536">
        <f ca="1"/>
        <v>-0.19874497681966946</v>
      </c>
      <c r="AN536" s="9">
        <v>0.13959518675969429</v>
      </c>
      <c r="AO536" s="9">
        <v>2.0797910939398291E-2</v>
      </c>
    </row>
    <row r="537" spans="28:41" x14ac:dyDescent="0.2">
      <c r="AB537" s="9"/>
      <c r="AC537" s="20"/>
      <c r="AE537" s="22" cm="1">
        <f t="array" aca="1" ref="AE537" ca="1">SQRT(MMULT(MMULT(AG537:AK537,var_covar),TRANSPOSE(AG537:AK537)))</f>
        <v>0.1528990144150279</v>
      </c>
      <c r="AF537" s="22">
        <f t="shared" ca="1" si="30"/>
        <v>4.9645866343710196E-2</v>
      </c>
      <c r="AG537">
        <f ca="1"/>
        <v>2.0686354330036513E-2</v>
      </c>
      <c r="AH537">
        <f ca="1"/>
        <v>-0.22986062352685646</v>
      </c>
      <c r="AI537">
        <f ca="1"/>
        <v>7.9698863718521515E-2</v>
      </c>
      <c r="AJ537">
        <f ca="1"/>
        <v>0.41203927946348395</v>
      </c>
      <c r="AK537">
        <f ca="1"/>
        <v>0.71743612601481443</v>
      </c>
      <c r="AN537" s="9">
        <v>0.13956179760328669</v>
      </c>
      <c r="AO537" s="9">
        <v>4.698970827927574E-2</v>
      </c>
    </row>
    <row r="538" spans="28:41" x14ac:dyDescent="0.2">
      <c r="AB538" s="9"/>
      <c r="AC538" s="20"/>
      <c r="AE538" s="22" cm="1">
        <f t="array" aca="1" ref="AE538" ca="1">SQRT(MMULT(MMULT(AG538:AK538,var_covar),TRANSPOSE(AG538:AK538)))</f>
        <v>0.18527467914222287</v>
      </c>
      <c r="AF538" s="22">
        <f t="shared" ca="1" si="30"/>
        <v>6.979256388270208E-2</v>
      </c>
      <c r="AG538">
        <f ca="1"/>
        <v>-0.40797651419694403</v>
      </c>
      <c r="AH538">
        <f ca="1"/>
        <v>4.0331460581810856E-2</v>
      </c>
      <c r="AI538">
        <f ca="1"/>
        <v>-0.41409831812457243</v>
      </c>
      <c r="AJ538">
        <f ca="1"/>
        <v>1.4044006845466674</v>
      </c>
      <c r="AK538">
        <f ca="1"/>
        <v>0.37734268719303793</v>
      </c>
      <c r="AN538" s="9">
        <v>0.13942495446041464</v>
      </c>
      <c r="AO538" s="9">
        <v>4.3925201201403259E-2</v>
      </c>
    </row>
    <row r="539" spans="28:41" x14ac:dyDescent="0.2">
      <c r="AB539" s="9"/>
      <c r="AC539" s="20"/>
      <c r="AE539" s="22" cm="1">
        <f t="array" aca="1" ref="AE539" ca="1">SQRT(MMULT(MMULT(AG539:AK539,var_covar),TRANSPOSE(AG539:AK539)))</f>
        <v>0.12230725411754326</v>
      </c>
      <c r="AF539" s="22">
        <f t="shared" ca="1" si="30"/>
        <v>5.0206907574031345E-2</v>
      </c>
      <c r="AG539">
        <f ca="1"/>
        <v>0.24630487139657792</v>
      </c>
      <c r="AH539">
        <f ca="1"/>
        <v>-0.18424430719595752</v>
      </c>
      <c r="AI539">
        <f ca="1"/>
        <v>3.3245579306100514E-3</v>
      </c>
      <c r="AJ539">
        <f ca="1"/>
        <v>0.52502365686151098</v>
      </c>
      <c r="AK539">
        <f ca="1"/>
        <v>0.40959122100725848</v>
      </c>
      <c r="AN539" s="9">
        <v>0.13941369728232325</v>
      </c>
      <c r="AO539" s="9">
        <v>4.082816322068486E-2</v>
      </c>
    </row>
    <row r="540" spans="28:41" x14ac:dyDescent="0.2">
      <c r="AB540" s="9"/>
      <c r="AC540" s="20"/>
      <c r="AE540" s="22" cm="1">
        <f t="array" aca="1" ref="AE540" ca="1">SQRT(MMULT(MMULT(AG540:AK540,var_covar),TRANSPOSE(AG540:AK540)))</f>
        <v>0.16348286012350044</v>
      </c>
      <c r="AF540" s="22">
        <f t="shared" ca="1" si="30"/>
        <v>4.7955858153922504E-2</v>
      </c>
      <c r="AG540">
        <f ca="1"/>
        <v>-1.4703934825379988E-2</v>
      </c>
      <c r="AH540">
        <f ca="1"/>
        <v>-0.53101818342989215</v>
      </c>
      <c r="AI540">
        <f ca="1"/>
        <v>0.58938684725288193</v>
      </c>
      <c r="AJ540">
        <f ca="1"/>
        <v>0.28728017762325764</v>
      </c>
      <c r="AK540">
        <f ca="1"/>
        <v>0.66905509337913249</v>
      </c>
      <c r="AN540" s="9">
        <v>0.13941254207196291</v>
      </c>
      <c r="AO540" s="9">
        <v>5.3848970037558966E-2</v>
      </c>
    </row>
    <row r="541" spans="28:41" x14ac:dyDescent="0.2">
      <c r="AB541" s="9"/>
      <c r="AC541" s="20"/>
      <c r="AE541" s="22" cm="1">
        <f t="array" aca="1" ref="AE541" ca="1">SQRT(MMULT(MMULT(AG541:AK541,var_covar),TRANSPOSE(AG541:AK541)))</f>
        <v>0.10636655384766223</v>
      </c>
      <c r="AF541" s="22">
        <f t="shared" ca="1" si="30"/>
        <v>4.2335563307830747E-2</v>
      </c>
      <c r="AG541">
        <f ca="1"/>
        <v>-2.1813867508563976E-2</v>
      </c>
      <c r="AH541">
        <f ca="1"/>
        <v>9.6859940319753937E-2</v>
      </c>
      <c r="AI541">
        <f ca="1"/>
        <v>0.24492714097810486</v>
      </c>
      <c r="AJ541">
        <f ca="1"/>
        <v>0.36236647805517858</v>
      </c>
      <c r="AK541">
        <f ca="1"/>
        <v>0.31766030815552654</v>
      </c>
      <c r="AN541" s="9">
        <v>0.13909738253222761</v>
      </c>
      <c r="AO541" s="9">
        <v>2.5494284407936663E-2</v>
      </c>
    </row>
    <row r="542" spans="28:41" x14ac:dyDescent="0.2">
      <c r="AB542" s="9"/>
      <c r="AC542" s="20"/>
      <c r="AE542" s="22" cm="1">
        <f t="array" aca="1" ref="AE542" ca="1">SQRT(MMULT(MMULT(AG542:AK542,var_covar),TRANSPOSE(AG542:AK542)))</f>
        <v>0.24706671838221519</v>
      </c>
      <c r="AF542" s="22">
        <f t="shared" ca="1" si="30"/>
        <v>5.028652474063347E-2</v>
      </c>
      <c r="AG542">
        <f ca="1"/>
        <v>-0.4625032866367747</v>
      </c>
      <c r="AH542">
        <f ca="1"/>
        <v>1.271182240915008</v>
      </c>
      <c r="AI542">
        <f ca="1"/>
        <v>-0.336944929370178</v>
      </c>
      <c r="AJ542">
        <f ca="1"/>
        <v>1.4350527892111955</v>
      </c>
      <c r="AK542">
        <f ca="1"/>
        <v>-0.90678681411925111</v>
      </c>
      <c r="AN542" s="9">
        <v>0.13904782793199491</v>
      </c>
      <c r="AO542" s="9">
        <v>1.4066050299689214E-2</v>
      </c>
    </row>
    <row r="543" spans="28:41" x14ac:dyDescent="0.2">
      <c r="AB543" s="9"/>
      <c r="AC543" s="20"/>
      <c r="AE543" s="22" cm="1">
        <f t="array" aca="1" ref="AE543" ca="1">SQRT(MMULT(MMULT(AG543:AK543,var_covar),TRANSPOSE(AG543:AK543)))</f>
        <v>0.15861107232629826</v>
      </c>
      <c r="AF543" s="22">
        <f t="shared" ca="1" si="30"/>
        <v>6.0498464340496272E-2</v>
      </c>
      <c r="AG543">
        <f ca="1"/>
        <v>0.59041528417573552</v>
      </c>
      <c r="AH543">
        <f ca="1"/>
        <v>-0.81593100105545935</v>
      </c>
      <c r="AI543">
        <f ca="1"/>
        <v>8.0243349201522887E-2</v>
      </c>
      <c r="AJ543">
        <f ca="1"/>
        <v>0.69362164635205181</v>
      </c>
      <c r="AK543">
        <f ca="1"/>
        <v>0.45165072132614908</v>
      </c>
      <c r="AN543" s="9">
        <v>0.13857859148037557</v>
      </c>
      <c r="AO543" s="9">
        <v>3.5901808515832932E-2</v>
      </c>
    </row>
    <row r="544" spans="28:41" x14ac:dyDescent="0.2">
      <c r="AB544" s="9"/>
      <c r="AC544" s="20"/>
      <c r="AE544" s="22" cm="1">
        <f t="array" aca="1" ref="AE544" ca="1">SQRT(MMULT(MMULT(AG544:AK544,var_covar),TRANSPOSE(AG544:AK544)))</f>
        <v>9.8096226273122325E-2</v>
      </c>
      <c r="AF544" s="22">
        <f t="shared" ca="1" si="30"/>
        <v>3.8683399989232939E-2</v>
      </c>
      <c r="AG544">
        <f ca="1"/>
        <v>0.26483295171575361</v>
      </c>
      <c r="AH544">
        <f ca="1"/>
        <v>0.44902179603525677</v>
      </c>
      <c r="AI544">
        <f ca="1"/>
        <v>9.6291420147559606E-3</v>
      </c>
      <c r="AJ544">
        <f ca="1"/>
        <v>0.45556285008109371</v>
      </c>
      <c r="AK544">
        <f ca="1"/>
        <v>-0.17904673984685998</v>
      </c>
      <c r="AN544" s="9">
        <v>0.13815926021006869</v>
      </c>
      <c r="AO544" s="9">
        <v>4.1844494443758082E-2</v>
      </c>
    </row>
    <row r="545" spans="28:41" x14ac:dyDescent="0.2">
      <c r="AB545" s="9"/>
      <c r="AC545" s="20"/>
      <c r="AE545" s="22" cm="1">
        <f t="array" aca="1" ref="AE545" ca="1">SQRT(MMULT(MMULT(AG545:AK545,var_covar),TRANSPOSE(AG545:AK545)))</f>
        <v>8.659322863163435E-2</v>
      </c>
      <c r="AF545" s="22">
        <f t="shared" ca="1" si="30"/>
        <v>2.5706339171254998E-2</v>
      </c>
      <c r="AG545">
        <f ca="1"/>
        <v>0.39343205344256477</v>
      </c>
      <c r="AH545">
        <f ca="1"/>
        <v>0.59241966088202413</v>
      </c>
      <c r="AI545">
        <f ca="1"/>
        <v>-3.499524904496297E-2</v>
      </c>
      <c r="AJ545">
        <f ca="1"/>
        <v>-0.12930130986833396</v>
      </c>
      <c r="AK545">
        <f ca="1"/>
        <v>0.17844484458870782</v>
      </c>
      <c r="AN545" s="9">
        <v>0.13735873747732172</v>
      </c>
      <c r="AO545" s="9">
        <v>4.5513601626085941E-2</v>
      </c>
    </row>
    <row r="546" spans="28:41" x14ac:dyDescent="0.2">
      <c r="AB546" s="9"/>
      <c r="AC546" s="20"/>
      <c r="AE546" s="22" cm="1">
        <f t="array" aca="1" ref="AE546" ca="1">SQRT(MMULT(MMULT(AG546:AK546,var_covar),TRANSPOSE(AG546:AK546)))</f>
        <v>1.790343015662039</v>
      </c>
      <c r="AF546" s="22">
        <f t="shared" ca="1" si="30"/>
        <v>0.12699575113143072</v>
      </c>
      <c r="AG546">
        <f ca="1"/>
        <v>-13.226781390170128</v>
      </c>
      <c r="AH546">
        <f ca="1"/>
        <v>-1.3655432947650445</v>
      </c>
      <c r="AI546">
        <f ca="1"/>
        <v>5.465602101587244</v>
      </c>
      <c r="AJ546">
        <f ca="1"/>
        <v>1.9012323144991194</v>
      </c>
      <c r="AK546">
        <f ca="1"/>
        <v>8.2254902688488123</v>
      </c>
      <c r="AN546" s="9">
        <v>0.13728756803089259</v>
      </c>
      <c r="AO546" s="9">
        <v>2.2082654779535592E-2</v>
      </c>
    </row>
    <row r="547" spans="28:41" x14ac:dyDescent="0.2">
      <c r="AB547" s="9"/>
      <c r="AC547" s="20"/>
      <c r="AE547" s="22" cm="1">
        <f t="array" aca="1" ref="AE547" ca="1">SQRT(MMULT(MMULT(AG547:AK547,var_covar),TRANSPOSE(AG547:AK547)))</f>
        <v>0.33132728700719188</v>
      </c>
      <c r="AF547" s="22">
        <f t="shared" ca="1" si="30"/>
        <v>9.1634699691048135E-2</v>
      </c>
      <c r="AG547">
        <f ca="1"/>
        <v>2.5403446224276331</v>
      </c>
      <c r="AH547">
        <f ca="1"/>
        <v>-1.3333336705802159</v>
      </c>
      <c r="AI547">
        <f ca="1"/>
        <v>-1.8723431229197998</v>
      </c>
      <c r="AJ547">
        <f ca="1"/>
        <v>1.6825177906815874</v>
      </c>
      <c r="AK547">
        <f ca="1"/>
        <v>-1.7185619609205057E-2</v>
      </c>
      <c r="AN547" s="9">
        <v>0.13726658655649251</v>
      </c>
      <c r="AO547" s="9">
        <v>4.7854175829566463E-2</v>
      </c>
    </row>
    <row r="548" spans="28:41" x14ac:dyDescent="0.2">
      <c r="AB548" s="9"/>
      <c r="AC548" s="20"/>
      <c r="AE548" s="22" cm="1">
        <f t="array" aca="1" ref="AE548" ca="1">SQRT(MMULT(MMULT(AG548:AK548,var_covar),TRANSPOSE(AG548:AK548)))</f>
        <v>0.13923786589531553</v>
      </c>
      <c r="AF548" s="22">
        <f t="shared" ca="1" si="30"/>
        <v>1.078067512306248E-2</v>
      </c>
      <c r="AG548">
        <f ca="1"/>
        <v>-0.59934734959286629</v>
      </c>
      <c r="AH548">
        <f ca="1"/>
        <v>1.0846153859371515</v>
      </c>
      <c r="AI548">
        <f ca="1"/>
        <v>0.80119908242200577</v>
      </c>
      <c r="AJ548">
        <f ca="1"/>
        <v>-0.45190199428961947</v>
      </c>
      <c r="AK548">
        <f ca="1"/>
        <v>0.16543487552332872</v>
      </c>
      <c r="AN548" s="9">
        <v>0.13709078198035093</v>
      </c>
      <c r="AO548" s="9">
        <v>4.7169867000705606E-2</v>
      </c>
    </row>
    <row r="549" spans="28:41" x14ac:dyDescent="0.2">
      <c r="AB549" s="9"/>
      <c r="AC549" s="20"/>
      <c r="AE549" s="22" cm="1">
        <f t="array" aca="1" ref="AE549" ca="1">SQRT(MMULT(MMULT(AG549:AK549,var_covar),TRANSPOSE(AG549:AK549)))</f>
        <v>0.14257175095857869</v>
      </c>
      <c r="AF549" s="22">
        <f t="shared" ca="1" si="30"/>
        <v>4.505686703192844E-2</v>
      </c>
      <c r="AG549">
        <f ca="1"/>
        <v>-0.40575222920755982</v>
      </c>
      <c r="AH549">
        <f ca="1"/>
        <v>0.82296700532520539</v>
      </c>
      <c r="AI549">
        <f ca="1"/>
        <v>-0.43386269602878619</v>
      </c>
      <c r="AJ549">
        <f ca="1"/>
        <v>0.70128975549629058</v>
      </c>
      <c r="AK549">
        <f ca="1"/>
        <v>0.31535816441484998</v>
      </c>
      <c r="AN549" s="9">
        <v>0.13704569197101416</v>
      </c>
      <c r="AO549" s="9">
        <v>3.5842017416341215E-2</v>
      </c>
    </row>
    <row r="550" spans="28:41" x14ac:dyDescent="0.2">
      <c r="AB550" s="9"/>
      <c r="AC550" s="20"/>
      <c r="AE550" s="22" cm="1">
        <f t="array" aca="1" ref="AE550" ca="1">SQRT(MMULT(MMULT(AG550:AK550,var_covar),TRANSPOSE(AG550:AK550)))</f>
        <v>0.10533699032696071</v>
      </c>
      <c r="AF550" s="22">
        <f t="shared" ca="1" si="30"/>
        <v>4.5550774621156274E-2</v>
      </c>
      <c r="AG550">
        <f ca="1"/>
        <v>0.63705652965771231</v>
      </c>
      <c r="AH550">
        <f ca="1"/>
        <v>3.6773698198967981E-2</v>
      </c>
      <c r="AI550">
        <f ca="1"/>
        <v>-9.7691041155115607E-2</v>
      </c>
      <c r="AJ550">
        <f ca="1"/>
        <v>0.54583719863642743</v>
      </c>
      <c r="AK550">
        <f ca="1"/>
        <v>-0.12197638533799228</v>
      </c>
      <c r="AN550" s="9">
        <v>0.13679259363195079</v>
      </c>
      <c r="AO550" s="9">
        <v>1.8628743786317563E-2</v>
      </c>
    </row>
    <row r="551" spans="28:41" x14ac:dyDescent="0.2">
      <c r="AB551" s="9"/>
      <c r="AC551" s="20"/>
      <c r="AE551" s="22" cm="1">
        <f t="array" aca="1" ref="AE551" ca="1">SQRT(MMULT(MMULT(AG551:AK551,var_covar),TRANSPOSE(AG551:AK551)))</f>
        <v>0.15485050122298707</v>
      </c>
      <c r="AF551" s="22">
        <f t="shared" ca="1" si="30"/>
        <v>2.412999886014933E-2</v>
      </c>
      <c r="AG551">
        <f ca="1"/>
        <v>0.15288082385154225</v>
      </c>
      <c r="AH551">
        <f ca="1"/>
        <v>0.22965330670982184</v>
      </c>
      <c r="AI551">
        <f ca="1"/>
        <v>0.28172546879729815</v>
      </c>
      <c r="AJ551">
        <f ca="1"/>
        <v>-0.47210559036503263</v>
      </c>
      <c r="AK551">
        <f ca="1"/>
        <v>0.80784599100637033</v>
      </c>
      <c r="AN551" s="9">
        <v>0.13656128785222318</v>
      </c>
      <c r="AO551" s="9">
        <v>1.6285557471422081E-2</v>
      </c>
    </row>
    <row r="552" spans="28:41" x14ac:dyDescent="0.2">
      <c r="AB552" s="9"/>
      <c r="AC552" s="20"/>
      <c r="AE552" s="22" cm="1">
        <f t="array" aca="1" ref="AE552" ca="1">SQRT(MMULT(MMULT(AG552:AK552,var_covar),TRANSPOSE(AG552:AK552)))</f>
        <v>0.13561956855232249</v>
      </c>
      <c r="AF552" s="22">
        <f t="shared" ca="1" si="30"/>
        <v>5.5737807102925453E-2</v>
      </c>
      <c r="AG552">
        <f ca="1"/>
        <v>0.2346212001151671</v>
      </c>
      <c r="AH552">
        <f ca="1"/>
        <v>0.15914082234660498</v>
      </c>
      <c r="AI552">
        <f ca="1"/>
        <v>-0.27624581673488374</v>
      </c>
      <c r="AJ552">
        <f ca="1"/>
        <v>1.0062079032847804</v>
      </c>
      <c r="AK552">
        <f ca="1"/>
        <v>-0.12372410901166868</v>
      </c>
      <c r="AN552" s="9">
        <v>0.13578703949860288</v>
      </c>
      <c r="AO552" s="9">
        <v>4.1990133750309119E-2</v>
      </c>
    </row>
    <row r="553" spans="28:41" x14ac:dyDescent="0.2">
      <c r="AB553" s="9"/>
      <c r="AC553" s="20"/>
      <c r="AE553" s="22" cm="1">
        <f t="array" aca="1" ref="AE553" ca="1">SQRT(MMULT(MMULT(AG553:AK553,var_covar),TRANSPOSE(AG553:AK553)))</f>
        <v>9.3172886856347323E-2</v>
      </c>
      <c r="AF553" s="22">
        <f t="shared" ca="1" si="30"/>
        <v>3.2667596769930779E-2</v>
      </c>
      <c r="AG553">
        <f ca="1"/>
        <v>-1.1988343452741799E-2</v>
      </c>
      <c r="AH553">
        <f ca="1"/>
        <v>0.49025157204343395</v>
      </c>
      <c r="AI553">
        <f ca="1"/>
        <v>0.38977309224110096</v>
      </c>
      <c r="AJ553">
        <f ca="1"/>
        <v>0.24719858912067694</v>
      </c>
      <c r="AK553">
        <f ca="1"/>
        <v>-0.11523490995247002</v>
      </c>
      <c r="AN553" s="9">
        <v>0.13566062561709577</v>
      </c>
      <c r="AO553" s="9">
        <v>4.6449985764660626E-2</v>
      </c>
    </row>
    <row r="554" spans="28:41" x14ac:dyDescent="0.2">
      <c r="AB554" s="9"/>
      <c r="AC554" s="20"/>
      <c r="AE554" s="22" cm="1">
        <f t="array" aca="1" ref="AE554" ca="1">SQRT(MMULT(MMULT(AG554:AK554,var_covar),TRANSPOSE(AG554:AK554)))</f>
        <v>7.9933490165858365E-2</v>
      </c>
      <c r="AF554" s="22">
        <f t="shared" ca="1" si="30"/>
        <v>3.0770838439799688E-2</v>
      </c>
      <c r="AG554">
        <f ca="1"/>
        <v>0.41408517998435029</v>
      </c>
      <c r="AH554">
        <f ca="1"/>
        <v>0.32366829473623471</v>
      </c>
      <c r="AI554">
        <f ca="1"/>
        <v>0.11134703501164211</v>
      </c>
      <c r="AJ554">
        <f ca="1"/>
        <v>-4.8370224738158961E-3</v>
      </c>
      <c r="AK554">
        <f ca="1"/>
        <v>0.1557365127415889</v>
      </c>
      <c r="AN554" s="9">
        <v>0.13534424528319494</v>
      </c>
      <c r="AO554" s="9">
        <v>3.3891959001407207E-2</v>
      </c>
    </row>
    <row r="555" spans="28:41" x14ac:dyDescent="0.2">
      <c r="AB555" s="9"/>
      <c r="AC555" s="20"/>
      <c r="AE555" s="22" cm="1">
        <f t="array" aca="1" ref="AE555" ca="1">SQRT(MMULT(MMULT(AG555:AK555,var_covar),TRANSPOSE(AG555:AK555)))</f>
        <v>0.13018835412081753</v>
      </c>
      <c r="AF555" s="22">
        <f t="shared" ca="1" si="30"/>
        <v>7.0046269826621035E-3</v>
      </c>
      <c r="AG555">
        <f ca="1"/>
        <v>1.0110863651908684</v>
      </c>
      <c r="AH555">
        <f ca="1"/>
        <v>0.93053921354419999</v>
      </c>
      <c r="AI555">
        <f ca="1"/>
        <v>-6.4423246779979806E-2</v>
      </c>
      <c r="AJ555">
        <f ca="1"/>
        <v>-0.68523180140641515</v>
      </c>
      <c r="AK555">
        <f ca="1"/>
        <v>-0.19197053054867333</v>
      </c>
      <c r="AN555" s="9">
        <v>0.13525346849059608</v>
      </c>
      <c r="AO555" s="9">
        <v>2.7397270505354832E-2</v>
      </c>
    </row>
    <row r="556" spans="28:41" x14ac:dyDescent="0.2">
      <c r="AB556" s="9"/>
      <c r="AC556" s="20"/>
      <c r="AE556" s="22" cm="1">
        <f t="array" aca="1" ref="AE556" ca="1">SQRT(MMULT(MMULT(AG556:AK556,var_covar),TRANSPOSE(AG556:AK556)))</f>
        <v>0.11603109657284937</v>
      </c>
      <c r="AF556" s="22">
        <f t="shared" ca="1" si="30"/>
        <v>4.3724902193451383E-2</v>
      </c>
      <c r="AG556">
        <f ca="1"/>
        <v>5.426226961866687E-2</v>
      </c>
      <c r="AH556">
        <f ca="1"/>
        <v>-0.18357942230779736</v>
      </c>
      <c r="AI556">
        <f ca="1"/>
        <v>0.65163812055237935</v>
      </c>
      <c r="AJ556">
        <f ca="1"/>
        <v>0.4180397679287326</v>
      </c>
      <c r="AK556">
        <f ca="1"/>
        <v>5.9639264208018586E-2</v>
      </c>
      <c r="AN556" s="9">
        <v>0.13524713450566786</v>
      </c>
      <c r="AO556" s="9">
        <v>5.2354104811941957E-2</v>
      </c>
    </row>
    <row r="557" spans="28:41" x14ac:dyDescent="0.2">
      <c r="AB557" s="9"/>
      <c r="AC557" s="20"/>
      <c r="AE557" s="22" cm="1">
        <f t="array" aca="1" ref="AE557" ca="1">SQRT(MMULT(MMULT(AG557:AK557,var_covar),TRANSPOSE(AG557:AK557)))</f>
        <v>0.14028242057377249</v>
      </c>
      <c r="AF557" s="22">
        <f t="shared" ca="1" si="30"/>
        <v>5.7563013720465434E-2</v>
      </c>
      <c r="AG557">
        <f ca="1"/>
        <v>0.42493806231649578</v>
      </c>
      <c r="AH557">
        <f ca="1"/>
        <v>-0.64339059126103726</v>
      </c>
      <c r="AI557">
        <f ca="1"/>
        <v>0.2606701252936805</v>
      </c>
      <c r="AJ557">
        <f ca="1"/>
        <v>0.7173996636299188</v>
      </c>
      <c r="AK557">
        <f ca="1"/>
        <v>0.24038274002094234</v>
      </c>
      <c r="AN557" s="9">
        <v>0.13473627274827502</v>
      </c>
      <c r="AO557" s="9">
        <v>4.526094440045831E-2</v>
      </c>
    </row>
    <row r="558" spans="28:41" x14ac:dyDescent="0.2">
      <c r="AB558" s="9"/>
      <c r="AC558" s="20"/>
      <c r="AE558" s="22" cm="1">
        <f t="array" aca="1" ref="AE558" ca="1">SQRT(MMULT(MMULT(AG558:AK558,var_covar),TRANSPOSE(AG558:AK558)))</f>
        <v>0.10716892311416563</v>
      </c>
      <c r="AF558" s="22">
        <f t="shared" ca="1" si="30"/>
        <v>2.8764474247283636E-2</v>
      </c>
      <c r="AG558">
        <f ca="1"/>
        <v>1.5286161021561846E-2</v>
      </c>
      <c r="AH558">
        <f ca="1"/>
        <v>0.14417706554749157</v>
      </c>
      <c r="AI558">
        <f ca="1"/>
        <v>0.6692110031909061</v>
      </c>
      <c r="AJ558">
        <f ca="1"/>
        <v>-0.13861614282876342</v>
      </c>
      <c r="AK558">
        <f ca="1"/>
        <v>0.30994191306880398</v>
      </c>
      <c r="AN558" s="9">
        <v>0.13471997574303846</v>
      </c>
      <c r="AO558" s="9">
        <v>3.3860971809427688E-2</v>
      </c>
    </row>
    <row r="559" spans="28:41" x14ac:dyDescent="0.2">
      <c r="AB559" s="9"/>
      <c r="AC559" s="20"/>
      <c r="AE559" s="22" cm="1">
        <f t="array" aca="1" ref="AE559" ca="1">SQRT(MMULT(MMULT(AG559:AK559,var_covar),TRANSPOSE(AG559:AK559)))</f>
        <v>0.15983337448653948</v>
      </c>
      <c r="AF559" s="22">
        <f t="shared" ca="1" si="30"/>
        <v>5.7482434787919999E-2</v>
      </c>
      <c r="AG559">
        <f ca="1"/>
        <v>-0.29941515664096202</v>
      </c>
      <c r="AH559">
        <f ca="1"/>
        <v>-0.3776693493303519</v>
      </c>
      <c r="AI559">
        <f ca="1"/>
        <v>0.67549463747274641</v>
      </c>
      <c r="AJ559">
        <f ca="1"/>
        <v>0.91267612370490114</v>
      </c>
      <c r="AK559">
        <f ca="1"/>
        <v>8.8913744793666247E-2</v>
      </c>
      <c r="AN559" s="9">
        <v>0.13463007723852824</v>
      </c>
      <c r="AO559" s="9">
        <v>4.6291679381070559E-2</v>
      </c>
    </row>
    <row r="560" spans="28:41" x14ac:dyDescent="0.2">
      <c r="AB560" s="9"/>
      <c r="AC560" s="20"/>
      <c r="AE560" s="22" cm="1">
        <f t="array" aca="1" ref="AE560" ca="1">SQRT(MMULT(MMULT(AG560:AK560,var_covar),TRANSPOSE(AG560:AK560)))</f>
        <v>0.26603599165242658</v>
      </c>
      <c r="AF560" s="22">
        <f t="shared" ca="1" si="30"/>
        <v>3.1989989040994607E-2</v>
      </c>
      <c r="AG560">
        <f ca="1"/>
        <v>-1.4980281485611957</v>
      </c>
      <c r="AH560">
        <f ca="1"/>
        <v>0.19789177256797649</v>
      </c>
      <c r="AI560">
        <f ca="1"/>
        <v>1.2972897996611041</v>
      </c>
      <c r="AJ560">
        <f ca="1"/>
        <v>-0.11402362490947363</v>
      </c>
      <c r="AK560">
        <f ca="1"/>
        <v>1.1168702012415888</v>
      </c>
      <c r="AN560" s="9">
        <v>0.13443544172447347</v>
      </c>
      <c r="AO560" s="9">
        <v>4.1620346713904299E-2</v>
      </c>
    </row>
    <row r="561" spans="28:41" x14ac:dyDescent="0.2">
      <c r="AB561" s="9"/>
      <c r="AC561" s="20"/>
      <c r="AE561" s="22" cm="1">
        <f t="array" aca="1" ref="AE561" ca="1">SQRT(MMULT(MMULT(AG561:AK561,var_covar),TRANSPOSE(AG561:AK561)))</f>
        <v>1.814538238481604</v>
      </c>
      <c r="AF561" s="22">
        <f t="shared" ca="1" si="30"/>
        <v>0.15850721520580008</v>
      </c>
      <c r="AG561">
        <f ca="1"/>
        <v>1.2437080544814094</v>
      </c>
      <c r="AH561">
        <f ca="1"/>
        <v>-4.9925927595191153</v>
      </c>
      <c r="AI561">
        <f ca="1"/>
        <v>-5.6293020233810322</v>
      </c>
      <c r="AJ561">
        <f ca="1"/>
        <v>-0.19008164533650823</v>
      </c>
      <c r="AK561">
        <f ca="1"/>
        <v>10.568268373755247</v>
      </c>
      <c r="AN561" s="9">
        <v>0.13435322165584992</v>
      </c>
      <c r="AO561" s="9">
        <v>2.8257551920632208E-2</v>
      </c>
    </row>
    <row r="562" spans="28:41" x14ac:dyDescent="0.2">
      <c r="AB562" s="9"/>
      <c r="AC562" s="20"/>
      <c r="AE562" s="22" cm="1">
        <f t="array" aca="1" ref="AE562" ca="1">SQRT(MMULT(MMULT(AG562:AK562,var_covar),TRANSPOSE(AG562:AK562)))</f>
        <v>9.4077045417896091E-2</v>
      </c>
      <c r="AF562" s="22">
        <f t="shared" ca="1" si="30"/>
        <v>3.8938836651838005E-2</v>
      </c>
      <c r="AG562">
        <f ca="1"/>
        <v>0.61997009069346587</v>
      </c>
      <c r="AH562">
        <f ca="1"/>
        <v>-0.17632970872568798</v>
      </c>
      <c r="AI562">
        <f ca="1"/>
        <v>0.36130342107207969</v>
      </c>
      <c r="AJ562">
        <f ca="1"/>
        <v>0.20224739489508334</v>
      </c>
      <c r="AK562">
        <f ca="1"/>
        <v>-7.1911979349408971E-3</v>
      </c>
      <c r="AN562" s="9">
        <v>0.13427460586350079</v>
      </c>
      <c r="AO562" s="9">
        <v>2.7479744738123733E-2</v>
      </c>
    </row>
    <row r="563" spans="28:41" x14ac:dyDescent="0.2">
      <c r="AB563" s="9"/>
      <c r="AC563" s="20"/>
      <c r="AE563" s="22" cm="1">
        <f t="array" aca="1" ref="AE563" ca="1">SQRT(MMULT(MMULT(AG563:AK563,var_covar),TRANSPOSE(AG563:AK563)))</f>
        <v>1.7713666111259654</v>
      </c>
      <c r="AF563" s="22">
        <f t="shared" ca="1" si="30"/>
        <v>3.682031075983988E-2</v>
      </c>
      <c r="AG563">
        <f ca="1"/>
        <v>-12.947230093389942</v>
      </c>
      <c r="AH563">
        <f ca="1"/>
        <v>6.7479020299200485</v>
      </c>
      <c r="AI563">
        <f ca="1"/>
        <v>-2.1204304106852976</v>
      </c>
      <c r="AJ563">
        <f ca="1"/>
        <v>0.42087361064531387</v>
      </c>
      <c r="AK563">
        <f ca="1"/>
        <v>8.8988848635098776</v>
      </c>
      <c r="AN563" s="9">
        <v>0.13422089255155922</v>
      </c>
      <c r="AO563" s="9">
        <v>4.5813757698658863E-2</v>
      </c>
    </row>
    <row r="564" spans="28:41" x14ac:dyDescent="0.2">
      <c r="AB564" s="9"/>
      <c r="AC564" s="20"/>
      <c r="AE564" s="22" cm="1">
        <f t="array" aca="1" ref="AE564" ca="1">SQRT(MMULT(MMULT(AG564:AK564,var_covar),TRANSPOSE(AG564:AK564)))</f>
        <v>0.12005733487876145</v>
      </c>
      <c r="AF564" s="22">
        <f t="shared" ca="1" si="30"/>
        <v>2.6632467507382469E-2</v>
      </c>
      <c r="AG564">
        <f ca="1"/>
        <v>0.20745123254599873</v>
      </c>
      <c r="AH564">
        <f ca="1"/>
        <v>0.39342154186444028</v>
      </c>
      <c r="AI564">
        <f ca="1"/>
        <v>8.5634107565915663E-2</v>
      </c>
      <c r="AJ564">
        <f ca="1"/>
        <v>-0.2611385050172701</v>
      </c>
      <c r="AK564">
        <f ca="1"/>
        <v>0.57463162304091542</v>
      </c>
      <c r="AN564" s="9">
        <v>0.13395889857184234</v>
      </c>
      <c r="AO564" s="9">
        <v>4.2311981452886088E-2</v>
      </c>
    </row>
    <row r="565" spans="28:41" x14ac:dyDescent="0.2">
      <c r="AB565" s="9"/>
      <c r="AC565" s="20"/>
      <c r="AE565" s="22" cm="1">
        <f t="array" aca="1" ref="AE565" ca="1">SQRT(MMULT(MMULT(AG565:AK565,var_covar),TRANSPOSE(AG565:AK565)))</f>
        <v>0.11581984696398261</v>
      </c>
      <c r="AF565" s="22">
        <f t="shared" ca="1" si="30"/>
        <v>3.2698368074718959E-2</v>
      </c>
      <c r="AG565">
        <f ca="1"/>
        <v>0.81265578666726956</v>
      </c>
      <c r="AH565">
        <f ca="1"/>
        <v>-2.8411712642290872E-2</v>
      </c>
      <c r="AI565">
        <f ca="1"/>
        <v>0.51190762931660827</v>
      </c>
      <c r="AJ565">
        <f ca="1"/>
        <v>0.12496170067689268</v>
      </c>
      <c r="AK565">
        <f ca="1"/>
        <v>-0.4211134040184798</v>
      </c>
      <c r="AN565" s="9">
        <v>0.13393544141712785</v>
      </c>
      <c r="AO565" s="9">
        <v>2.8676685243626453E-2</v>
      </c>
    </row>
    <row r="566" spans="28:41" x14ac:dyDescent="0.2">
      <c r="AB566" s="9"/>
      <c r="AC566" s="20"/>
      <c r="AE566" s="22" cm="1">
        <f t="array" aca="1" ref="AE566" ca="1">SQRT(MMULT(MMULT(AG566:AK566,var_covar),TRANSPOSE(AG566:AK566)))</f>
        <v>0.330207149936738</v>
      </c>
      <c r="AF566" s="22">
        <f t="shared" ca="1" si="30"/>
        <v>7.487867533468795E-2</v>
      </c>
      <c r="AG566">
        <f ca="1"/>
        <v>0.55625782903479093</v>
      </c>
      <c r="AH566">
        <f ca="1"/>
        <v>-1.6160496790698211</v>
      </c>
      <c r="AI566">
        <f ca="1"/>
        <v>1.5949646190252336</v>
      </c>
      <c r="AJ566">
        <f ca="1"/>
        <v>1.5360154070005581</v>
      </c>
      <c r="AK566">
        <f ca="1"/>
        <v>-1.0711881759907615</v>
      </c>
      <c r="AN566" s="9">
        <v>0.13339650078923937</v>
      </c>
      <c r="AO566" s="9">
        <v>3.0032333284089517E-2</v>
      </c>
    </row>
    <row r="567" spans="28:41" x14ac:dyDescent="0.2">
      <c r="AB567" s="9"/>
      <c r="AC567" s="20"/>
      <c r="AE567" s="22" cm="1">
        <f t="array" aca="1" ref="AE567" ca="1">SQRT(MMULT(MMULT(AG567:AK567,var_covar),TRANSPOSE(AG567:AK567)))</f>
        <v>0.1010327438589356</v>
      </c>
      <c r="AF567" s="22">
        <f t="shared" ca="1" si="30"/>
        <v>3.5740680763700829E-2</v>
      </c>
      <c r="AG567">
        <f ca="1"/>
        <v>0.13005025757900265</v>
      </c>
      <c r="AH567">
        <f ca="1"/>
        <v>5.4470528252605462E-2</v>
      </c>
      <c r="AI567">
        <f ca="1"/>
        <v>0.39859502756665</v>
      </c>
      <c r="AJ567">
        <f ca="1"/>
        <v>7.9363391086314489E-2</v>
      </c>
      <c r="AK567">
        <f ca="1"/>
        <v>0.3375207955154273</v>
      </c>
      <c r="AN567" s="9">
        <v>0.13339098855767106</v>
      </c>
      <c r="AO567" s="9">
        <v>5.3295075064421236E-2</v>
      </c>
    </row>
    <row r="568" spans="28:41" x14ac:dyDescent="0.2">
      <c r="AB568" s="9"/>
      <c r="AC568" s="20"/>
      <c r="AE568" s="22" cm="1">
        <f t="array" aca="1" ref="AE568" ca="1">SQRT(MMULT(MMULT(AG568:AK568,var_covar),TRANSPOSE(AG568:AK568)))</f>
        <v>0.1727487167051745</v>
      </c>
      <c r="AF568" s="22">
        <f t="shared" ca="1" si="30"/>
        <v>1.2846053466730435E-2</v>
      </c>
      <c r="AG568">
        <f ca="1"/>
        <v>0.56152603191610728</v>
      </c>
      <c r="AH568">
        <f ca="1"/>
        <v>1.0577418684297537</v>
      </c>
      <c r="AI568">
        <f ca="1"/>
        <v>0.41034297393348246</v>
      </c>
      <c r="AJ568">
        <f ca="1"/>
        <v>-0.15392702748166981</v>
      </c>
      <c r="AK568">
        <f ca="1"/>
        <v>-0.87568384679767386</v>
      </c>
      <c r="AN568" s="9">
        <v>0.13322855543158663</v>
      </c>
      <c r="AO568" s="9">
        <v>4.8541244478897329E-2</v>
      </c>
    </row>
    <row r="569" spans="28:41" x14ac:dyDescent="0.2">
      <c r="AB569" s="9"/>
      <c r="AC569" s="20"/>
      <c r="AE569" s="22" cm="1">
        <f t="array" aca="1" ref="AE569" ca="1">SQRT(MMULT(MMULT(AG569:AK569,var_covar),TRANSPOSE(AG569:AK569)))</f>
        <v>0.2996291240310901</v>
      </c>
      <c r="AF569" s="22">
        <f t="shared" ca="1" si="30"/>
        <v>3.8290066632297587E-2</v>
      </c>
      <c r="AG569">
        <f ca="1"/>
        <v>3.3062778050144361</v>
      </c>
      <c r="AH569">
        <f ca="1"/>
        <v>-1.1782616949197906</v>
      </c>
      <c r="AI569">
        <f ca="1"/>
        <v>-0.99275192262300427</v>
      </c>
      <c r="AJ569">
        <f ca="1"/>
        <v>-0.49772359155533757</v>
      </c>
      <c r="AK569">
        <f ca="1"/>
        <v>0.3624594040836962</v>
      </c>
      <c r="AN569" s="9">
        <v>0.1331970561197581</v>
      </c>
      <c r="AO569" s="9">
        <v>3.947387182845645E-2</v>
      </c>
    </row>
    <row r="570" spans="28:41" x14ac:dyDescent="0.2">
      <c r="AB570" s="9"/>
      <c r="AC570" s="20"/>
      <c r="AE570" s="22" cm="1">
        <f t="array" aca="1" ref="AE570" ca="1">SQRT(MMULT(MMULT(AG570:AK570,var_covar),TRANSPOSE(AG570:AK570)))</f>
        <v>0.40127544664906795</v>
      </c>
      <c r="AF570" s="22">
        <f t="shared" ca="1" si="30"/>
        <v>8.2224942147210364E-2</v>
      </c>
      <c r="AG570">
        <f ca="1"/>
        <v>-0.55348276598164237</v>
      </c>
      <c r="AH570">
        <f ca="1"/>
        <v>-0.3141003634096432</v>
      </c>
      <c r="AI570">
        <f ca="1"/>
        <v>1.0477790769618998</v>
      </c>
      <c r="AJ570">
        <f ca="1"/>
        <v>2.4759785939478651</v>
      </c>
      <c r="AK570">
        <f ca="1"/>
        <v>-1.6561745415184794</v>
      </c>
      <c r="AN570" s="9">
        <v>0.13293645399508047</v>
      </c>
      <c r="AO570" s="9">
        <v>5.1460379099543305E-2</v>
      </c>
    </row>
    <row r="571" spans="28:41" x14ac:dyDescent="0.2">
      <c r="AB571" s="9"/>
      <c r="AC571" s="20"/>
      <c r="AE571" s="22" cm="1">
        <f t="array" aca="1" ref="AE571" ca="1">SQRT(MMULT(MMULT(AG571:AK571,var_covar),TRANSPOSE(AG571:AK571)))</f>
        <v>0.12318426667359092</v>
      </c>
      <c r="AF571" s="22">
        <f t="shared" ca="1" si="30"/>
        <v>4.9739040415161584E-2</v>
      </c>
      <c r="AG571">
        <f ca="1"/>
        <v>0.88661250841920636</v>
      </c>
      <c r="AH571">
        <f ca="1"/>
        <v>-6.8655578246956547E-2</v>
      </c>
      <c r="AI571">
        <f ca="1"/>
        <v>-0.42126352282967089</v>
      </c>
      <c r="AJ571">
        <f ca="1"/>
        <v>0.61112483732570744</v>
      </c>
      <c r="AK571">
        <f ca="1"/>
        <v>-7.8182446682863935E-3</v>
      </c>
      <c r="AN571" s="9">
        <v>0.13278301458763472</v>
      </c>
      <c r="AO571" s="9">
        <v>3.7523820947636885E-2</v>
      </c>
    </row>
    <row r="572" spans="28:41" x14ac:dyDescent="0.2">
      <c r="AB572" s="9"/>
      <c r="AC572" s="20"/>
      <c r="AE572" s="22" cm="1">
        <f t="array" aca="1" ref="AE572" ca="1">SQRT(MMULT(MMULT(AG572:AK572,var_covar),TRANSPOSE(AG572:AK572)))</f>
        <v>52.927311568031683</v>
      </c>
      <c r="AF572" s="22">
        <f t="shared" ca="1" si="30"/>
        <v>9.9917486250251795</v>
      </c>
      <c r="AG572">
        <f ca="1"/>
        <v>29.234951795526225</v>
      </c>
      <c r="AH572">
        <f ca="1"/>
        <v>-55.948214526591158</v>
      </c>
      <c r="AI572">
        <f ca="1"/>
        <v>-209.0357571929103</v>
      </c>
      <c r="AJ572">
        <f ca="1"/>
        <v>419.17499397689295</v>
      </c>
      <c r="AK572">
        <f ca="1"/>
        <v>-182.42597405291767</v>
      </c>
      <c r="AN572" s="9">
        <v>0.13238317228149321</v>
      </c>
      <c r="AO572" s="9">
        <v>5.2977432547892105E-2</v>
      </c>
    </row>
    <row r="573" spans="28:41" x14ac:dyDescent="0.2">
      <c r="AB573" s="9"/>
      <c r="AC573" s="20"/>
      <c r="AE573" s="22" cm="1">
        <f t="array" aca="1" ref="AE573" ca="1">SQRT(MMULT(MMULT(AG573:AK573,var_covar),TRANSPOSE(AG573:AK573)))</f>
        <v>0.40027163808906729</v>
      </c>
      <c r="AF573" s="22">
        <f t="shared" ca="1" si="30"/>
        <v>4.689208593510634E-2</v>
      </c>
      <c r="AG573">
        <f ca="1"/>
        <v>-0.86465337169807088</v>
      </c>
      <c r="AH573">
        <f ca="1"/>
        <v>-1.3657349991793173</v>
      </c>
      <c r="AI573">
        <f ca="1"/>
        <v>1.5668601941704343</v>
      </c>
      <c r="AJ573">
        <f ca="1"/>
        <v>-0.33308852501969216</v>
      </c>
      <c r="AK573">
        <f ca="1"/>
        <v>1.9966167017266458</v>
      </c>
      <c r="AN573" s="9">
        <v>0.13237130400693717</v>
      </c>
      <c r="AO573" s="9">
        <v>5.0837184052467552E-2</v>
      </c>
    </row>
    <row r="574" spans="28:41" x14ac:dyDescent="0.2">
      <c r="AB574" s="9"/>
      <c r="AC574" s="20"/>
      <c r="AE574" s="22" cm="1">
        <f t="array" aca="1" ref="AE574" ca="1">SQRT(MMULT(MMULT(AG574:AK574,var_covar),TRANSPOSE(AG574:AK574)))</f>
        <v>0.23176114664114567</v>
      </c>
      <c r="AF574" s="22">
        <f t="shared" ca="1" si="30"/>
        <v>6.1541574216799316E-2</v>
      </c>
      <c r="AG574">
        <f ca="1"/>
        <v>8.3223948186394475E-2</v>
      </c>
      <c r="AH574">
        <f ca="1"/>
        <v>-0.20735808592187355</v>
      </c>
      <c r="AI574">
        <f ca="1"/>
        <v>0.62048937693401784</v>
      </c>
      <c r="AJ574">
        <f ca="1"/>
        <v>1.4029433394418742</v>
      </c>
      <c r="AK574">
        <f ca="1"/>
        <v>-0.89929857864041318</v>
      </c>
      <c r="AN574" s="9">
        <v>0.13233932014162655</v>
      </c>
      <c r="AO574" s="9">
        <v>3.2889378096418054E-3</v>
      </c>
    </row>
    <row r="575" spans="28:41" x14ac:dyDescent="0.2">
      <c r="AB575" s="9"/>
      <c r="AC575" s="20"/>
      <c r="AE575" s="22" cm="1">
        <f t="array" aca="1" ref="AE575" ca="1">SQRT(MMULT(MMULT(AG575:AK575,var_covar),TRANSPOSE(AG575:AK575)))</f>
        <v>0.12207798947173308</v>
      </c>
      <c r="AF575" s="22">
        <f t="shared" ca="1" si="30"/>
        <v>4.1595501832381677E-2</v>
      </c>
      <c r="AG575">
        <f ca="1"/>
        <v>-0.21104062418619618</v>
      </c>
      <c r="AH575">
        <f ca="1"/>
        <v>0.36410834115249913</v>
      </c>
      <c r="AI575">
        <f ca="1"/>
        <v>-6.9007127406578448E-3</v>
      </c>
      <c r="AJ575">
        <f ca="1"/>
        <v>0.37054860963481961</v>
      </c>
      <c r="AK575">
        <f ca="1"/>
        <v>0.48328438613953512</v>
      </c>
      <c r="AN575" s="9">
        <v>0.13230939587761037</v>
      </c>
      <c r="AO575" s="9">
        <v>3.3133543289018255E-2</v>
      </c>
    </row>
    <row r="576" spans="28:41" x14ac:dyDescent="0.2">
      <c r="AB576" s="9"/>
      <c r="AC576" s="20"/>
      <c r="AE576" s="22" cm="1">
        <f t="array" aca="1" ref="AE576" ca="1">SQRT(MMULT(MMULT(AG576:AK576,var_covar),TRANSPOSE(AG576:AK576)))</f>
        <v>3.500116997425613</v>
      </c>
      <c r="AF576" s="22">
        <f t="shared" ca="1" si="30"/>
        <v>-0.13755362123304138</v>
      </c>
      <c r="AG576">
        <f ca="1"/>
        <v>-1.8864721237610544</v>
      </c>
      <c r="AH576">
        <f ca="1"/>
        <v>4.7976762987578594</v>
      </c>
      <c r="AI576">
        <f ca="1"/>
        <v>16.084533409404898</v>
      </c>
      <c r="AJ576">
        <f ca="1"/>
        <v>1.7638681647841026</v>
      </c>
      <c r="AK576">
        <f ca="1"/>
        <v>-19.759605749185805</v>
      </c>
      <c r="AN576" s="9">
        <v>0.13223605082492715</v>
      </c>
      <c r="AO576" s="9">
        <v>3.5019612978577523E-2</v>
      </c>
    </row>
    <row r="577" spans="28:41" x14ac:dyDescent="0.2">
      <c r="AB577" s="9"/>
      <c r="AC577" s="20"/>
      <c r="AE577" s="22" cm="1">
        <f t="array" aca="1" ref="AE577" ca="1">SQRT(MMULT(MMULT(AG577:AK577,var_covar),TRANSPOSE(AG577:AK577)))</f>
        <v>8.7227907403222796E-2</v>
      </c>
      <c r="AF577" s="22">
        <f t="shared" ca="1" si="30"/>
        <v>3.1701175139359015E-2</v>
      </c>
      <c r="AG577">
        <f ca="1"/>
        <v>3.4955215258029367E-2</v>
      </c>
      <c r="AH577">
        <f ca="1"/>
        <v>0.41217820338859112</v>
      </c>
      <c r="AI577">
        <f ca="1"/>
        <v>0.27457244060448144</v>
      </c>
      <c r="AJ577">
        <f ca="1"/>
        <v>7.945325114091939E-2</v>
      </c>
      <c r="AK577">
        <f ca="1"/>
        <v>0.19884088960797852</v>
      </c>
      <c r="AN577" s="9">
        <v>0.13195156578953748</v>
      </c>
      <c r="AO577" s="9">
        <v>3.6780254066288535E-2</v>
      </c>
    </row>
    <row r="578" spans="28:41" x14ac:dyDescent="0.2">
      <c r="AB578" s="9"/>
      <c r="AC578" s="20"/>
      <c r="AE578" s="22" cm="1">
        <f t="array" aca="1" ref="AE578" ca="1">SQRT(MMULT(MMULT(AG578:AK578,var_covar),TRANSPOSE(AG578:AK578)))</f>
        <v>0.27418611514139635</v>
      </c>
      <c r="AF578" s="22">
        <f t="shared" ca="1" si="30"/>
        <v>2.1541518147347519E-3</v>
      </c>
      <c r="AG578">
        <f ca="1"/>
        <v>-1.0360578182122547E-2</v>
      </c>
      <c r="AH578">
        <f ca="1"/>
        <v>0.23326416162278715</v>
      </c>
      <c r="AI578">
        <f ca="1"/>
        <v>0.88997470306308513</v>
      </c>
      <c r="AJ578">
        <f ca="1"/>
        <v>-1.4668882478989334</v>
      </c>
      <c r="AK578">
        <f ca="1"/>
        <v>1.3540099613951837</v>
      </c>
      <c r="AN578" s="9">
        <v>0.13158530171027188</v>
      </c>
      <c r="AO578" s="9">
        <v>3.7882536738665573E-3</v>
      </c>
    </row>
    <row r="579" spans="28:41" x14ac:dyDescent="0.2">
      <c r="AB579" s="9"/>
      <c r="AC579" s="20"/>
      <c r="AE579" s="22" cm="1">
        <f t="array" aca="1" ref="AE579" ca="1">SQRT(MMULT(MMULT(AG579:AK579,var_covar),TRANSPOSE(AG579:AK579)))</f>
        <v>0.10391948011300521</v>
      </c>
      <c r="AF579" s="22">
        <f t="shared" ca="1" si="30"/>
        <v>3.1024921861423079E-2</v>
      </c>
      <c r="AG579">
        <f ca="1"/>
        <v>0.11223108591343826</v>
      </c>
      <c r="AH579">
        <f ca="1"/>
        <v>0.45387366245060917</v>
      </c>
      <c r="AI579">
        <f ca="1"/>
        <v>2.2606629578612453E-2</v>
      </c>
      <c r="AJ579">
        <f ca="1"/>
        <v>-2.1460237966263087E-2</v>
      </c>
      <c r="AK579">
        <f ca="1"/>
        <v>0.43274886002360319</v>
      </c>
      <c r="AN579" s="9">
        <v>0.13158083107592619</v>
      </c>
      <c r="AO579" s="9">
        <v>4.7644248831098163E-2</v>
      </c>
    </row>
    <row r="580" spans="28:41" x14ac:dyDescent="0.2">
      <c r="AB580" s="9"/>
      <c r="AC580" s="20"/>
      <c r="AE580" s="22" cm="1">
        <f t="array" aca="1" ref="AE580" ca="1">SQRT(MMULT(MMULT(AG580:AK580,var_covar),TRANSPOSE(AG580:AK580)))</f>
        <v>0.10500319666656328</v>
      </c>
      <c r="AF580" s="22">
        <f t="shared" ref="AF580:AF643" ca="1" si="31">SUMPRODUCT(AG580:AK580,$S$2:$W$2)</f>
        <v>3.9015680693603609E-2</v>
      </c>
      <c r="AG580">
        <f ca="1"/>
        <v>0.19311826908363067</v>
      </c>
      <c r="AH580">
        <f ca="1"/>
        <v>0.21036482290548358</v>
      </c>
      <c r="AI580">
        <f ca="1"/>
        <v>0.41240213141602827</v>
      </c>
      <c r="AJ580">
        <f ca="1"/>
        <v>0.43595089332418907</v>
      </c>
      <c r="AK580">
        <f ca="1"/>
        <v>-0.25183611672933159</v>
      </c>
      <c r="AN580" s="9">
        <v>0.13157040174141527</v>
      </c>
      <c r="AO580" s="9">
        <v>5.4123027954617355E-2</v>
      </c>
    </row>
    <row r="581" spans="28:41" x14ac:dyDescent="0.2">
      <c r="AB581" s="9"/>
      <c r="AC581" s="20"/>
      <c r="AE581" s="22" cm="1">
        <f t="array" aca="1" ref="AE581" ca="1">SQRT(MMULT(MMULT(AG581:AK581,var_covar),TRANSPOSE(AG581:AK581)))</f>
        <v>9.4952216494561731E-2</v>
      </c>
      <c r="AF581" s="22">
        <f t="shared" ca="1" si="31"/>
        <v>4.1386920008804846E-2</v>
      </c>
      <c r="AG581">
        <f ca="1"/>
        <v>0.20557935041408032</v>
      </c>
      <c r="AH581">
        <f ca="1"/>
        <v>2.474045151953663E-3</v>
      </c>
      <c r="AI581">
        <f ca="1"/>
        <v>0.31256784774103641</v>
      </c>
      <c r="AJ581">
        <f ca="1"/>
        <v>0.33563170215398375</v>
      </c>
      <c r="AK581">
        <f ca="1"/>
        <v>0.14374705453894582</v>
      </c>
      <c r="AN581" s="9">
        <v>0.13104053461292575</v>
      </c>
      <c r="AO581" s="9">
        <v>4.4004829825539674E-2</v>
      </c>
    </row>
    <row r="582" spans="28:41" x14ac:dyDescent="0.2">
      <c r="AB582" s="9"/>
      <c r="AC582" s="20"/>
      <c r="AE582" s="22" cm="1">
        <f t="array" aca="1" ref="AE582" ca="1">SQRT(MMULT(MMULT(AG582:AK582,var_covar),TRANSPOSE(AG582:AK582)))</f>
        <v>9.7210440936472658E-2</v>
      </c>
      <c r="AF582" s="22">
        <f t="shared" ca="1" si="31"/>
        <v>4.3057510760278021E-2</v>
      </c>
      <c r="AG582">
        <f ca="1"/>
        <v>0.55942615516388572</v>
      </c>
      <c r="AH582">
        <f ca="1"/>
        <v>-0.10608078837571272</v>
      </c>
      <c r="AI582">
        <f ca="1"/>
        <v>4.1733289255512923E-2</v>
      </c>
      <c r="AJ582">
        <f ca="1"/>
        <v>0.31780854995430852</v>
      </c>
      <c r="AK582">
        <f ca="1"/>
        <v>0.18711279400200551</v>
      </c>
      <c r="AN582" s="9">
        <v>0.13087218523307836</v>
      </c>
      <c r="AO582" s="9">
        <v>2.6504759703230251E-2</v>
      </c>
    </row>
    <row r="583" spans="28:41" x14ac:dyDescent="0.2">
      <c r="AB583" s="9"/>
      <c r="AC583" s="20"/>
      <c r="AE583" s="22" cm="1">
        <f t="array" aca="1" ref="AE583" ca="1">SQRT(MMULT(MMULT(AG583:AK583,var_covar),TRANSPOSE(AG583:AK583)))</f>
        <v>1.0074113268973071</v>
      </c>
      <c r="AF583" s="22">
        <f t="shared" ca="1" si="31"/>
        <v>0.11787068674024076</v>
      </c>
      <c r="AG583">
        <f ca="1"/>
        <v>-1.2740060036374168</v>
      </c>
      <c r="AH583">
        <f ca="1"/>
        <v>0.10407727154822405</v>
      </c>
      <c r="AI583">
        <f ca="1"/>
        <v>2.1004033852052393</v>
      </c>
      <c r="AJ583">
        <f ca="1"/>
        <v>5.1627637621851807</v>
      </c>
      <c r="AK583">
        <f ca="1"/>
        <v>-5.0932384153012276</v>
      </c>
      <c r="AN583" s="9">
        <v>0.13062188231947444</v>
      </c>
      <c r="AO583" s="9">
        <v>9.6605420576127993E-3</v>
      </c>
    </row>
    <row r="584" spans="28:41" x14ac:dyDescent="0.2">
      <c r="AB584" s="9"/>
      <c r="AC584" s="20"/>
      <c r="AE584" s="22" cm="1">
        <f t="array" aca="1" ref="AE584" ca="1">SQRT(MMULT(MMULT(AG584:AK584,var_covar),TRANSPOSE(AG584:AK584)))</f>
        <v>0.10784834371926295</v>
      </c>
      <c r="AF584" s="22">
        <f t="shared" ca="1" si="31"/>
        <v>3.2039322152065022E-2</v>
      </c>
      <c r="AG584">
        <f ca="1"/>
        <v>0.2743056063965944</v>
      </c>
      <c r="AH584">
        <f ca="1"/>
        <v>-0.14279150966301829</v>
      </c>
      <c r="AI584">
        <f ca="1"/>
        <v>0.74030128038593646</v>
      </c>
      <c r="AJ584">
        <f ca="1"/>
        <v>-8.7752144879026314E-2</v>
      </c>
      <c r="AK584">
        <f ca="1"/>
        <v>0.2159367677595137</v>
      </c>
      <c r="AN584" s="9">
        <v>0.13053523329762071</v>
      </c>
      <c r="AO584" s="9">
        <v>4.7257024052579782E-2</v>
      </c>
    </row>
    <row r="585" spans="28:41" x14ac:dyDescent="0.2">
      <c r="AB585" s="9"/>
      <c r="AC585" s="20"/>
      <c r="AE585" s="22" cm="1">
        <f t="array" aca="1" ref="AE585" ca="1">SQRT(MMULT(MMULT(AG585:AK585,var_covar),TRANSPOSE(AG585:AK585)))</f>
        <v>0.21612930612204245</v>
      </c>
      <c r="AF585" s="22">
        <f t="shared" ca="1" si="31"/>
        <v>6.2567080734117791E-2</v>
      </c>
      <c r="AG585">
        <f ca="1"/>
        <v>-0.16839419370018352</v>
      </c>
      <c r="AH585">
        <f ca="1"/>
        <v>-0.37882657766383598</v>
      </c>
      <c r="AI585">
        <f ca="1"/>
        <v>-0.29380374450179925</v>
      </c>
      <c r="AJ585">
        <f ca="1"/>
        <v>0.75666393748902117</v>
      </c>
      <c r="AK585">
        <f ca="1"/>
        <v>1.0843605783767976</v>
      </c>
      <c r="AN585" s="9">
        <v>0.13044858069980242</v>
      </c>
      <c r="AO585" s="9">
        <v>4.9007746272056729E-2</v>
      </c>
    </row>
    <row r="586" spans="28:41" x14ac:dyDescent="0.2">
      <c r="AB586" s="9"/>
      <c r="AC586" s="20"/>
      <c r="AE586" s="22" cm="1">
        <f t="array" aca="1" ref="AE586" ca="1">SQRT(MMULT(MMULT(AG586:AK586,var_covar),TRANSPOSE(AG586:AK586)))</f>
        <v>0.17675168638358046</v>
      </c>
      <c r="AF586" s="22">
        <f t="shared" ca="1" si="31"/>
        <v>4.7880090495200943E-2</v>
      </c>
      <c r="AG586">
        <f ca="1"/>
        <v>1.0981924423249532</v>
      </c>
      <c r="AH586">
        <f ca="1"/>
        <v>-1.0655036659780697</v>
      </c>
      <c r="AI586">
        <f ca="1"/>
        <v>0.93465451488849549</v>
      </c>
      <c r="AJ586">
        <f ca="1"/>
        <v>0.3571363737947611</v>
      </c>
      <c r="AK586">
        <f ca="1"/>
        <v>-0.32447966503014025</v>
      </c>
      <c r="AN586" s="9">
        <v>0.13036530248277622</v>
      </c>
      <c r="AO586" s="9">
        <v>3.9784082588280284E-2</v>
      </c>
    </row>
    <row r="587" spans="28:41" x14ac:dyDescent="0.2">
      <c r="AB587" s="9"/>
      <c r="AC587" s="20"/>
      <c r="AE587" s="22" cm="1">
        <f t="array" aca="1" ref="AE587" ca="1">SQRT(MMULT(MMULT(AG587:AK587,var_covar),TRANSPOSE(AG587:AK587)))</f>
        <v>0.60994604754470816</v>
      </c>
      <c r="AF587" s="22">
        <f t="shared" ca="1" si="31"/>
        <v>9.2240275827823737E-3</v>
      </c>
      <c r="AG587">
        <f ca="1"/>
        <v>-0.63423147019521797</v>
      </c>
      <c r="AH587">
        <f ca="1"/>
        <v>0.53864119142890965</v>
      </c>
      <c r="AI587">
        <f ca="1"/>
        <v>-0.69198848233718557</v>
      </c>
      <c r="AJ587">
        <f ca="1"/>
        <v>-1.8023587778442764</v>
      </c>
      <c r="AK587">
        <f ca="1"/>
        <v>3.5899375389477703</v>
      </c>
      <c r="AN587" s="9">
        <v>0.13036026113540608</v>
      </c>
      <c r="AO587" s="9">
        <v>5.6857001284733928E-2</v>
      </c>
    </row>
    <row r="588" spans="28:41" x14ac:dyDescent="0.2">
      <c r="AB588" s="9"/>
      <c r="AC588" s="20"/>
      <c r="AE588" s="22" cm="1">
        <f t="array" aca="1" ref="AE588" ca="1">SQRT(MMULT(MMULT(AG588:AK588,var_covar),TRANSPOSE(AG588:AK588)))</f>
        <v>0.23053841497695626</v>
      </c>
      <c r="AF588" s="22">
        <f t="shared" ca="1" si="31"/>
        <v>7.2422291525781016E-2</v>
      </c>
      <c r="AG588">
        <f ca="1"/>
        <v>-0.41498887457060118</v>
      </c>
      <c r="AH588">
        <f ca="1"/>
        <v>9.3394208532696463E-2</v>
      </c>
      <c r="AI588">
        <f ca="1"/>
        <v>4.8649468208905845E-2</v>
      </c>
      <c r="AJ588">
        <f ca="1"/>
        <v>1.8331673540234954</v>
      </c>
      <c r="AK588">
        <f ca="1"/>
        <v>-0.56022215619449645</v>
      </c>
      <c r="AN588" s="9">
        <v>0.1300396559092597</v>
      </c>
      <c r="AO588" s="9">
        <v>4.0998433888572369E-2</v>
      </c>
    </row>
    <row r="589" spans="28:41" x14ac:dyDescent="0.2">
      <c r="AB589" s="9"/>
      <c r="AC589" s="20"/>
      <c r="AE589" s="22" cm="1">
        <f t="array" aca="1" ref="AE589" ca="1">SQRT(MMULT(MMULT(AG589:AK589,var_covar),TRANSPOSE(AG589:AK589)))</f>
        <v>0.13253620714214001</v>
      </c>
      <c r="AF589" s="22">
        <f t="shared" ca="1" si="31"/>
        <v>3.6075756857597896E-2</v>
      </c>
      <c r="AG589">
        <f ca="1"/>
        <v>0.11105614368601811</v>
      </c>
      <c r="AH589">
        <f ca="1"/>
        <v>-0.20311015307381255</v>
      </c>
      <c r="AI589">
        <f ca="1"/>
        <v>0.59068802998285708</v>
      </c>
      <c r="AJ589">
        <f ca="1"/>
        <v>-4.5356014157746344E-2</v>
      </c>
      <c r="AK589">
        <f ca="1"/>
        <v>0.54672199356268369</v>
      </c>
      <c r="AN589" s="9">
        <v>0.12989964732035603</v>
      </c>
      <c r="AO589" s="9">
        <v>5.2961033992886278E-2</v>
      </c>
    </row>
    <row r="590" spans="28:41" x14ac:dyDescent="0.2">
      <c r="AB590" s="9"/>
      <c r="AC590" s="20"/>
      <c r="AE590" s="22" cm="1">
        <f t="array" aca="1" ref="AE590" ca="1">SQRT(MMULT(MMULT(AG590:AK590,var_covar),TRANSPOSE(AG590:AK590)))</f>
        <v>0.24044158353631673</v>
      </c>
      <c r="AF590" s="22">
        <f t="shared" ca="1" si="31"/>
        <v>8.0221873930335613E-2</v>
      </c>
      <c r="AG590">
        <f ca="1"/>
        <v>-0.81093954049739569</v>
      </c>
      <c r="AH590">
        <f ca="1"/>
        <v>-0.15376957977336242</v>
      </c>
      <c r="AI590">
        <f ca="1"/>
        <v>0.18054216937335474</v>
      </c>
      <c r="AJ590">
        <f ca="1"/>
        <v>1.9809571515843767</v>
      </c>
      <c r="AK590">
        <f ca="1"/>
        <v>-0.19679020068697328</v>
      </c>
      <c r="AN590" s="9">
        <v>0.1298051694610525</v>
      </c>
      <c r="AO590" s="9">
        <v>5.388212477083279E-2</v>
      </c>
    </row>
    <row r="591" spans="28:41" x14ac:dyDescent="0.2">
      <c r="AB591" s="9"/>
      <c r="AC591" s="20"/>
      <c r="AE591" s="22" cm="1">
        <f t="array" aca="1" ref="AE591" ca="1">SQRT(MMULT(MMULT(AG591:AK591,var_covar),TRANSPOSE(AG591:AK591)))</f>
        <v>0.10114625124699704</v>
      </c>
      <c r="AF591" s="22">
        <f t="shared" ca="1" si="31"/>
        <v>4.2298098575423972E-2</v>
      </c>
      <c r="AG591">
        <f ca="1"/>
        <v>0.28909878118446775</v>
      </c>
      <c r="AH591">
        <f ca="1"/>
        <v>-0.13222934677187573</v>
      </c>
      <c r="AI591">
        <f ca="1"/>
        <v>0.46505330135048462</v>
      </c>
      <c r="AJ591">
        <f ca="1"/>
        <v>0.37087000256953484</v>
      </c>
      <c r="AK591">
        <f ca="1"/>
        <v>7.2072616673885355E-3</v>
      </c>
      <c r="AN591" s="9">
        <v>0.12980377176258709</v>
      </c>
      <c r="AO591" s="9">
        <v>3.7753653398355493E-2</v>
      </c>
    </row>
    <row r="592" spans="28:41" x14ac:dyDescent="0.2">
      <c r="AB592" s="9"/>
      <c r="AC592" s="20"/>
      <c r="AE592" s="22" cm="1">
        <f t="array" aca="1" ref="AE592" ca="1">SQRT(MMULT(MMULT(AG592:AK592,var_covar),TRANSPOSE(AG592:AK592)))</f>
        <v>0.26549050794605578</v>
      </c>
      <c r="AF592" s="22">
        <f t="shared" ca="1" si="31"/>
        <v>6.105467033373662E-2</v>
      </c>
      <c r="AG592">
        <f ca="1"/>
        <v>-0.86552399889192488</v>
      </c>
      <c r="AH592">
        <f ca="1"/>
        <v>-8.6986708081427264E-2</v>
      </c>
      <c r="AI592">
        <f ca="1"/>
        <v>-0.20046746631236986</v>
      </c>
      <c r="AJ592">
        <f ca="1"/>
        <v>0.7415044341425896</v>
      </c>
      <c r="AK592">
        <f ca="1"/>
        <v>1.4114737391431325</v>
      </c>
      <c r="AN592" s="9">
        <v>0.12978355974546887</v>
      </c>
      <c r="AO592" s="9">
        <v>1.1424628507334072E-3</v>
      </c>
    </row>
    <row r="593" spans="28:41" x14ac:dyDescent="0.2">
      <c r="AB593" s="9"/>
      <c r="AC593" s="20"/>
      <c r="AE593" s="22" cm="1">
        <f t="array" aca="1" ref="AE593" ca="1">SQRT(MMULT(MMULT(AG593:AK593,var_covar),TRANSPOSE(AG593:AK593)))</f>
        <v>0.46145394248448479</v>
      </c>
      <c r="AF593" s="22">
        <f t="shared" ca="1" si="31"/>
        <v>2.2823613088267386E-3</v>
      </c>
      <c r="AG593">
        <f ca="1"/>
        <v>-1.2334579968918951</v>
      </c>
      <c r="AH593">
        <f ca="1"/>
        <v>0.93669298836378856</v>
      </c>
      <c r="AI593">
        <f ca="1"/>
        <v>3.3056810923922115</v>
      </c>
      <c r="AJ593">
        <f ca="1"/>
        <v>-2.4835599177292732E-2</v>
      </c>
      <c r="AK593">
        <f ca="1"/>
        <v>-1.9840804846868123</v>
      </c>
      <c r="AN593" s="9">
        <v>0.12930156021490805</v>
      </c>
      <c r="AO593" s="9">
        <v>3.003895834648547E-2</v>
      </c>
    </row>
    <row r="594" spans="28:41" x14ac:dyDescent="0.2">
      <c r="AB594" s="9"/>
      <c r="AC594" s="20"/>
      <c r="AE594" s="22" cm="1">
        <f t="array" aca="1" ref="AE594" ca="1">SQRT(MMULT(MMULT(AG594:AK594,var_covar),TRANSPOSE(AG594:AK594)))</f>
        <v>0.43674937659950136</v>
      </c>
      <c r="AF594" s="22">
        <f t="shared" ca="1" si="31"/>
        <v>2.306418045604576E-2</v>
      </c>
      <c r="AG594">
        <f ca="1"/>
        <v>0.35962017126057211</v>
      </c>
      <c r="AH594">
        <f ca="1"/>
        <v>2.0011983854909664E-2</v>
      </c>
      <c r="AI594">
        <f ca="1"/>
        <v>2.4706102937864816</v>
      </c>
      <c r="AJ594">
        <f ca="1"/>
        <v>0.45325002636348732</v>
      </c>
      <c r="AK594">
        <f ca="1"/>
        <v>-2.3034924752654504</v>
      </c>
      <c r="AN594" s="9">
        <v>0.12919666429308965</v>
      </c>
      <c r="AO594" s="9">
        <v>5.0452079952470842E-2</v>
      </c>
    </row>
    <row r="595" spans="28:41" x14ac:dyDescent="0.2">
      <c r="AB595" s="9"/>
      <c r="AC595" s="20"/>
      <c r="AE595" s="22" cm="1">
        <f t="array" aca="1" ref="AE595" ca="1">SQRT(MMULT(MMULT(AG595:AK595,var_covar),TRANSPOSE(AG595:AK595)))</f>
        <v>9.2328344076229724E-2</v>
      </c>
      <c r="AF595" s="22">
        <f t="shared" ca="1" si="31"/>
        <v>2.4820724268926883E-2</v>
      </c>
      <c r="AG595">
        <f ca="1"/>
        <v>2.3917814328962245E-2</v>
      </c>
      <c r="AH595">
        <f ca="1"/>
        <v>0.42711403993381591</v>
      </c>
      <c r="AI595">
        <f ca="1"/>
        <v>0.52631788634779908</v>
      </c>
      <c r="AJ595">
        <f ca="1"/>
        <v>-0.17462371089468262</v>
      </c>
      <c r="AK595">
        <f ca="1"/>
        <v>0.19727397028410537</v>
      </c>
      <c r="AN595" s="9">
        <v>0.12897451713892558</v>
      </c>
      <c r="AO595" s="9">
        <v>2.820221611454992E-2</v>
      </c>
    </row>
    <row r="596" spans="28:41" x14ac:dyDescent="0.2">
      <c r="AB596" s="9"/>
      <c r="AC596" s="20"/>
      <c r="AE596" s="22" cm="1">
        <f t="array" aca="1" ref="AE596" ca="1">SQRT(MMULT(MMULT(AG596:AK596,var_covar),TRANSPOSE(AG596:AK596)))</f>
        <v>0.10436763162220093</v>
      </c>
      <c r="AF596" s="22">
        <f t="shared" ca="1" si="31"/>
        <v>4.0662137051111519E-2</v>
      </c>
      <c r="AG596">
        <f ca="1"/>
        <v>-0.10124821509320064</v>
      </c>
      <c r="AH596">
        <f ca="1"/>
        <v>0.12953217974394246</v>
      </c>
      <c r="AI596">
        <f ca="1"/>
        <v>0.47836610436856747</v>
      </c>
      <c r="AJ596">
        <f ca="1"/>
        <v>0.38728740424842417</v>
      </c>
      <c r="AK596">
        <f ca="1"/>
        <v>0.10606252673226661</v>
      </c>
      <c r="AN596" s="9">
        <v>0.12886912115226534</v>
      </c>
      <c r="AO596" s="9">
        <v>3.8613801627943575E-2</v>
      </c>
    </row>
    <row r="597" spans="28:41" x14ac:dyDescent="0.2">
      <c r="AB597" s="9"/>
      <c r="AC597" s="20"/>
      <c r="AE597" s="22" cm="1">
        <f t="array" aca="1" ref="AE597" ca="1">SQRT(MMULT(MMULT(AG597:AK597,var_covar),TRANSPOSE(AG597:AK597)))</f>
        <v>8.9281742198963676E-2</v>
      </c>
      <c r="AF597" s="22">
        <f t="shared" ca="1" si="31"/>
        <v>3.6727579885824993E-2</v>
      </c>
      <c r="AG597">
        <f ca="1"/>
        <v>3.8571100507773903E-2</v>
      </c>
      <c r="AH597">
        <f ca="1"/>
        <v>0.4261012252790003</v>
      </c>
      <c r="AI597">
        <f ca="1"/>
        <v>0.11057154079675968</v>
      </c>
      <c r="AJ597">
        <f ca="1"/>
        <v>0.29614504111097406</v>
      </c>
      <c r="AK597">
        <f ca="1"/>
        <v>0.12861109230549211</v>
      </c>
      <c r="AN597" s="9">
        <v>0.12857141827574831</v>
      </c>
      <c r="AO597" s="9">
        <v>3.0734663816747824E-2</v>
      </c>
    </row>
    <row r="598" spans="28:41" x14ac:dyDescent="0.2">
      <c r="AB598" s="9"/>
      <c r="AC598" s="20"/>
      <c r="AE598" s="22" cm="1">
        <f t="array" aca="1" ref="AE598" ca="1">SQRT(MMULT(MMULT(AG598:AK598,var_covar),TRANSPOSE(AG598:AK598)))</f>
        <v>0.26397625338132941</v>
      </c>
      <c r="AF598" s="22">
        <f t="shared" ca="1" si="31"/>
        <v>7.681943294562843E-2</v>
      </c>
      <c r="AG598">
        <f ca="1"/>
        <v>-1.1358993841722522</v>
      </c>
      <c r="AH598">
        <f ca="1"/>
        <v>-0.54911744403661344</v>
      </c>
      <c r="AI598">
        <f ca="1"/>
        <v>0.31648014907843769</v>
      </c>
      <c r="AJ598">
        <f ca="1"/>
        <v>1.3842909637777612</v>
      </c>
      <c r="AK598">
        <f ca="1"/>
        <v>0.98424571535266681</v>
      </c>
      <c r="AN598" s="9">
        <v>0.12845208512618966</v>
      </c>
      <c r="AO598" s="9">
        <v>3.5756548395328186E-2</v>
      </c>
    </row>
    <row r="599" spans="28:41" x14ac:dyDescent="0.2">
      <c r="AB599" s="9"/>
      <c r="AC599" s="20"/>
      <c r="AE599" s="22" cm="1">
        <f t="array" aca="1" ref="AE599" ca="1">SQRT(MMULT(MMULT(AG599:AK599,var_covar),TRANSPOSE(AG599:AK599)))</f>
        <v>0.34349116457999535</v>
      </c>
      <c r="AF599" s="22">
        <f t="shared" ca="1" si="31"/>
        <v>9.6126125320188271E-2</v>
      </c>
      <c r="AG599">
        <f ca="1"/>
        <v>-1.3670430919086398</v>
      </c>
      <c r="AH599">
        <f ca="1"/>
        <v>-1.2704207999980019</v>
      </c>
      <c r="AI599">
        <f ca="1"/>
        <v>0.5792161917888119</v>
      </c>
      <c r="AJ599">
        <f ca="1"/>
        <v>1.878013396191988</v>
      </c>
      <c r="AK599">
        <f ca="1"/>
        <v>1.1802343039258423</v>
      </c>
      <c r="AN599" s="9">
        <v>0.12803535399312502</v>
      </c>
      <c r="AO599" s="9">
        <v>2.9653058419451556E-2</v>
      </c>
    </row>
    <row r="600" spans="28:41" x14ac:dyDescent="0.2">
      <c r="AB600" s="9"/>
      <c r="AC600" s="20"/>
      <c r="AE600" s="22" cm="1">
        <f t="array" aca="1" ref="AE600" ca="1">SQRT(MMULT(MMULT(AG600:AK600,var_covar),TRANSPOSE(AG600:AK600)))</f>
        <v>0.10882922126460212</v>
      </c>
      <c r="AF600" s="22">
        <f t="shared" ca="1" si="31"/>
        <v>4.4820542268992292E-2</v>
      </c>
      <c r="AG600">
        <f ca="1"/>
        <v>0.2134758676443759</v>
      </c>
      <c r="AH600">
        <f ca="1"/>
        <v>0.423762506496835</v>
      </c>
      <c r="AI600">
        <f ca="1"/>
        <v>-0.32485308573007193</v>
      </c>
      <c r="AJ600">
        <f ca="1"/>
        <v>0.59464214376294811</v>
      </c>
      <c r="AK600">
        <f ca="1"/>
        <v>9.2972567825913011E-2</v>
      </c>
      <c r="AN600" s="9">
        <v>0.12794245760507711</v>
      </c>
      <c r="AO600" s="9">
        <v>2.3785466500117015E-2</v>
      </c>
    </row>
    <row r="601" spans="28:41" x14ac:dyDescent="0.2">
      <c r="AB601" s="9"/>
      <c r="AC601" s="20"/>
      <c r="AE601" s="22" cm="1">
        <f t="array" aca="1" ref="AE601" ca="1">SQRT(MMULT(MMULT(AG601:AK601,var_covar),TRANSPOSE(AG601:AK601)))</f>
        <v>8.8330655690414345E-2</v>
      </c>
      <c r="AF601" s="22">
        <f t="shared" ca="1" si="31"/>
        <v>3.8536351429194558E-2</v>
      </c>
      <c r="AG601">
        <f ca="1"/>
        <v>0.24192008580419599</v>
      </c>
      <c r="AH601">
        <f ca="1"/>
        <v>9.7048407586170046E-2</v>
      </c>
      <c r="AI601">
        <f ca="1"/>
        <v>0.26783679117537723</v>
      </c>
      <c r="AJ601">
        <f ca="1"/>
        <v>0.24966661695640971</v>
      </c>
      <c r="AK601">
        <f ca="1"/>
        <v>0.14352809847784706</v>
      </c>
      <c r="AN601" s="9">
        <v>0.12779519680600865</v>
      </c>
      <c r="AO601" s="9">
        <v>5.2347201617334083E-2</v>
      </c>
    </row>
    <row r="602" spans="28:41" x14ac:dyDescent="0.2">
      <c r="AB602" s="9"/>
      <c r="AC602" s="20"/>
      <c r="AE602" s="22" cm="1">
        <f t="array" aca="1" ref="AE602" ca="1">SQRT(MMULT(MMULT(AG602:AK602,var_covar),TRANSPOSE(AG602:AK602)))</f>
        <v>0.12260467360535426</v>
      </c>
      <c r="AF602" s="22">
        <f t="shared" ca="1" si="31"/>
        <v>2.5562203729326972E-2</v>
      </c>
      <c r="AG602">
        <f ca="1"/>
        <v>0.64383953831309004</v>
      </c>
      <c r="AH602">
        <f ca="1"/>
        <v>0.63821946534812501</v>
      </c>
      <c r="AI602">
        <f ca="1"/>
        <v>0.16938879423972319</v>
      </c>
      <c r="AJ602">
        <f ca="1"/>
        <v>9.4087579396228499E-2</v>
      </c>
      <c r="AK602">
        <f ca="1"/>
        <v>-0.54553537729716672</v>
      </c>
      <c r="AN602" s="9">
        <v>0.12734162395044038</v>
      </c>
      <c r="AO602" s="9">
        <v>3.2158102307259309E-2</v>
      </c>
    </row>
    <row r="603" spans="28:41" x14ac:dyDescent="0.2">
      <c r="AB603" s="9"/>
      <c r="AC603" s="20"/>
      <c r="AE603" s="22" cm="1">
        <f t="array" aca="1" ref="AE603" ca="1">SQRT(MMULT(MMULT(AG603:AK603,var_covar),TRANSPOSE(AG603:AK603)))</f>
        <v>9.5989437613954259E-2</v>
      </c>
      <c r="AF603" s="22">
        <f t="shared" ca="1" si="31"/>
        <v>3.1688865963959957E-2</v>
      </c>
      <c r="AG603">
        <f ca="1"/>
        <v>8.3210124556232931E-2</v>
      </c>
      <c r="AH603">
        <f ca="1"/>
        <v>0.77114887177630098</v>
      </c>
      <c r="AI603">
        <f ca="1"/>
        <v>-2.5345233335757202E-2</v>
      </c>
      <c r="AJ603">
        <f ca="1"/>
        <v>0.27038690844782592</v>
      </c>
      <c r="AK603">
        <f ca="1"/>
        <v>-9.9400671444602615E-2</v>
      </c>
      <c r="AN603" s="9">
        <v>0.12733474116059287</v>
      </c>
      <c r="AO603" s="9">
        <v>4.2848865951966797E-2</v>
      </c>
    </row>
    <row r="604" spans="28:41" x14ac:dyDescent="0.2">
      <c r="AB604" s="9"/>
      <c r="AC604" s="20"/>
      <c r="AE604" s="22" cm="1">
        <f t="array" aca="1" ref="AE604" ca="1">SQRT(MMULT(MMULT(AG604:AK604,var_covar),TRANSPOSE(AG604:AK604)))</f>
        <v>0.2205711904700742</v>
      </c>
      <c r="AF604" s="22">
        <f t="shared" ca="1" si="31"/>
        <v>4.2420585019155341E-2</v>
      </c>
      <c r="AG604">
        <f ca="1"/>
        <v>-0.52743653359798104</v>
      </c>
      <c r="AH604">
        <f ca="1"/>
        <v>-0.42636877294206732</v>
      </c>
      <c r="AI604">
        <f ca="1"/>
        <v>0.86744284423015794</v>
      </c>
      <c r="AJ604">
        <f ca="1"/>
        <v>3.0570335247962346E-2</v>
      </c>
      <c r="AK604">
        <f ca="1"/>
        <v>1.0557921270619279</v>
      </c>
      <c r="AN604" s="9">
        <v>0.12715374929135825</v>
      </c>
      <c r="AO604" s="9">
        <v>3.297036533389619E-2</v>
      </c>
    </row>
    <row r="605" spans="28:41" x14ac:dyDescent="0.2">
      <c r="AB605" s="9"/>
      <c r="AC605" s="20"/>
      <c r="AE605" s="22" cm="1">
        <f t="array" aca="1" ref="AE605" ca="1">SQRT(MMULT(MMULT(AG605:AK605,var_covar),TRANSPOSE(AG605:AK605)))</f>
        <v>0.21113122491656819</v>
      </c>
      <c r="AF605" s="22">
        <f t="shared" ca="1" si="31"/>
        <v>6.8313200757670903E-2</v>
      </c>
      <c r="AG605">
        <f ca="1"/>
        <v>-1.8528890577114598E-2</v>
      </c>
      <c r="AH605">
        <f ca="1"/>
        <v>-0.68391198012275856</v>
      </c>
      <c r="AI605">
        <f ca="1"/>
        <v>-0.16004195701311671</v>
      </c>
      <c r="AJ605">
        <f ca="1"/>
        <v>0.92525984021057295</v>
      </c>
      <c r="AK605">
        <f ca="1"/>
        <v>0.93722298750241695</v>
      </c>
      <c r="AN605" s="9">
        <v>0.12690368352079498</v>
      </c>
      <c r="AO605" s="9">
        <v>4.4556035284148664E-2</v>
      </c>
    </row>
    <row r="606" spans="28:41" x14ac:dyDescent="0.2">
      <c r="AB606" s="9"/>
      <c r="AC606" s="20"/>
      <c r="AE606" s="22" cm="1">
        <f t="array" aca="1" ref="AE606" ca="1">SQRT(MMULT(MMULT(AG606:AK606,var_covar),TRANSPOSE(AG606:AK606)))</f>
        <v>0.14105791409651414</v>
      </c>
      <c r="AF606" s="22">
        <f t="shared" ca="1" si="31"/>
        <v>1.7123976386518927E-2</v>
      </c>
      <c r="AG606">
        <f ca="1"/>
        <v>-0.76293443912230818</v>
      </c>
      <c r="AH606">
        <f ca="1"/>
        <v>1.0480515756837316</v>
      </c>
      <c r="AI606">
        <f ca="1"/>
        <v>0.81536150819031716</v>
      </c>
      <c r="AJ606">
        <f ca="1"/>
        <v>-0.17430963183700079</v>
      </c>
      <c r="AK606">
        <f ca="1"/>
        <v>7.3830987085260216E-2</v>
      </c>
      <c r="AN606" s="9">
        <v>0.12626440129479147</v>
      </c>
      <c r="AO606" s="9">
        <v>2.2748037118405035E-2</v>
      </c>
    </row>
    <row r="607" spans="28:41" x14ac:dyDescent="0.2">
      <c r="AB607" s="9"/>
      <c r="AC607" s="20"/>
      <c r="AE607" s="22" cm="1">
        <f t="array" aca="1" ref="AE607" ca="1">SQRT(MMULT(MMULT(AG607:AK607,var_covar),TRANSPOSE(AG607:AK607)))</f>
        <v>0.96794006597332083</v>
      </c>
      <c r="AF607" s="22">
        <f t="shared" ca="1" si="31"/>
        <v>0.15458539215343051</v>
      </c>
      <c r="AG607">
        <f ca="1"/>
        <v>-4.3773145577465904</v>
      </c>
      <c r="AH607">
        <f ca="1"/>
        <v>-5.2605228454965376</v>
      </c>
      <c r="AI607">
        <f ca="1"/>
        <v>5.6034689713116679</v>
      </c>
      <c r="AJ607">
        <f ca="1"/>
        <v>3.0649880445292643</v>
      </c>
      <c r="AK607">
        <f ca="1"/>
        <v>1.9693803874021947</v>
      </c>
      <c r="AN607" s="9">
        <v>0.12598650921423862</v>
      </c>
      <c r="AO607" s="9">
        <v>3.8591557755303769E-2</v>
      </c>
    </row>
    <row r="608" spans="28:41" x14ac:dyDescent="0.2">
      <c r="AB608" s="9"/>
      <c r="AC608" s="20"/>
      <c r="AE608" s="22" cm="1">
        <f t="array" aca="1" ref="AE608" ca="1">SQRT(MMULT(MMULT(AG608:AK608,var_covar),TRANSPOSE(AG608:AK608)))</f>
        <v>0.15464444898486815</v>
      </c>
      <c r="AF608" s="22">
        <f t="shared" ca="1" si="31"/>
        <v>2.6810565276148765E-2</v>
      </c>
      <c r="AG608">
        <f ca="1"/>
        <v>0.37119892446710107</v>
      </c>
      <c r="AH608">
        <f ca="1"/>
        <v>-0.41150792623613341</v>
      </c>
      <c r="AI608">
        <f ca="1"/>
        <v>0.99193799945227468</v>
      </c>
      <c r="AJ608">
        <f ca="1"/>
        <v>-0.46846731164679156</v>
      </c>
      <c r="AK608">
        <f ca="1"/>
        <v>0.51683831396354918</v>
      </c>
      <c r="AN608" s="9">
        <v>0.12593586561847669</v>
      </c>
      <c r="AO608" s="9">
        <v>1.5896187551985439E-2</v>
      </c>
    </row>
    <row r="609" spans="28:41" x14ac:dyDescent="0.2">
      <c r="AB609" s="9"/>
      <c r="AC609" s="20"/>
      <c r="AE609" s="22" cm="1">
        <f t="array" aca="1" ref="AE609" ca="1">SQRT(MMULT(MMULT(AG609:AK609,var_covar),TRANSPOSE(AG609:AK609)))</f>
        <v>0.55793754730183309</v>
      </c>
      <c r="AF609" s="22">
        <f t="shared" ca="1" si="31"/>
        <v>8.256220195602948E-2</v>
      </c>
      <c r="AG609">
        <f ca="1"/>
        <v>-2.5574490810116668</v>
      </c>
      <c r="AH609">
        <f ca="1"/>
        <v>-1.4011888592208313</v>
      </c>
      <c r="AI609">
        <f ca="1"/>
        <v>1.2023287191490706</v>
      </c>
      <c r="AJ609">
        <f ca="1"/>
        <v>0.89048630604405854</v>
      </c>
      <c r="AK609">
        <f ca="1"/>
        <v>2.8658229150393688</v>
      </c>
      <c r="AN609" s="9">
        <v>0.1253298603264191</v>
      </c>
      <c r="AO609" s="9">
        <v>3.905609225040807E-2</v>
      </c>
    </row>
    <row r="610" spans="28:41" x14ac:dyDescent="0.2">
      <c r="AB610" s="9"/>
      <c r="AC610" s="20"/>
      <c r="AE610" s="22" cm="1">
        <f t="array" aca="1" ref="AE610" ca="1">SQRT(MMULT(MMULT(AG610:AK610,var_covar),TRANSPOSE(AG610:AK610)))</f>
        <v>8.059012761814259E-2</v>
      </c>
      <c r="AF610" s="22">
        <f t="shared" ca="1" si="31"/>
        <v>3.4587666824980878E-2</v>
      </c>
      <c r="AG610">
        <f ca="1"/>
        <v>0.48186872072953857</v>
      </c>
      <c r="AH610">
        <f ca="1"/>
        <v>0.12483766537486041</v>
      </c>
      <c r="AI610">
        <f ca="1"/>
        <v>0.22757998622636896</v>
      </c>
      <c r="AJ610">
        <f ca="1"/>
        <v>0.11343672157503117</v>
      </c>
      <c r="AK610">
        <f ca="1"/>
        <v>5.2276906094200853E-2</v>
      </c>
      <c r="AN610" s="9">
        <v>0.1253220693911683</v>
      </c>
      <c r="AO610" s="9">
        <v>4.6593517847359746E-2</v>
      </c>
    </row>
    <row r="611" spans="28:41" x14ac:dyDescent="0.2">
      <c r="AB611" s="9"/>
      <c r="AC611" s="20"/>
      <c r="AE611" s="22" cm="1">
        <f t="array" aca="1" ref="AE611" ca="1">SQRT(MMULT(MMULT(AG611:AK611,var_covar),TRANSPOSE(AG611:AK611)))</f>
        <v>0.13693097639787488</v>
      </c>
      <c r="AF611" s="22">
        <f t="shared" ca="1" si="31"/>
        <v>4.5081403180379793E-2</v>
      </c>
      <c r="AG611">
        <f ca="1"/>
        <v>0.31225766801003507</v>
      </c>
      <c r="AH611">
        <f ca="1"/>
        <v>-3.4058196474234567E-2</v>
      </c>
      <c r="AI611">
        <f ca="1"/>
        <v>-0.20714111737579549</v>
      </c>
      <c r="AJ611">
        <f ca="1"/>
        <v>0.28697427917272422</v>
      </c>
      <c r="AK611">
        <f ca="1"/>
        <v>0.64196736666727083</v>
      </c>
      <c r="AN611" s="9">
        <v>0.12510725913171805</v>
      </c>
      <c r="AO611" s="9">
        <v>3.9875588839125675E-2</v>
      </c>
    </row>
    <row r="612" spans="28:41" x14ac:dyDescent="0.2">
      <c r="AB612" s="9"/>
      <c r="AC612" s="20"/>
      <c r="AE612" s="22" cm="1">
        <f t="array" aca="1" ref="AE612" ca="1">SQRT(MMULT(MMULT(AG612:AK612,var_covar),TRANSPOSE(AG612:AK612)))</f>
        <v>0.12017414642919604</v>
      </c>
      <c r="AF612" s="22">
        <f t="shared" ca="1" si="31"/>
        <v>3.0937010792519988E-2</v>
      </c>
      <c r="AG612">
        <f ca="1"/>
        <v>0.34881555133462516</v>
      </c>
      <c r="AH612">
        <f ca="1"/>
        <v>0.71217725593233649</v>
      </c>
      <c r="AI612">
        <f ca="1"/>
        <v>8.9440025692301486E-2</v>
      </c>
      <c r="AJ612">
        <f ca="1"/>
        <v>0.32406134935591124</v>
      </c>
      <c r="AK612">
        <f ca="1"/>
        <v>-0.47449418231517437</v>
      </c>
      <c r="AN612" s="9">
        <v>0.12498218091242595</v>
      </c>
      <c r="AO612" s="9">
        <v>4.5467265499884002E-2</v>
      </c>
    </row>
    <row r="613" spans="28:41" x14ac:dyDescent="0.2">
      <c r="AB613" s="9"/>
      <c r="AC613" s="20"/>
      <c r="AE613" s="22" cm="1">
        <f t="array" aca="1" ref="AE613" ca="1">SQRT(MMULT(MMULT(AG613:AK613,var_covar),TRANSPOSE(AG613:AK613)))</f>
        <v>0.62124725628339095</v>
      </c>
      <c r="AF613" s="22">
        <f t="shared" ca="1" si="31"/>
        <v>-4.3186023183987232E-2</v>
      </c>
      <c r="AG613">
        <f ca="1"/>
        <v>3.1180607811410188</v>
      </c>
      <c r="AH613">
        <f ca="1"/>
        <v>0.86475310035800845</v>
      </c>
      <c r="AI613">
        <f ca="1"/>
        <v>-1.7011409244653277</v>
      </c>
      <c r="AJ613">
        <f ca="1"/>
        <v>-3.692323443979316</v>
      </c>
      <c r="AK613">
        <f ca="1"/>
        <v>2.4106504869456162</v>
      </c>
      <c r="AN613" s="9">
        <v>0.12481692154426437</v>
      </c>
      <c r="AO613" s="9">
        <v>4.5941192419189883E-2</v>
      </c>
    </row>
    <row r="614" spans="28:41" x14ac:dyDescent="0.2">
      <c r="AB614" s="9"/>
      <c r="AC614" s="20"/>
      <c r="AE614" s="22" cm="1">
        <f t="array" aca="1" ref="AE614" ca="1">SQRT(MMULT(MMULT(AG614:AK614,var_covar),TRANSPOSE(AG614:AK614)))</f>
        <v>0.11507912965011979</v>
      </c>
      <c r="AF614" s="22">
        <f t="shared" ca="1" si="31"/>
        <v>4.0708980278349592E-2</v>
      </c>
      <c r="AG614">
        <f ca="1"/>
        <v>0.52408007877707563</v>
      </c>
      <c r="AH614">
        <f ca="1"/>
        <v>-0.3947752841308651</v>
      </c>
      <c r="AI614">
        <f ca="1"/>
        <v>0.43258878076401291</v>
      </c>
      <c r="AJ614">
        <f ca="1"/>
        <v>0.10700212968143699</v>
      </c>
      <c r="AK614">
        <f ca="1"/>
        <v>0.33110429490833954</v>
      </c>
      <c r="AN614" s="9">
        <v>0.12466004502426979</v>
      </c>
      <c r="AO614" s="9">
        <v>2.6662610228638674E-2</v>
      </c>
    </row>
    <row r="615" spans="28:41" x14ac:dyDescent="0.2">
      <c r="AB615" s="9"/>
      <c r="AC615" s="20"/>
      <c r="AE615" s="22" cm="1">
        <f t="array" aca="1" ref="AE615" ca="1">SQRT(MMULT(MMULT(AG615:AK615,var_covar),TRANSPOSE(AG615:AK615)))</f>
        <v>0.14596930125812496</v>
      </c>
      <c r="AF615" s="22">
        <f t="shared" ca="1" si="31"/>
        <v>4.1277268510981506E-2</v>
      </c>
      <c r="AG615">
        <f ca="1"/>
        <v>-0.72776846171055154</v>
      </c>
      <c r="AH615">
        <f ca="1"/>
        <v>0.36655158070633137</v>
      </c>
      <c r="AI615">
        <f ca="1"/>
        <v>0.76980664834824597</v>
      </c>
      <c r="AJ615">
        <f ca="1"/>
        <v>0.56763119851649746</v>
      </c>
      <c r="AK615">
        <f ca="1"/>
        <v>2.377903413947674E-2</v>
      </c>
      <c r="AN615" s="9">
        <v>0.12462461162222249</v>
      </c>
      <c r="AO615" s="9">
        <v>4.3615977625862612E-2</v>
      </c>
    </row>
    <row r="616" spans="28:41" x14ac:dyDescent="0.2">
      <c r="AB616" s="9"/>
      <c r="AC616" s="20"/>
      <c r="AE616" s="22" cm="1">
        <f t="array" aca="1" ref="AE616" ca="1">SQRT(MMULT(MMULT(AG616:AK616,var_covar),TRANSPOSE(AG616:AK616)))</f>
        <v>0.53484498859768059</v>
      </c>
      <c r="AF616" s="22">
        <f t="shared" ca="1" si="31"/>
        <v>-7.2818392297214971E-3</v>
      </c>
      <c r="AG616">
        <f ca="1"/>
        <v>-4.7024392135688418</v>
      </c>
      <c r="AH616">
        <f ca="1"/>
        <v>2.2188360806804583</v>
      </c>
      <c r="AI616">
        <f ca="1"/>
        <v>3.1413191441194637</v>
      </c>
      <c r="AJ616">
        <f ca="1"/>
        <v>-0.68804838691618853</v>
      </c>
      <c r="AK616">
        <f ca="1"/>
        <v>1.0303323756851075</v>
      </c>
      <c r="AN616" s="9">
        <v>0.12455511175169928</v>
      </c>
      <c r="AO616" s="9">
        <v>4.465413699284581E-2</v>
      </c>
    </row>
    <row r="617" spans="28:41" x14ac:dyDescent="0.2">
      <c r="AB617" s="9"/>
      <c r="AC617" s="20"/>
      <c r="AE617" s="22" cm="1">
        <f t="array" aca="1" ref="AE617" ca="1">SQRT(MMULT(MMULT(AG617:AK617,var_covar),TRANSPOSE(AG617:AK617)))</f>
        <v>0.11574492528721833</v>
      </c>
      <c r="AF617" s="22">
        <f t="shared" ca="1" si="31"/>
        <v>7.4872847491970172E-3</v>
      </c>
      <c r="AG617">
        <f ca="1"/>
        <v>0.66104809292848921</v>
      </c>
      <c r="AH617">
        <f ca="1"/>
        <v>1.0031968213640166</v>
      </c>
      <c r="AI617">
        <f ca="1"/>
        <v>0.11912202183983536</v>
      </c>
      <c r="AJ617">
        <f ca="1"/>
        <v>-0.6204451530418621</v>
      </c>
      <c r="AK617">
        <f ca="1"/>
        <v>-0.16292178309047886</v>
      </c>
      <c r="AN617" s="9">
        <v>0.12445747921601304</v>
      </c>
      <c r="AO617" s="9">
        <v>4.8343098227933756E-2</v>
      </c>
    </row>
    <row r="618" spans="28:41" x14ac:dyDescent="0.2">
      <c r="AB618" s="9"/>
      <c r="AC618" s="20"/>
      <c r="AE618" s="22" cm="1">
        <f t="array" aca="1" ref="AE618" ca="1">SQRT(MMULT(MMULT(AG618:AK618,var_covar),TRANSPOSE(AG618:AK618)))</f>
        <v>0.51944148613885166</v>
      </c>
      <c r="AF618" s="22">
        <f t="shared" ca="1" si="31"/>
        <v>4.3890563072317132E-2</v>
      </c>
      <c r="AG618">
        <f ca="1"/>
        <v>-2.6118989193196556</v>
      </c>
      <c r="AH618">
        <f ca="1"/>
        <v>4.4152300429934783</v>
      </c>
      <c r="AI618">
        <f ca="1"/>
        <v>-2.3889413233627099</v>
      </c>
      <c r="AJ618">
        <f ca="1"/>
        <v>2.1488122804709739</v>
      </c>
      <c r="AK618">
        <f ca="1"/>
        <v>-0.56320208078208667</v>
      </c>
      <c r="AN618" s="9">
        <v>0.12420420102814043</v>
      </c>
      <c r="AO618" s="9">
        <v>1.2765875667634622E-2</v>
      </c>
    </row>
    <row r="619" spans="28:41" x14ac:dyDescent="0.2">
      <c r="AB619" s="9"/>
      <c r="AC619" s="20"/>
      <c r="AE619" s="22" cm="1">
        <f t="array" aca="1" ref="AE619" ca="1">SQRT(MMULT(MMULT(AG619:AK619,var_covar),TRANSPOSE(AG619:AK619)))</f>
        <v>0.17831857304412299</v>
      </c>
      <c r="AF619" s="22">
        <f t="shared" ca="1" si="31"/>
        <v>4.7376620287262389E-2</v>
      </c>
      <c r="AG619">
        <f ca="1"/>
        <v>0.75684378892230952</v>
      </c>
      <c r="AH619">
        <f ca="1"/>
        <v>0.24120586691373072</v>
      </c>
      <c r="AI619">
        <f ca="1"/>
        <v>-1.050743006725805</v>
      </c>
      <c r="AJ619">
        <f ca="1"/>
        <v>0.39586382477759652</v>
      </c>
      <c r="AK619">
        <f ca="1"/>
        <v>0.65682952611216827</v>
      </c>
      <c r="AN619" s="9">
        <v>0.1241986849445046</v>
      </c>
      <c r="AO619" s="9">
        <v>4.2466696407230609E-2</v>
      </c>
    </row>
    <row r="620" spans="28:41" x14ac:dyDescent="0.2">
      <c r="AB620" s="9"/>
      <c r="AC620" s="20"/>
      <c r="AE620" s="22" cm="1">
        <f t="array" aca="1" ref="AE620" ca="1">SQRT(MMULT(MMULT(AG620:AK620,var_covar),TRANSPOSE(AG620:AK620)))</f>
        <v>0.14091218094126534</v>
      </c>
      <c r="AF620" s="22">
        <f t="shared" ca="1" si="31"/>
        <v>5.2119739285974992E-2</v>
      </c>
      <c r="AG620">
        <f ca="1"/>
        <v>0.9249642414061765</v>
      </c>
      <c r="AH620">
        <f ca="1"/>
        <v>-0.66919353042506868</v>
      </c>
      <c r="AI620">
        <f ca="1"/>
        <v>-4.4062129464010849E-2</v>
      </c>
      <c r="AJ620">
        <f ca="1"/>
        <v>0.40419529766505441</v>
      </c>
      <c r="AK620">
        <f ca="1"/>
        <v>0.38409612081784877</v>
      </c>
      <c r="AN620" s="9">
        <v>0.12408411296997129</v>
      </c>
      <c r="AO620" s="9">
        <v>3.5956607908298743E-2</v>
      </c>
    </row>
    <row r="621" spans="28:41" x14ac:dyDescent="0.2">
      <c r="AB621" s="9"/>
      <c r="AC621" s="20"/>
      <c r="AE621" s="22" cm="1">
        <f t="array" aca="1" ref="AE621" ca="1">SQRT(MMULT(MMULT(AG621:AK621,var_covar),TRANSPOSE(AG621:AK621)))</f>
        <v>0.32778120619119094</v>
      </c>
      <c r="AF621" s="22">
        <f t="shared" ca="1" si="31"/>
        <v>6.1612330917874263E-2</v>
      </c>
      <c r="AG621">
        <f ca="1"/>
        <v>-2.3019639981027278</v>
      </c>
      <c r="AH621">
        <f ca="1"/>
        <v>1.4391081225988194</v>
      </c>
      <c r="AI621">
        <f ca="1"/>
        <v>-0.72448375725768854</v>
      </c>
      <c r="AJ621">
        <f ca="1"/>
        <v>1.3979958358705087</v>
      </c>
      <c r="AK621">
        <f ca="1"/>
        <v>1.1893437968910885</v>
      </c>
      <c r="AN621" s="9">
        <v>0.12390699429655938</v>
      </c>
      <c r="AO621" s="9">
        <v>3.577165812581426E-2</v>
      </c>
    </row>
    <row r="622" spans="28:41" x14ac:dyDescent="0.2">
      <c r="AB622" s="9"/>
      <c r="AC622" s="20"/>
      <c r="AE622" s="22" cm="1">
        <f t="array" aca="1" ref="AE622" ca="1">SQRT(MMULT(MMULT(AG622:AK622,var_covar),TRANSPOSE(AG622:AK622)))</f>
        <v>2.3372468193111335</v>
      </c>
      <c r="AF622" s="22">
        <f t="shared" ca="1" si="31"/>
        <v>-2.3509695135917497E-2</v>
      </c>
      <c r="AG622">
        <f ca="1"/>
        <v>3.5372918211778379</v>
      </c>
      <c r="AH622">
        <f ca="1"/>
        <v>-9.4230736838418494</v>
      </c>
      <c r="AI622">
        <f ca="1"/>
        <v>17.874442693171108</v>
      </c>
      <c r="AJ622">
        <f ca="1"/>
        <v>-1.8998326139372119</v>
      </c>
      <c r="AK622">
        <f ca="1"/>
        <v>-9.0888282165698868</v>
      </c>
      <c r="AN622" s="9">
        <v>0.12382405878562458</v>
      </c>
      <c r="AO622" s="9">
        <v>4.2169276369512065E-2</v>
      </c>
    </row>
    <row r="623" spans="28:41" x14ac:dyDescent="0.2">
      <c r="AB623" s="9"/>
      <c r="AC623" s="20"/>
      <c r="AE623" s="22" cm="1">
        <f t="array" aca="1" ref="AE623" ca="1">SQRT(MMULT(MMULT(AG623:AK623,var_covar),TRANSPOSE(AG623:AK623)))</f>
        <v>0.16370079148320418</v>
      </c>
      <c r="AF623" s="22">
        <f t="shared" ca="1" si="31"/>
        <v>2.7447886688396893E-2</v>
      </c>
      <c r="AG623">
        <f ca="1"/>
        <v>-0.61353457027631775</v>
      </c>
      <c r="AH623">
        <f ca="1"/>
        <v>0.1408637222260235</v>
      </c>
      <c r="AI623">
        <f ca="1"/>
        <v>1.2219588055362236</v>
      </c>
      <c r="AJ623">
        <f ca="1"/>
        <v>-0.15537475162821288</v>
      </c>
      <c r="AK623">
        <f ca="1"/>
        <v>0.40608679414228371</v>
      </c>
      <c r="AN623" s="9">
        <v>0.12377656478501391</v>
      </c>
      <c r="AO623" s="9">
        <v>2.0677697031627716E-2</v>
      </c>
    </row>
    <row r="624" spans="28:41" x14ac:dyDescent="0.2">
      <c r="AB624" s="9"/>
      <c r="AC624" s="20"/>
      <c r="AE624" s="22" cm="1">
        <f t="array" aca="1" ref="AE624" ca="1">SQRT(MMULT(MMULT(AG624:AK624,var_covar),TRANSPOSE(AG624:AK624)))</f>
        <v>0.10054351063635583</v>
      </c>
      <c r="AF624" s="22">
        <f t="shared" ca="1" si="31"/>
        <v>3.1131981103520043E-2</v>
      </c>
      <c r="AG624">
        <f ca="1"/>
        <v>0.49626111896739444</v>
      </c>
      <c r="AH624">
        <f ca="1"/>
        <v>0.69825990593944409</v>
      </c>
      <c r="AI624">
        <f ca="1"/>
        <v>-0.23077599108018645</v>
      </c>
      <c r="AJ624">
        <f ca="1"/>
        <v>0.21196591154779496</v>
      </c>
      <c r="AK624">
        <f ca="1"/>
        <v>-0.17571094537444693</v>
      </c>
      <c r="AN624" s="9">
        <v>0.12363000333266898</v>
      </c>
      <c r="AO624" s="9">
        <v>3.4455204699929472E-2</v>
      </c>
    </row>
    <row r="625" spans="28:41" x14ac:dyDescent="0.2">
      <c r="AB625" s="9"/>
      <c r="AC625" s="20"/>
      <c r="AE625" s="22" cm="1">
        <f t="array" aca="1" ref="AE625" ca="1">SQRT(MMULT(MMULT(AG625:AK625,var_covar),TRANSPOSE(AG625:AK625)))</f>
        <v>0.12873300118263722</v>
      </c>
      <c r="AF625" s="22">
        <f t="shared" ca="1" si="31"/>
        <v>4.9026136129062939E-2</v>
      </c>
      <c r="AG625">
        <f ca="1"/>
        <v>-4.2841160490834099E-4</v>
      </c>
      <c r="AH625">
        <f ca="1"/>
        <v>-8.1192430430252996E-2</v>
      </c>
      <c r="AI625">
        <f ca="1"/>
        <v>8.3741950262222462E-2</v>
      </c>
      <c r="AJ625">
        <f ca="1"/>
        <v>0.50668622115727668</v>
      </c>
      <c r="AK625">
        <f ca="1"/>
        <v>0.4911926706156623</v>
      </c>
      <c r="AN625" s="9">
        <v>0.12349190641910858</v>
      </c>
      <c r="AO625" s="9">
        <v>2.9152399881480308E-2</v>
      </c>
    </row>
    <row r="626" spans="28:41" x14ac:dyDescent="0.2">
      <c r="AB626" s="9"/>
      <c r="AC626" s="20"/>
      <c r="AE626" s="22" cm="1">
        <f t="array" aca="1" ref="AE626" ca="1">SQRT(MMULT(MMULT(AG626:AK626,var_covar),TRANSPOSE(AG626:AK626)))</f>
        <v>0.90418330583440543</v>
      </c>
      <c r="AF626" s="22">
        <f t="shared" ca="1" si="31"/>
        <v>0.22989076775847728</v>
      </c>
      <c r="AG626">
        <f ca="1"/>
        <v>-0.86178850427956399</v>
      </c>
      <c r="AH626">
        <f ca="1"/>
        <v>-0.55680450332671594</v>
      </c>
      <c r="AI626">
        <f ca="1"/>
        <v>-3.8406356480896036</v>
      </c>
      <c r="AJ626">
        <f ca="1"/>
        <v>8.0703566803677411</v>
      </c>
      <c r="AK626">
        <f ca="1"/>
        <v>-1.811128024671858</v>
      </c>
      <c r="AN626" s="9">
        <v>0.12329757713709974</v>
      </c>
      <c r="AO626" s="9">
        <v>3.7815092076955006E-2</v>
      </c>
    </row>
    <row r="627" spans="28:41" x14ac:dyDescent="0.2">
      <c r="AB627" s="9"/>
      <c r="AC627" s="20"/>
      <c r="AE627" s="22" cm="1">
        <f t="array" aca="1" ref="AE627" ca="1">SQRT(MMULT(MMULT(AG627:AK627,var_covar),TRANSPOSE(AG627:AK627)))</f>
        <v>0.19338611954586227</v>
      </c>
      <c r="AF627" s="22">
        <f t="shared" ca="1" si="31"/>
        <v>2.4923469624551772E-2</v>
      </c>
      <c r="AG627">
        <f ca="1"/>
        <v>-0.52471009098929944</v>
      </c>
      <c r="AH627">
        <f ca="1"/>
        <v>-6.1442276252365841E-2</v>
      </c>
      <c r="AI627">
        <f ca="1"/>
        <v>1.2965302092145214</v>
      </c>
      <c r="AJ627">
        <f ca="1"/>
        <v>-0.4142546054256232</v>
      </c>
      <c r="AK627">
        <f ca="1"/>
        <v>0.70387676345276684</v>
      </c>
      <c r="AN627" s="9">
        <v>0.1230494271842552</v>
      </c>
      <c r="AO627" s="9">
        <v>6.9615319796024321E-3</v>
      </c>
    </row>
    <row r="628" spans="28:41" x14ac:dyDescent="0.2">
      <c r="AB628" s="9"/>
      <c r="AC628" s="20"/>
      <c r="AE628" s="22" cm="1">
        <f t="array" aca="1" ref="AE628" ca="1">SQRT(MMULT(MMULT(AG628:AK628,var_covar),TRANSPOSE(AG628:AK628)))</f>
        <v>0.10010894637382289</v>
      </c>
      <c r="AF628" s="22">
        <f t="shared" ca="1" si="31"/>
        <v>4.1602359555321933E-2</v>
      </c>
      <c r="AG628">
        <f ca="1"/>
        <v>0.45079775201429445</v>
      </c>
      <c r="AH628">
        <f ca="1"/>
        <v>0.3053310020443406</v>
      </c>
      <c r="AI628">
        <f ca="1"/>
        <v>-0.10287600550873699</v>
      </c>
      <c r="AJ628">
        <f ca="1"/>
        <v>0.49845407420431093</v>
      </c>
      <c r="AK628">
        <f ca="1"/>
        <v>-0.15170682275420899</v>
      </c>
      <c r="AN628" s="9">
        <v>0.12286684382988537</v>
      </c>
      <c r="AO628" s="9">
        <v>3.5338155232122054E-2</v>
      </c>
    </row>
    <row r="629" spans="28:41" x14ac:dyDescent="0.2">
      <c r="AB629" s="9"/>
      <c r="AC629" s="20"/>
      <c r="AE629" s="22" cm="1">
        <f t="array" aca="1" ref="AE629" ca="1">SQRT(MMULT(MMULT(AG629:AK629,var_covar),TRANSPOSE(AG629:AK629)))</f>
        <v>9.6346828952280139E-2</v>
      </c>
      <c r="AF629" s="22">
        <f t="shared" ca="1" si="31"/>
        <v>3.2476239201382165E-2</v>
      </c>
      <c r="AG629">
        <f ca="1"/>
        <v>0.61233105039645319</v>
      </c>
      <c r="AH629">
        <f ca="1"/>
        <v>0.23915025886441213</v>
      </c>
      <c r="AI629">
        <f ca="1"/>
        <v>0.2844874306298118</v>
      </c>
      <c r="AJ629">
        <f ca="1"/>
        <v>0.17132666951307571</v>
      </c>
      <c r="AK629">
        <f ca="1"/>
        <v>-0.30729540940375277</v>
      </c>
      <c r="AN629" s="9">
        <v>0.1228074756356809</v>
      </c>
      <c r="AO629" s="9">
        <v>3.6812268421399404E-2</v>
      </c>
    </row>
    <row r="630" spans="28:41" x14ac:dyDescent="0.2">
      <c r="AB630" s="9"/>
      <c r="AC630" s="20"/>
      <c r="AE630" s="22" cm="1">
        <f t="array" aca="1" ref="AE630" ca="1">SQRT(MMULT(MMULT(AG630:AK630,var_covar),TRANSPOSE(AG630:AK630)))</f>
        <v>0.12332252969406639</v>
      </c>
      <c r="AF630" s="22">
        <f t="shared" ca="1" si="31"/>
        <v>4.3129386254283843E-2</v>
      </c>
      <c r="AG630">
        <f ca="1"/>
        <v>0.52173260903064322</v>
      </c>
      <c r="AH630">
        <f ca="1"/>
        <v>6.8507182275468717E-2</v>
      </c>
      <c r="AI630">
        <f ca="1"/>
        <v>-0.34868334896724607</v>
      </c>
      <c r="AJ630">
        <f ca="1"/>
        <v>0.2704630383268356</v>
      </c>
      <c r="AK630">
        <f ca="1"/>
        <v>0.48798051933429848</v>
      </c>
      <c r="AN630" s="9">
        <v>0.12267830997430348</v>
      </c>
      <c r="AO630" s="9">
        <v>4.7504409648915613E-2</v>
      </c>
    </row>
    <row r="631" spans="28:41" x14ac:dyDescent="0.2">
      <c r="AB631" s="9"/>
      <c r="AC631" s="20"/>
      <c r="AE631" s="22" cm="1">
        <f t="array" aca="1" ref="AE631" ca="1">SQRT(MMULT(MMULT(AG631:AK631,var_covar),TRANSPOSE(AG631:AK631)))</f>
        <v>0.13652250691277709</v>
      </c>
      <c r="AF631" s="22">
        <f t="shared" ca="1" si="31"/>
        <v>5.1741370184199414E-2</v>
      </c>
      <c r="AG631">
        <f ca="1"/>
        <v>-0.21300993313620831</v>
      </c>
      <c r="AH631">
        <f ca="1"/>
        <v>-2.6818325047154059E-2</v>
      </c>
      <c r="AI631">
        <f ca="1"/>
        <v>0.12057359885890973</v>
      </c>
      <c r="AJ631">
        <f ca="1"/>
        <v>0.65528020964161338</v>
      </c>
      <c r="AK631">
        <f ca="1"/>
        <v>0.46397444968283924</v>
      </c>
      <c r="AN631" s="9">
        <v>0.12236631156599698</v>
      </c>
      <c r="AO631" s="9">
        <v>4.5305507388800459E-2</v>
      </c>
    </row>
    <row r="632" spans="28:41" x14ac:dyDescent="0.2">
      <c r="AB632" s="9"/>
      <c r="AC632" s="20"/>
      <c r="AE632" s="22" cm="1">
        <f t="array" aca="1" ref="AE632" ca="1">SQRT(MMULT(MMULT(AG632:AK632,var_covar),TRANSPOSE(AG632:AK632)))</f>
        <v>9.7562998539909268E-2</v>
      </c>
      <c r="AF632" s="22">
        <f t="shared" ca="1" si="31"/>
        <v>3.5036535752972969E-2</v>
      </c>
      <c r="AG632">
        <f ca="1"/>
        <v>-0.11112060571068601</v>
      </c>
      <c r="AH632">
        <f ca="1"/>
        <v>0.5262870343907089</v>
      </c>
      <c r="AI632">
        <f ca="1"/>
        <v>9.5695171437563536E-2</v>
      </c>
      <c r="AJ632">
        <f ca="1"/>
        <v>0.23174794101319138</v>
      </c>
      <c r="AK632">
        <f ca="1"/>
        <v>0.25739045886922235</v>
      </c>
      <c r="AN632" s="9">
        <v>0.12214630277449288</v>
      </c>
      <c r="AO632" s="9">
        <v>3.5152434079169452E-2</v>
      </c>
    </row>
    <row r="633" spans="28:41" x14ac:dyDescent="0.2">
      <c r="AB633" s="9"/>
      <c r="AC633" s="20"/>
      <c r="AE633" s="22" cm="1">
        <f t="array" aca="1" ref="AE633" ca="1">SQRT(MMULT(MMULT(AG633:AK633,var_covar),TRANSPOSE(AG633:AK633)))</f>
        <v>0.16845670111974814</v>
      </c>
      <c r="AF633" s="22">
        <f t="shared" ca="1" si="31"/>
        <v>4.7865536110617883E-2</v>
      </c>
      <c r="AG633">
        <f ca="1"/>
        <v>1.1511823843699616</v>
      </c>
      <c r="AH633">
        <f ca="1"/>
        <v>0.36739308843446755</v>
      </c>
      <c r="AI633">
        <f ca="1"/>
        <v>-1.0502814775175469</v>
      </c>
      <c r="AJ633">
        <f ca="1"/>
        <v>0.67524360686726614</v>
      </c>
      <c r="AK633">
        <f ca="1"/>
        <v>-0.14353760215414832</v>
      </c>
      <c r="AN633" s="9">
        <v>0.12196812147684419</v>
      </c>
      <c r="AO633" s="9">
        <v>3.7561844664013189E-2</v>
      </c>
    </row>
    <row r="634" spans="28:41" x14ac:dyDescent="0.2">
      <c r="AB634" s="9"/>
      <c r="AC634" s="20"/>
      <c r="AE634" s="22" cm="1">
        <f t="array" aca="1" ref="AE634" ca="1">SQRT(MMULT(MMULT(AG634:AK634,var_covar),TRANSPOSE(AG634:AK634)))</f>
        <v>0.25630593048835665</v>
      </c>
      <c r="AF634" s="22">
        <f t="shared" ca="1" si="31"/>
        <v>3.3419913790316398E-2</v>
      </c>
      <c r="AG634">
        <f ca="1"/>
        <v>-1.2673630442975525</v>
      </c>
      <c r="AH634">
        <f ca="1"/>
        <v>0.52433751280648844</v>
      </c>
      <c r="AI634">
        <f ca="1"/>
        <v>0.47821351586299865</v>
      </c>
      <c r="AJ634">
        <f ca="1"/>
        <v>-6.9534409613291326E-2</v>
      </c>
      <c r="AK634">
        <f ca="1"/>
        <v>1.3343464252413566</v>
      </c>
      <c r="AN634" s="9">
        <v>0.12184858244246456</v>
      </c>
      <c r="AO634" s="9">
        <v>3.5528158882884298E-2</v>
      </c>
    </row>
    <row r="635" spans="28:41" x14ac:dyDescent="0.2">
      <c r="AB635" s="9"/>
      <c r="AC635" s="20"/>
      <c r="AE635" s="22" cm="1">
        <f t="array" aca="1" ref="AE635" ca="1">SQRT(MMULT(MMULT(AG635:AK635,var_covar),TRANSPOSE(AG635:AK635)))</f>
        <v>0.22347809800084018</v>
      </c>
      <c r="AF635" s="22">
        <f t="shared" ca="1" si="31"/>
        <v>5.384558938148544E-2</v>
      </c>
      <c r="AG635">
        <f ca="1"/>
        <v>-0.27457845437283157</v>
      </c>
      <c r="AH635">
        <f ca="1"/>
        <v>4.1215538328915689E-2</v>
      </c>
      <c r="AI635">
        <f ca="1"/>
        <v>-0.48740231301014381</v>
      </c>
      <c r="AJ635">
        <f ca="1"/>
        <v>0.50845890947902195</v>
      </c>
      <c r="AK635">
        <f ca="1"/>
        <v>1.2123063195750379</v>
      </c>
      <c r="AN635" s="9">
        <v>0.12109010808019734</v>
      </c>
      <c r="AO635" s="9">
        <v>2.8207527359230041E-2</v>
      </c>
    </row>
    <row r="636" spans="28:41" x14ac:dyDescent="0.2">
      <c r="AB636" s="9"/>
      <c r="AC636" s="20"/>
      <c r="AE636" s="22" cm="1">
        <f t="array" aca="1" ref="AE636" ca="1">SQRT(MMULT(MMULT(AG636:AK636,var_covar),TRANSPOSE(AG636:AK636)))</f>
        <v>0.10957133702397635</v>
      </c>
      <c r="AF636" s="22">
        <f t="shared" ca="1" si="31"/>
        <v>4.293094940547424E-2</v>
      </c>
      <c r="AG636">
        <f ca="1"/>
        <v>0.62891649634763358</v>
      </c>
      <c r="AH636">
        <f ca="1"/>
        <v>-0.4274858791953694</v>
      </c>
      <c r="AI636">
        <f ca="1"/>
        <v>0.42957177132946472</v>
      </c>
      <c r="AJ636">
        <f ca="1"/>
        <v>0.23831635137746132</v>
      </c>
      <c r="AK636">
        <f ca="1"/>
        <v>0.1306812601408098</v>
      </c>
      <c r="AN636" s="9">
        <v>0.12102552730012178</v>
      </c>
      <c r="AO636" s="9">
        <v>2.5998103257466879E-2</v>
      </c>
    </row>
    <row r="637" spans="28:41" x14ac:dyDescent="0.2">
      <c r="AB637" s="9"/>
      <c r="AC637" s="20"/>
      <c r="AE637" s="22" cm="1">
        <f t="array" aca="1" ref="AE637" ca="1">SQRT(MMULT(MMULT(AG637:AK637,var_covar),TRANSPOSE(AG637:AK637)))</f>
        <v>0.1606438589760415</v>
      </c>
      <c r="AF637" s="22">
        <f t="shared" ca="1" si="31"/>
        <v>5.4653516353303067E-2</v>
      </c>
      <c r="AG637">
        <f ca="1"/>
        <v>1.2532027736160849</v>
      </c>
      <c r="AH637">
        <f ca="1"/>
        <v>-0.35463667545579358</v>
      </c>
      <c r="AI637">
        <f ca="1"/>
        <v>-0.31530490966445834</v>
      </c>
      <c r="AJ637">
        <f ca="1"/>
        <v>0.81091884264430081</v>
      </c>
      <c r="AK637">
        <f ca="1"/>
        <v>-0.394180031140134</v>
      </c>
      <c r="AN637" s="9">
        <v>0.12080687838297628</v>
      </c>
      <c r="AO637" s="9">
        <v>2.2771736452874395E-2</v>
      </c>
    </row>
    <row r="638" spans="28:41" x14ac:dyDescent="0.2">
      <c r="AB638" s="9"/>
      <c r="AC638" s="20"/>
      <c r="AE638" s="22" cm="1">
        <f t="array" aca="1" ref="AE638" ca="1">SQRT(MMULT(MMULT(AG638:AK638,var_covar),TRANSPOSE(AG638:AK638)))</f>
        <v>0.10093937480674098</v>
      </c>
      <c r="AF638" s="22">
        <f t="shared" ca="1" si="31"/>
        <v>2.378121292379342E-2</v>
      </c>
      <c r="AG638">
        <f ca="1"/>
        <v>-6.0413149593248845E-2</v>
      </c>
      <c r="AH638">
        <f ca="1"/>
        <v>1.0105943774747377</v>
      </c>
      <c r="AI638">
        <f ca="1"/>
        <v>-1.7953343054387255E-2</v>
      </c>
      <c r="AJ638">
        <f ca="1"/>
        <v>-7.2650092036624057E-3</v>
      </c>
      <c r="AK638">
        <f ca="1"/>
        <v>7.5037124376560932E-2</v>
      </c>
      <c r="AN638" s="9">
        <v>0.1207307291768516</v>
      </c>
      <c r="AO638" s="9">
        <v>4.3172861972578733E-2</v>
      </c>
    </row>
    <row r="639" spans="28:41" x14ac:dyDescent="0.2">
      <c r="AB639" s="9"/>
      <c r="AC639" s="20"/>
      <c r="AE639" s="22" cm="1">
        <f t="array" aca="1" ref="AE639" ca="1">SQRT(MMULT(MMULT(AG639:AK639,var_covar),TRANSPOSE(AG639:AK639)))</f>
        <v>0.11240749208915682</v>
      </c>
      <c r="AF639" s="22">
        <f t="shared" ca="1" si="31"/>
        <v>1.9523116225433811E-2</v>
      </c>
      <c r="AG639">
        <f ca="1"/>
        <v>-2.9238515534589244E-2</v>
      </c>
      <c r="AH639">
        <f ca="1"/>
        <v>0.5675739256803648</v>
      </c>
      <c r="AI639">
        <f ca="1"/>
        <v>0.45176777959727027</v>
      </c>
      <c r="AJ639">
        <f ca="1"/>
        <v>-0.40397145120645755</v>
      </c>
      <c r="AK639">
        <f ca="1"/>
        <v>0.4138682614634116</v>
      </c>
      <c r="AN639" s="9">
        <v>0.12072127893269702</v>
      </c>
      <c r="AO639" s="9">
        <v>4.4876684779431977E-2</v>
      </c>
    </row>
    <row r="640" spans="28:41" x14ac:dyDescent="0.2">
      <c r="AB640" s="9"/>
      <c r="AC640" s="20"/>
      <c r="AE640" s="22" cm="1">
        <f t="array" aca="1" ref="AE640" ca="1">SQRT(MMULT(MMULT(AG640:AK640,var_covar),TRANSPOSE(AG640:AK640)))</f>
        <v>0.13921422581172377</v>
      </c>
      <c r="AF640" s="22">
        <f t="shared" ca="1" si="31"/>
        <v>3.1486768269321432E-2</v>
      </c>
      <c r="AG640">
        <f ca="1"/>
        <v>0.10334652615854893</v>
      </c>
      <c r="AH640">
        <f ca="1"/>
        <v>0.99018195860270053</v>
      </c>
      <c r="AI640">
        <f ca="1"/>
        <v>-0.65552854418032924</v>
      </c>
      <c r="AJ640">
        <f ca="1"/>
        <v>0.14689922596033705</v>
      </c>
      <c r="AK640">
        <f ca="1"/>
        <v>0.41510083345874277</v>
      </c>
      <c r="AN640" s="9">
        <v>0.12069936240126532</v>
      </c>
      <c r="AO640" s="9">
        <v>4.9698370502822262E-2</v>
      </c>
    </row>
    <row r="641" spans="28:41" x14ac:dyDescent="0.2">
      <c r="AB641" s="9"/>
      <c r="AC641" s="20"/>
      <c r="AE641" s="22" cm="1">
        <f t="array" aca="1" ref="AE641" ca="1">SQRT(MMULT(MMULT(AG641:AK641,var_covar),TRANSPOSE(AG641:AK641)))</f>
        <v>0.43960318741428484</v>
      </c>
      <c r="AF641" s="22">
        <f t="shared" ca="1" si="31"/>
        <v>1.3611070628628041E-2</v>
      </c>
      <c r="AG641">
        <f ca="1"/>
        <v>4.3236674000707129</v>
      </c>
      <c r="AH641">
        <f ca="1"/>
        <v>-0.77222337285982079</v>
      </c>
      <c r="AI641">
        <f ca="1"/>
        <v>2.5950812427890078E-2</v>
      </c>
      <c r="AJ641">
        <f ca="1"/>
        <v>-0.66392918561107683</v>
      </c>
      <c r="AK641">
        <f ca="1"/>
        <v>-1.9134656540277055</v>
      </c>
      <c r="AN641" s="9">
        <v>0.12069661524040916</v>
      </c>
      <c r="AO641" s="9">
        <v>2.6378686297815163E-2</v>
      </c>
    </row>
    <row r="642" spans="28:41" x14ac:dyDescent="0.2">
      <c r="AB642" s="9"/>
      <c r="AC642" s="20"/>
      <c r="AE642" s="22" cm="1">
        <f t="array" aca="1" ref="AE642" ca="1">SQRT(MMULT(MMULT(AG642:AK642,var_covar),TRANSPOSE(AG642:AK642)))</f>
        <v>8.7895770477299351E-2</v>
      </c>
      <c r="AF642" s="22">
        <f t="shared" ca="1" si="31"/>
        <v>3.0728992432708598E-2</v>
      </c>
      <c r="AG642">
        <f ca="1"/>
        <v>0.58438057477164851</v>
      </c>
      <c r="AH642">
        <f ca="1"/>
        <v>6.164094924513442E-2</v>
      </c>
      <c r="AI642">
        <f ca="1"/>
        <v>0.250307494530773</v>
      </c>
      <c r="AJ642">
        <f ca="1"/>
        <v>-0.11622475558956002</v>
      </c>
      <c r="AK642">
        <f ca="1"/>
        <v>0.2198957370420041</v>
      </c>
      <c r="AN642" s="9">
        <v>0.12056631007675185</v>
      </c>
      <c r="AO642" s="9">
        <v>2.4765553393026458E-2</v>
      </c>
    </row>
    <row r="643" spans="28:41" x14ac:dyDescent="0.2">
      <c r="AB643" s="9"/>
      <c r="AC643" s="20"/>
      <c r="AE643" s="22" cm="1">
        <f t="array" aca="1" ref="AE643" ca="1">SQRT(MMULT(MMULT(AG643:AK643,var_covar),TRANSPOSE(AG643:AK643)))</f>
        <v>0.10383965262909009</v>
      </c>
      <c r="AF643" s="22">
        <f t="shared" ca="1" si="31"/>
        <v>3.0301336923165799E-2</v>
      </c>
      <c r="AG643">
        <f ca="1"/>
        <v>0.32889290173780916</v>
      </c>
      <c r="AH643">
        <f ca="1"/>
        <v>0.28313994652294183</v>
      </c>
      <c r="AI643">
        <f ca="1"/>
        <v>6.2858265947817155E-2</v>
      </c>
      <c r="AJ643">
        <f ca="1"/>
        <v>-0.12234919919074551</v>
      </c>
      <c r="AK643">
        <f ca="1"/>
        <v>0.44745808498217726</v>
      </c>
      <c r="AN643" s="9">
        <v>0.1204802405893038</v>
      </c>
      <c r="AO643" s="9">
        <v>3.6713058867000312E-2</v>
      </c>
    </row>
    <row r="644" spans="28:41" x14ac:dyDescent="0.2">
      <c r="AB644" s="9"/>
      <c r="AC644" s="20"/>
      <c r="AE644" s="22" cm="1">
        <f t="array" aca="1" ref="AE644" ca="1">SQRT(MMULT(MMULT(AG644:AK644,var_covar),TRANSPOSE(AG644:AK644)))</f>
        <v>0.11570024577147443</v>
      </c>
      <c r="AF644" s="22">
        <f t="shared" ref="AF644:AF707" ca="1" si="32">SUMPRODUCT(AG644:AK644,$S$2:$W$2)</f>
        <v>4.0359058824157676E-2</v>
      </c>
      <c r="AG644">
        <f ca="1"/>
        <v>-0.16508895031206766</v>
      </c>
      <c r="AH644">
        <f ca="1"/>
        <v>0.24677166882979593</v>
      </c>
      <c r="AI644">
        <f ca="1"/>
        <v>0.56896771370981314</v>
      </c>
      <c r="AJ644">
        <f ca="1"/>
        <v>0.50023771216903778</v>
      </c>
      <c r="AK644">
        <f ca="1"/>
        <v>-0.15088814439657902</v>
      </c>
      <c r="AN644" s="9">
        <v>0.12046733530800982</v>
      </c>
      <c r="AO644" s="9">
        <v>1.3415608386710035E-2</v>
      </c>
    </row>
    <row r="645" spans="28:41" x14ac:dyDescent="0.2">
      <c r="AB645" s="9"/>
      <c r="AC645" s="20"/>
      <c r="AE645" s="22" cm="1">
        <f t="array" aca="1" ref="AE645" ca="1">SQRT(MMULT(MMULT(AG645:AK645,var_covar),TRANSPOSE(AG645:AK645)))</f>
        <v>0.20109273638715028</v>
      </c>
      <c r="AF645" s="22">
        <f t="shared" ca="1" si="32"/>
        <v>5.1132484094347161E-3</v>
      </c>
      <c r="AG645">
        <f ca="1"/>
        <v>8.0414831626614627E-2</v>
      </c>
      <c r="AH645">
        <f ca="1"/>
        <v>0.73144235197073049</v>
      </c>
      <c r="AI645">
        <f ca="1"/>
        <v>1.5144724109280581</v>
      </c>
      <c r="AJ645">
        <f ca="1"/>
        <v>-0.49928741629118534</v>
      </c>
      <c r="AK645">
        <f ca="1"/>
        <v>-0.82704217823421811</v>
      </c>
      <c r="AN645" s="9">
        <v>0.12040624168703894</v>
      </c>
      <c r="AO645" s="9">
        <v>4.757724098733393E-2</v>
      </c>
    </row>
    <row r="646" spans="28:41" x14ac:dyDescent="0.2">
      <c r="AB646" s="9"/>
      <c r="AC646" s="20"/>
      <c r="AE646" s="22" cm="1">
        <f t="array" aca="1" ref="AE646" ca="1">SQRT(MMULT(MMULT(AG646:AK646,var_covar),TRANSPOSE(AG646:AK646)))</f>
        <v>0.19777999475045505</v>
      </c>
      <c r="AF646" s="22">
        <f t="shared" ca="1" si="32"/>
        <v>7.5168290273616864E-2</v>
      </c>
      <c r="AG646">
        <f ca="1"/>
        <v>0.55779455800732436</v>
      </c>
      <c r="AH646">
        <f ca="1"/>
        <v>-0.44992380053334313</v>
      </c>
      <c r="AI646">
        <f ca="1"/>
        <v>-0.87025286905202304</v>
      </c>
      <c r="AJ646">
        <f ca="1"/>
        <v>1.3686726578365809</v>
      </c>
      <c r="AK646">
        <f ca="1"/>
        <v>0.39370945374146094</v>
      </c>
      <c r="AN646" s="9">
        <v>0.12015478971417792</v>
      </c>
      <c r="AO646" s="9">
        <v>3.2044491714824958E-2</v>
      </c>
    </row>
    <row r="647" spans="28:41" x14ac:dyDescent="0.2">
      <c r="AB647" s="9"/>
      <c r="AC647" s="20"/>
      <c r="AE647" s="22" cm="1">
        <f t="array" aca="1" ref="AE647" ca="1">SQRT(MMULT(MMULT(AG647:AK647,var_covar),TRANSPOSE(AG647:AK647)))</f>
        <v>0.39171010745511675</v>
      </c>
      <c r="AF647" s="22">
        <f t="shared" ca="1" si="32"/>
        <v>7.3933583521105406E-2</v>
      </c>
      <c r="AG647">
        <f ca="1"/>
        <v>0.47440976786875944</v>
      </c>
      <c r="AH647">
        <f ca="1"/>
        <v>-0.4643278669614499</v>
      </c>
      <c r="AI647">
        <f ca="1"/>
        <v>0.79130524607570474</v>
      </c>
      <c r="AJ647">
        <f ca="1"/>
        <v>2.0951814299301796</v>
      </c>
      <c r="AK647">
        <f ca="1"/>
        <v>-1.8965685769131941</v>
      </c>
      <c r="AN647" s="9">
        <v>0.12000624148581927</v>
      </c>
      <c r="AO647" s="9">
        <v>3.8640179287626988E-2</v>
      </c>
    </row>
    <row r="648" spans="28:41" x14ac:dyDescent="0.2">
      <c r="AB648" s="9"/>
      <c r="AC648" s="20"/>
      <c r="AE648" s="22" cm="1">
        <f t="array" aca="1" ref="AE648" ca="1">SQRT(MMULT(MMULT(AG648:AK648,var_covar),TRANSPOSE(AG648:AK648)))</f>
        <v>0.15435413742094306</v>
      </c>
      <c r="AF648" s="22">
        <f t="shared" ca="1" si="32"/>
        <v>3.7839979939351856E-2</v>
      </c>
      <c r="AG648">
        <f ca="1"/>
        <v>-9.1583071779229364E-2</v>
      </c>
      <c r="AH648">
        <f ca="1"/>
        <v>1.0022816767935434</v>
      </c>
      <c r="AI648">
        <f ca="1"/>
        <v>-0.11897515742602485</v>
      </c>
      <c r="AJ648">
        <f ca="1"/>
        <v>0.72209396541243709</v>
      </c>
      <c r="AK648">
        <f ca="1"/>
        <v>-0.51381741300072614</v>
      </c>
      <c r="AN648" s="9">
        <v>0.12000340152690518</v>
      </c>
      <c r="AO648" s="9">
        <v>4.7341574736902092E-2</v>
      </c>
    </row>
    <row r="649" spans="28:41" x14ac:dyDescent="0.2">
      <c r="AB649" s="9"/>
      <c r="AC649" s="20"/>
      <c r="AE649" s="22" cm="1">
        <f t="array" aca="1" ref="AE649" ca="1">SQRT(MMULT(MMULT(AG649:AK649,var_covar),TRANSPOSE(AG649:AK649)))</f>
        <v>0.17814801279313469</v>
      </c>
      <c r="AF649" s="22">
        <f t="shared" ca="1" si="32"/>
        <v>2.8582038942472819E-2</v>
      </c>
      <c r="AG649">
        <f ca="1"/>
        <v>-6.7489821513756321E-2</v>
      </c>
      <c r="AH649">
        <f ca="1"/>
        <v>-8.2703464633992432E-2</v>
      </c>
      <c r="AI649">
        <f ca="1"/>
        <v>0.64484457991691357</v>
      </c>
      <c r="AJ649">
        <f ca="1"/>
        <v>-0.39619210276936806</v>
      </c>
      <c r="AK649">
        <f ca="1"/>
        <v>0.90154080900020317</v>
      </c>
      <c r="AN649" s="9">
        <v>0.11964662482395746</v>
      </c>
      <c r="AO649" s="9">
        <v>4.5439149583447969E-2</v>
      </c>
    </row>
    <row r="650" spans="28:41" x14ac:dyDescent="0.2">
      <c r="AB650" s="9"/>
      <c r="AC650" s="20"/>
      <c r="AE650" s="22" cm="1">
        <f t="array" aca="1" ref="AE650" ca="1">SQRT(MMULT(MMULT(AG650:AK650,var_covar),TRANSPOSE(AG650:AK650)))</f>
        <v>0.16186523120022198</v>
      </c>
      <c r="AF650" s="22">
        <f t="shared" ca="1" si="32"/>
        <v>-3.0169044621474808E-3</v>
      </c>
      <c r="AG650">
        <f ca="1"/>
        <v>6.0138081964684821E-2</v>
      </c>
      <c r="AH650">
        <f ca="1"/>
        <v>1.4596400944990815</v>
      </c>
      <c r="AI650">
        <f ca="1"/>
        <v>0.12582996292478765</v>
      </c>
      <c r="AJ650">
        <f ca="1"/>
        <v>-1.0072050789242664</v>
      </c>
      <c r="AK650">
        <f ca="1"/>
        <v>0.36159693953571237</v>
      </c>
      <c r="AN650" s="9">
        <v>0.11956499488084359</v>
      </c>
      <c r="AO650" s="9">
        <v>4.0626318663769548E-2</v>
      </c>
    </row>
    <row r="651" spans="28:41" x14ac:dyDescent="0.2">
      <c r="AB651" s="9"/>
      <c r="AC651" s="20"/>
      <c r="AE651" s="22" cm="1">
        <f t="array" aca="1" ref="AE651" ca="1">SQRT(MMULT(MMULT(AG651:AK651,var_covar),TRANSPOSE(AG651:AK651)))</f>
        <v>8.3685017184491423E-2</v>
      </c>
      <c r="AF651" s="22">
        <f t="shared" ca="1" si="32"/>
        <v>2.64144242835819E-2</v>
      </c>
      <c r="AG651">
        <f ca="1"/>
        <v>0.69221357958718732</v>
      </c>
      <c r="AH651">
        <f ca="1"/>
        <v>0.19950731192442064</v>
      </c>
      <c r="AI651">
        <f ca="1"/>
        <v>0.36050108659958635</v>
      </c>
      <c r="AJ651">
        <f ca="1"/>
        <v>-0.14303801792428136</v>
      </c>
      <c r="AK651">
        <f ca="1"/>
        <v>-0.10918396018691298</v>
      </c>
      <c r="AN651" s="9">
        <v>0.11926110257439598</v>
      </c>
      <c r="AO651" s="9">
        <v>2.9281318488995237E-2</v>
      </c>
    </row>
    <row r="652" spans="28:41" x14ac:dyDescent="0.2">
      <c r="AB652" s="9"/>
      <c r="AC652" s="20"/>
      <c r="AE652" s="22" cm="1">
        <f t="array" aca="1" ref="AE652" ca="1">SQRT(MMULT(MMULT(AG652:AK652,var_covar),TRANSPOSE(AG652:AK652)))</f>
        <v>0.11654123261404953</v>
      </c>
      <c r="AF652" s="22">
        <f t="shared" ca="1" si="32"/>
        <v>3.828820041867128E-2</v>
      </c>
      <c r="AG652">
        <f ca="1"/>
        <v>0.26162847862866373</v>
      </c>
      <c r="AH652">
        <f ca="1"/>
        <v>-0.31670415428089216</v>
      </c>
      <c r="AI652">
        <f ca="1"/>
        <v>0.73094463348274141</v>
      </c>
      <c r="AJ652">
        <f ca="1"/>
        <v>0.10006451363353332</v>
      </c>
      <c r="AK652">
        <f ca="1"/>
        <v>0.22406652853595369</v>
      </c>
      <c r="AN652" s="9">
        <v>0.11904237269718249</v>
      </c>
      <c r="AO652" s="9">
        <v>4.4060389433669925E-2</v>
      </c>
    </row>
    <row r="653" spans="28:41" x14ac:dyDescent="0.2">
      <c r="AB653" s="9"/>
      <c r="AC653" s="20"/>
      <c r="AE653" s="22" cm="1">
        <f t="array" aca="1" ref="AE653" ca="1">SQRT(MMULT(MMULT(AG653:AK653,var_covar),TRANSPOSE(AG653:AK653)))</f>
        <v>9.4585819948078215E-2</v>
      </c>
      <c r="AF653" s="22">
        <f t="shared" ca="1" si="32"/>
        <v>3.7402535700943602E-2</v>
      </c>
      <c r="AG653">
        <f ca="1"/>
        <v>0.80689548340976613</v>
      </c>
      <c r="AH653">
        <f ca="1"/>
        <v>0.17083778313133807</v>
      </c>
      <c r="AI653">
        <f ca="1"/>
        <v>-0.15229982938017958</v>
      </c>
      <c r="AJ653">
        <f ca="1"/>
        <v>0.23607795026271028</v>
      </c>
      <c r="AK653">
        <f ca="1"/>
        <v>-6.1511387423635017E-2</v>
      </c>
      <c r="AN653" s="9">
        <v>0.11899184614204529</v>
      </c>
      <c r="AO653" s="9">
        <v>4.5822145142158342E-2</v>
      </c>
    </row>
    <row r="654" spans="28:41" x14ac:dyDescent="0.2">
      <c r="AB654" s="9"/>
      <c r="AC654" s="20"/>
      <c r="AE654" s="22" cm="1">
        <f t="array" aca="1" ref="AE654" ca="1">SQRT(MMULT(MMULT(AG654:AK654,var_covar),TRANSPOSE(AG654:AK654)))</f>
        <v>0.2949369561931745</v>
      </c>
      <c r="AF654" s="22">
        <f t="shared" ca="1" si="32"/>
        <v>8.5358525571310517E-2</v>
      </c>
      <c r="AG654">
        <f ca="1"/>
        <v>-0.4716822695711182</v>
      </c>
      <c r="AH654">
        <f ca="1"/>
        <v>-1.4723036118263522</v>
      </c>
      <c r="AI654">
        <f ca="1"/>
        <v>0.46685458377156225</v>
      </c>
      <c r="AJ654">
        <f ca="1"/>
        <v>1.3363886035462285</v>
      </c>
      <c r="AK654">
        <f ca="1"/>
        <v>1.1407426940796797</v>
      </c>
      <c r="AN654" s="9">
        <v>0.11880487250868482</v>
      </c>
      <c r="AO654" s="9">
        <v>3.2637362146769593E-2</v>
      </c>
    </row>
    <row r="655" spans="28:41" x14ac:dyDescent="0.2">
      <c r="AB655" s="9"/>
      <c r="AC655" s="20"/>
      <c r="AE655" s="22" cm="1">
        <f t="array" aca="1" ref="AE655" ca="1">SQRT(MMULT(MMULT(AG655:AK655,var_covar),TRANSPOSE(AG655:AK655)))</f>
        <v>1.4406328987902677</v>
      </c>
      <c r="AF655" s="22">
        <f t="shared" ca="1" si="32"/>
        <v>1.9868280349881751E-3</v>
      </c>
      <c r="AG655">
        <f ca="1"/>
        <v>2.3471801558964946</v>
      </c>
      <c r="AH655">
        <f ca="1"/>
        <v>1.9149325982946905</v>
      </c>
      <c r="AI655">
        <f ca="1"/>
        <v>3.3162216884569182</v>
      </c>
      <c r="AJ655">
        <f ca="1"/>
        <v>2.0938679154698585</v>
      </c>
      <c r="AK655">
        <f ca="1"/>
        <v>-8.6722023581179624</v>
      </c>
      <c r="AN655" s="9">
        <v>0.11872263191589717</v>
      </c>
      <c r="AO655" s="9">
        <v>3.802224388102713E-2</v>
      </c>
    </row>
    <row r="656" spans="28:41" x14ac:dyDescent="0.2">
      <c r="AB656" s="9"/>
      <c r="AC656" s="20"/>
      <c r="AE656" s="22" cm="1">
        <f t="array" aca="1" ref="AE656" ca="1">SQRT(MMULT(MMULT(AG656:AK656,var_covar),TRANSPOSE(AG656:AK656)))</f>
        <v>0.57421874306564946</v>
      </c>
      <c r="AF656" s="22">
        <f t="shared" ca="1" si="32"/>
        <v>0.1120816891090501</v>
      </c>
      <c r="AG656">
        <f ca="1"/>
        <v>0.77929961790111657</v>
      </c>
      <c r="AH656">
        <f ca="1"/>
        <v>-1.9939461249988055</v>
      </c>
      <c r="AI656">
        <f ca="1"/>
        <v>-2.2433256994154327</v>
      </c>
      <c r="AJ656">
        <f ca="1"/>
        <v>1.4460853633583213</v>
      </c>
      <c r="AK656">
        <f ca="1"/>
        <v>3.0118868431548003</v>
      </c>
      <c r="AN656" s="9">
        <v>0.11863686706230507</v>
      </c>
      <c r="AO656" s="9">
        <v>3.1477028599608964E-2</v>
      </c>
    </row>
    <row r="657" spans="28:41" x14ac:dyDescent="0.2">
      <c r="AB657" s="9"/>
      <c r="AC657" s="20"/>
      <c r="AE657" s="22" cm="1">
        <f t="array" aca="1" ref="AE657" ca="1">SQRT(MMULT(MMULT(AG657:AK657,var_covar),TRANSPOSE(AG657:AK657)))</f>
        <v>1.0712210774021766</v>
      </c>
      <c r="AF657" s="22">
        <f t="shared" ca="1" si="32"/>
        <v>-0.15778356278999714</v>
      </c>
      <c r="AG657">
        <f ca="1"/>
        <v>6.4472889565578253</v>
      </c>
      <c r="AH657">
        <f ca="1"/>
        <v>2.9851772085595329</v>
      </c>
      <c r="AI657">
        <f ca="1"/>
        <v>1.8964952696732831</v>
      </c>
      <c r="AJ657">
        <f ca="1"/>
        <v>-5.3057574186467589</v>
      </c>
      <c r="AK657">
        <f ca="1"/>
        <v>-5.0232040161438825</v>
      </c>
      <c r="AN657" s="9">
        <v>0.11839957609205906</v>
      </c>
      <c r="AO657" s="9">
        <v>3.5508873106873479E-2</v>
      </c>
    </row>
    <row r="658" spans="28:41" x14ac:dyDescent="0.2">
      <c r="AB658" s="9"/>
      <c r="AC658" s="20"/>
      <c r="AE658" s="22" cm="1">
        <f t="array" aca="1" ref="AE658" ca="1">SQRT(MMULT(MMULT(AG658:AK658,var_covar),TRANSPOSE(AG658:AK658)))</f>
        <v>0.13337204916367726</v>
      </c>
      <c r="AF658" s="22">
        <f t="shared" ca="1" si="32"/>
        <v>4.9513792227587304E-2</v>
      </c>
      <c r="AG658">
        <f ca="1"/>
        <v>0.48673545486375147</v>
      </c>
      <c r="AH658">
        <f ca="1"/>
        <v>-0.60398600184228879</v>
      </c>
      <c r="AI658">
        <f ca="1"/>
        <v>0.36543956332694216</v>
      </c>
      <c r="AJ658">
        <f ca="1"/>
        <v>0.37022290511153644</v>
      </c>
      <c r="AK658">
        <f ca="1"/>
        <v>0.38158807854005872</v>
      </c>
      <c r="AN658" s="9">
        <v>0.11824707789354424</v>
      </c>
      <c r="AO658" s="9">
        <v>4.093250020379776E-2</v>
      </c>
    </row>
    <row r="659" spans="28:41" x14ac:dyDescent="0.2">
      <c r="AB659" s="9"/>
      <c r="AC659" s="20"/>
      <c r="AE659" s="22" cm="1">
        <f t="array" aca="1" ref="AE659" ca="1">SQRT(MMULT(MMULT(AG659:AK659,var_covar),TRANSPOSE(AG659:AK659)))</f>
        <v>8.747546717483265E-2</v>
      </c>
      <c r="AF659" s="22">
        <f t="shared" ca="1" si="32"/>
        <v>3.4552337820440177E-2</v>
      </c>
      <c r="AG659">
        <f ca="1"/>
        <v>4.2490507960481226E-2</v>
      </c>
      <c r="AH659">
        <f ca="1"/>
        <v>0.31706536190429929</v>
      </c>
      <c r="AI659">
        <f ca="1"/>
        <v>0.32117283443265299</v>
      </c>
      <c r="AJ659">
        <f ca="1"/>
        <v>0.18111297194241199</v>
      </c>
      <c r="AK659">
        <f ca="1"/>
        <v>0.13815832376015441</v>
      </c>
      <c r="AN659" s="9">
        <v>0.11821345229901839</v>
      </c>
      <c r="AO659" s="9">
        <v>4.918844464546384E-2</v>
      </c>
    </row>
    <row r="660" spans="28:41" x14ac:dyDescent="0.2">
      <c r="AB660" s="9"/>
      <c r="AC660" s="20"/>
      <c r="AE660" s="22" cm="1">
        <f t="array" aca="1" ref="AE660" ca="1">SQRT(MMULT(MMULT(AG660:AK660,var_covar),TRANSPOSE(AG660:AK660)))</f>
        <v>0.1786373999991471</v>
      </c>
      <c r="AF660" s="22">
        <f t="shared" ca="1" si="32"/>
        <v>1.9521124770040355E-2</v>
      </c>
      <c r="AG660">
        <f ca="1"/>
        <v>0.12361864988851173</v>
      </c>
      <c r="AH660">
        <f ca="1"/>
        <v>-0.31005674835276015</v>
      </c>
      <c r="AI660">
        <f ca="1"/>
        <v>1.7183724681266919</v>
      </c>
      <c r="AJ660">
        <f ca="1"/>
        <v>-0.50953135635399138</v>
      </c>
      <c r="AK660">
        <f ca="1"/>
        <v>-2.2403013308452131E-2</v>
      </c>
      <c r="AN660" s="9">
        <v>0.11816841232404093</v>
      </c>
      <c r="AO660" s="9">
        <v>3.4632728619347394E-2</v>
      </c>
    </row>
    <row r="661" spans="28:41" x14ac:dyDescent="0.2">
      <c r="AB661" s="9"/>
      <c r="AC661" s="20"/>
      <c r="AE661" s="22" cm="1">
        <f t="array" aca="1" ref="AE661" ca="1">SQRT(MMULT(MMULT(AG661:AK661,var_covar),TRANSPOSE(AG661:AK661)))</f>
        <v>0.1683584018580164</v>
      </c>
      <c r="AF661" s="22">
        <f t="shared" ca="1" si="32"/>
        <v>6.0575837860000342E-2</v>
      </c>
      <c r="AG661">
        <f ca="1"/>
        <v>0.71771231486238241</v>
      </c>
      <c r="AH661">
        <f ca="1"/>
        <v>-7.0049990754106574E-3</v>
      </c>
      <c r="AI661">
        <f ca="1"/>
        <v>-0.96328806652635568</v>
      </c>
      <c r="AJ661">
        <f ca="1"/>
        <v>0.95070534924507821</v>
      </c>
      <c r="AK661">
        <f ca="1"/>
        <v>0.30187540149430564</v>
      </c>
      <c r="AN661" s="9">
        <v>0.11804535242020829</v>
      </c>
      <c r="AO661" s="9">
        <v>4.8657696866662895E-2</v>
      </c>
    </row>
    <row r="662" spans="28:41" x14ac:dyDescent="0.2">
      <c r="AB662" s="9"/>
      <c r="AC662" s="20"/>
      <c r="AE662" s="22" cm="1">
        <f t="array" aca="1" ref="AE662" ca="1">SQRT(MMULT(MMULT(AG662:AK662,var_covar),TRANSPOSE(AG662:AK662)))</f>
        <v>0.17085679495483802</v>
      </c>
      <c r="AF662" s="22">
        <f t="shared" ca="1" si="32"/>
        <v>2.9229972402746152E-2</v>
      </c>
      <c r="AG662">
        <f ca="1"/>
        <v>0.33767001892136284</v>
      </c>
      <c r="AH662">
        <f ca="1"/>
        <v>0.38548651768529524</v>
      </c>
      <c r="AI662">
        <f ca="1"/>
        <v>-0.3406510970102361</v>
      </c>
      <c r="AJ662">
        <f ca="1"/>
        <v>-0.29081086180242466</v>
      </c>
      <c r="AK662">
        <f ca="1"/>
        <v>0.90830542220600274</v>
      </c>
      <c r="AN662" s="9">
        <v>0.11794279702290572</v>
      </c>
      <c r="AO662" s="9">
        <v>5.0500840969297953E-2</v>
      </c>
    </row>
    <row r="663" spans="28:41" x14ac:dyDescent="0.2">
      <c r="AB663" s="9"/>
      <c r="AC663" s="20"/>
      <c r="AE663" s="22" cm="1">
        <f t="array" aca="1" ref="AE663" ca="1">SQRT(MMULT(MMULT(AG663:AK663,var_covar),TRANSPOSE(AG663:AK663)))</f>
        <v>0.15862557368776373</v>
      </c>
      <c r="AF663" s="22">
        <f t="shared" ca="1" si="32"/>
        <v>5.6441416590857385E-2</v>
      </c>
      <c r="AG663">
        <f ca="1"/>
        <v>0.64595460079883338</v>
      </c>
      <c r="AH663">
        <f ca="1"/>
        <v>6.102820760178633E-2</v>
      </c>
      <c r="AI663">
        <f ca="1"/>
        <v>-0.34691288078780991</v>
      </c>
      <c r="AJ663">
        <f ca="1"/>
        <v>1.0638957811350069</v>
      </c>
      <c r="AK663">
        <f ca="1"/>
        <v>-0.42396570874781675</v>
      </c>
      <c r="AN663" s="9">
        <v>0.11757018982245131</v>
      </c>
      <c r="AO663" s="9">
        <v>4.2341222103664568E-2</v>
      </c>
    </row>
    <row r="664" spans="28:41" x14ac:dyDescent="0.2">
      <c r="AB664" s="9"/>
      <c r="AC664" s="20"/>
      <c r="AE664" s="22" cm="1">
        <f t="array" aca="1" ref="AE664" ca="1">SQRT(MMULT(MMULT(AG664:AK664,var_covar),TRANSPOSE(AG664:AK664)))</f>
        <v>0.21084669130695491</v>
      </c>
      <c r="AF664" s="22">
        <f t="shared" ca="1" si="32"/>
        <v>1.9893024318359209E-2</v>
      </c>
      <c r="AG664">
        <f ca="1"/>
        <v>0.3049518638651651</v>
      </c>
      <c r="AH664">
        <f ca="1"/>
        <v>0.67422773453351181</v>
      </c>
      <c r="AI664">
        <f ca="1"/>
        <v>-0.45875435546712601</v>
      </c>
      <c r="AJ664">
        <f ca="1"/>
        <v>-0.62976015444711098</v>
      </c>
      <c r="AK664">
        <f ca="1"/>
        <v>1.10933491151556</v>
      </c>
      <c r="AN664" s="9">
        <v>0.1173823479858899</v>
      </c>
      <c r="AO664" s="9">
        <v>2.7407763566369914E-2</v>
      </c>
    </row>
    <row r="665" spans="28:41" x14ac:dyDescent="0.2">
      <c r="AB665" s="9"/>
      <c r="AC665" s="20"/>
      <c r="AE665" s="22" cm="1">
        <f t="array" aca="1" ref="AE665" ca="1">SQRT(MMULT(MMULT(AG665:AK665,var_covar),TRANSPOSE(AG665:AK665)))</f>
        <v>0.10538306717610971</v>
      </c>
      <c r="AF665" s="22">
        <f t="shared" ca="1" si="32"/>
        <v>3.6134869345619103E-2</v>
      </c>
      <c r="AG665">
        <f ca="1"/>
        <v>-0.16485864282682064</v>
      </c>
      <c r="AH665">
        <f ca="1"/>
        <v>0.62446400207661346</v>
      </c>
      <c r="AI665">
        <f ca="1"/>
        <v>0.2404472097178412</v>
      </c>
      <c r="AJ665">
        <f ca="1"/>
        <v>0.43782146969217506</v>
      </c>
      <c r="AK665">
        <f ca="1"/>
        <v>-0.13787403865980896</v>
      </c>
      <c r="AN665" s="9">
        <v>0.11718382890903913</v>
      </c>
      <c r="AO665" s="9">
        <v>3.4878933663059747E-2</v>
      </c>
    </row>
    <row r="666" spans="28:41" x14ac:dyDescent="0.2">
      <c r="AB666" s="9"/>
      <c r="AC666" s="20"/>
      <c r="AE666" s="22" cm="1">
        <f t="array" aca="1" ref="AE666" ca="1">SQRT(MMULT(MMULT(AG666:AK666,var_covar),TRANSPOSE(AG666:AK666)))</f>
        <v>0.24710093210112949</v>
      </c>
      <c r="AF666" s="22">
        <f t="shared" ca="1" si="32"/>
        <v>4.4367138748744185E-2</v>
      </c>
      <c r="AG666">
        <f ca="1"/>
        <v>0.75217285742907891</v>
      </c>
      <c r="AH666">
        <f ca="1"/>
        <v>7.2295731469135538E-2</v>
      </c>
      <c r="AI666">
        <f ca="1"/>
        <v>0.58210119791041159</v>
      </c>
      <c r="AJ666">
        <f ca="1"/>
        <v>0.89389338149782327</v>
      </c>
      <c r="AK666">
        <f ca="1"/>
        <v>-1.3004631683064491</v>
      </c>
      <c r="AN666" s="9">
        <v>0.11697058376048085</v>
      </c>
      <c r="AO666" s="9">
        <v>4.1686251855691817E-2</v>
      </c>
    </row>
    <row r="667" spans="28:41" x14ac:dyDescent="0.2">
      <c r="AB667" s="9"/>
      <c r="AC667" s="20"/>
      <c r="AE667" s="22" cm="1">
        <f t="array" aca="1" ref="AE667" ca="1">SQRT(MMULT(MMULT(AG667:AK667,var_covar),TRANSPOSE(AG667:AK667)))</f>
        <v>0.44034443429527736</v>
      </c>
      <c r="AF667" s="22">
        <f t="shared" ca="1" si="32"/>
        <v>-2.7857690644587221E-2</v>
      </c>
      <c r="AG667">
        <f ca="1"/>
        <v>-0.94820460352690128</v>
      </c>
      <c r="AH667">
        <f ca="1"/>
        <v>0.95595083072809683</v>
      </c>
      <c r="AI667">
        <f ca="1"/>
        <v>1.4737890216562441</v>
      </c>
      <c r="AJ667">
        <f ca="1"/>
        <v>-2.5454052827277702</v>
      </c>
      <c r="AK667">
        <f ca="1"/>
        <v>2.0638700338703306</v>
      </c>
      <c r="AN667" s="9">
        <v>0.11692388289132544</v>
      </c>
      <c r="AO667" s="9">
        <v>2.7903621839889561E-2</v>
      </c>
    </row>
    <row r="668" spans="28:41" x14ac:dyDescent="0.2">
      <c r="AB668" s="9"/>
      <c r="AC668" s="20"/>
      <c r="AE668" s="22" cm="1">
        <f t="array" aca="1" ref="AE668" ca="1">SQRT(MMULT(MMULT(AG668:AK668,var_covar),TRANSPOSE(AG668:AK668)))</f>
        <v>0.22120170441835038</v>
      </c>
      <c r="AF668" s="22">
        <f t="shared" ca="1" si="32"/>
        <v>4.4504523174659041E-2</v>
      </c>
      <c r="AG668">
        <f ca="1"/>
        <v>-1.1242445031802382</v>
      </c>
      <c r="AH668">
        <f ca="1"/>
        <v>1.2026889838629802</v>
      </c>
      <c r="AI668">
        <f ca="1"/>
        <v>-0.62611224332245585</v>
      </c>
      <c r="AJ668">
        <f ca="1"/>
        <v>0.66900505980486535</v>
      </c>
      <c r="AK668">
        <f ca="1"/>
        <v>0.87866270283484815</v>
      </c>
      <c r="AN668" s="9">
        <v>0.11675374854064505</v>
      </c>
      <c r="AO668" s="9">
        <v>2.0219125911660196E-2</v>
      </c>
    </row>
    <row r="669" spans="28:41" x14ac:dyDescent="0.2">
      <c r="AB669" s="9"/>
      <c r="AC669" s="20"/>
      <c r="AE669" s="22" cm="1">
        <f t="array" aca="1" ref="AE669" ca="1">SQRT(MMULT(MMULT(AG669:AK669,var_covar),TRANSPOSE(AG669:AK669)))</f>
        <v>8.3082945623508042E-2</v>
      </c>
      <c r="AF669" s="22">
        <f t="shared" ca="1" si="32"/>
        <v>3.2460875855962884E-2</v>
      </c>
      <c r="AG669">
        <f ca="1"/>
        <v>0.45522985125964832</v>
      </c>
      <c r="AH669">
        <f ca="1"/>
        <v>0.16985427977835602</v>
      </c>
      <c r="AI669">
        <f ca="1"/>
        <v>0.37589163674438353</v>
      </c>
      <c r="AJ669">
        <f ca="1"/>
        <v>9.9152919012814408E-2</v>
      </c>
      <c r="AK669">
        <f ca="1"/>
        <v>-0.10012868679520215</v>
      </c>
      <c r="AN669" s="9">
        <v>0.11634821921291977</v>
      </c>
      <c r="AO669" s="9">
        <v>2.4975384072998728E-2</v>
      </c>
    </row>
    <row r="670" spans="28:41" x14ac:dyDescent="0.2">
      <c r="AB670" s="9"/>
      <c r="AC670" s="20"/>
      <c r="AE670" s="22" cm="1">
        <f t="array" aca="1" ref="AE670" ca="1">SQRT(MMULT(MMULT(AG670:AK670,var_covar),TRANSPOSE(AG670:AK670)))</f>
        <v>9.5605203445170386E-2</v>
      </c>
      <c r="AF670" s="22">
        <f t="shared" ca="1" si="32"/>
        <v>3.6369603412738934E-2</v>
      </c>
      <c r="AG670">
        <f ca="1"/>
        <v>8.0445406100961278E-2</v>
      </c>
      <c r="AH670">
        <f ca="1"/>
        <v>0.13434891680877972</v>
      </c>
      <c r="AI670">
        <f ca="1"/>
        <v>0.36536498356469194</v>
      </c>
      <c r="AJ670">
        <f ca="1"/>
        <v>0.15373477428976395</v>
      </c>
      <c r="AK670">
        <f ca="1"/>
        <v>0.26610591923580301</v>
      </c>
      <c r="AN670" s="9">
        <v>0.1163354711774116</v>
      </c>
      <c r="AO670" s="9">
        <v>4.9330887671165988E-2</v>
      </c>
    </row>
    <row r="671" spans="28:41" x14ac:dyDescent="0.2">
      <c r="AB671" s="9"/>
      <c r="AC671" s="20"/>
      <c r="AE671" s="22" cm="1">
        <f t="array" aca="1" ref="AE671" ca="1">SQRT(MMULT(MMULT(AG671:AK671,var_covar),TRANSPOSE(AG671:AK671)))</f>
        <v>8.9015177327373393E-2</v>
      </c>
      <c r="AF671" s="22">
        <f t="shared" ca="1" si="32"/>
        <v>3.4016289713173269E-2</v>
      </c>
      <c r="AG671">
        <f ca="1"/>
        <v>0.21191993429011416</v>
      </c>
      <c r="AH671">
        <f ca="1"/>
        <v>0.26330588138498467</v>
      </c>
      <c r="AI671">
        <f ca="1"/>
        <v>0.16517950050508876</v>
      </c>
      <c r="AJ671">
        <f ca="1"/>
        <v>8.1780583355025152E-2</v>
      </c>
      <c r="AK671">
        <f ca="1"/>
        <v>0.27781410046478727</v>
      </c>
      <c r="AN671" s="9">
        <v>0.11627757203832052</v>
      </c>
      <c r="AO671" s="9">
        <v>3.7353673392758531E-2</v>
      </c>
    </row>
    <row r="672" spans="28:41" x14ac:dyDescent="0.2">
      <c r="AB672" s="9"/>
      <c r="AC672" s="20"/>
      <c r="AE672" s="22" cm="1">
        <f t="array" aca="1" ref="AE672" ca="1">SQRT(MMULT(MMULT(AG672:AK672,var_covar),TRANSPOSE(AG672:AK672)))</f>
        <v>9.3961339331561602E-2</v>
      </c>
      <c r="AF672" s="22">
        <f t="shared" ca="1" si="32"/>
        <v>3.0075752291671622E-2</v>
      </c>
      <c r="AG672">
        <f ca="1"/>
        <v>-1.4424898554445646E-2</v>
      </c>
      <c r="AH672">
        <f ca="1"/>
        <v>0.38704524338037016</v>
      </c>
      <c r="AI672">
        <f ca="1"/>
        <v>0.35548183437243236</v>
      </c>
      <c r="AJ672">
        <f ca="1"/>
        <v>-1.2011622580637347E-2</v>
      </c>
      <c r="AK672">
        <f ca="1"/>
        <v>0.28390944338228041</v>
      </c>
      <c r="AN672" s="9">
        <v>0.11626988530827216</v>
      </c>
      <c r="AO672" s="9">
        <v>4.5548222705732971E-2</v>
      </c>
    </row>
    <row r="673" spans="28:41" x14ac:dyDescent="0.2">
      <c r="AB673" s="9"/>
      <c r="AC673" s="20"/>
      <c r="AE673" s="22" cm="1">
        <f t="array" aca="1" ref="AE673" ca="1">SQRT(MMULT(MMULT(AG673:AK673,var_covar),TRANSPOSE(AG673:AK673)))</f>
        <v>0.1492288690404068</v>
      </c>
      <c r="AF673" s="22">
        <f t="shared" ca="1" si="32"/>
        <v>5.182997968572374E-2</v>
      </c>
      <c r="AG673">
        <f ca="1"/>
        <v>-0.252963593458987</v>
      </c>
      <c r="AH673">
        <f ca="1"/>
        <v>-3.1498730499645952E-2</v>
      </c>
      <c r="AI673">
        <f ca="1"/>
        <v>0.6102509592692269</v>
      </c>
      <c r="AJ673">
        <f ca="1"/>
        <v>0.88937026463449642</v>
      </c>
      <c r="AK673">
        <f ca="1"/>
        <v>-0.21515889994509038</v>
      </c>
      <c r="AN673" s="9">
        <v>0.11587782608200348</v>
      </c>
      <c r="AO673" s="9">
        <v>4.4086942183477723E-2</v>
      </c>
    </row>
    <row r="674" spans="28:41" x14ac:dyDescent="0.2">
      <c r="AB674" s="9"/>
      <c r="AC674" s="20"/>
      <c r="AE674" s="22" cm="1">
        <f t="array" aca="1" ref="AE674" ca="1">SQRT(MMULT(MMULT(AG674:AK674,var_covar),TRANSPOSE(AG674:AK674)))</f>
        <v>0.25001492475843223</v>
      </c>
      <c r="AF674" s="22">
        <f t="shared" ca="1" si="32"/>
        <v>3.1100359759784729E-2</v>
      </c>
      <c r="AG674">
        <f ca="1"/>
        <v>2.0572279634576853</v>
      </c>
      <c r="AH674">
        <f ca="1"/>
        <v>0.31203400711307749</v>
      </c>
      <c r="AI674">
        <f ca="1"/>
        <v>-0.48233845995227115</v>
      </c>
      <c r="AJ674">
        <f ca="1"/>
        <v>0.27314469755395032</v>
      </c>
      <c r="AK674">
        <f ca="1"/>
        <v>-1.1600682081724421</v>
      </c>
      <c r="AN674" s="9">
        <v>0.11546897570877848</v>
      </c>
      <c r="AO674" s="9">
        <v>3.2957385284077989E-2</v>
      </c>
    </row>
    <row r="675" spans="28:41" x14ac:dyDescent="0.2">
      <c r="AB675" s="9"/>
      <c r="AC675" s="20"/>
      <c r="AE675" s="22" cm="1">
        <f t="array" aca="1" ref="AE675" ca="1">SQRT(MMULT(MMULT(AG675:AK675,var_covar),TRANSPOSE(AG675:AK675)))</f>
        <v>0.11542835499203104</v>
      </c>
      <c r="AF675" s="22">
        <f t="shared" ca="1" si="32"/>
        <v>3.9778071630519218E-2</v>
      </c>
      <c r="AG675">
        <f ca="1"/>
        <v>0.31375323138556516</v>
      </c>
      <c r="AH675">
        <f ca="1"/>
        <v>-0.15987290198064699</v>
      </c>
      <c r="AI675">
        <f ca="1"/>
        <v>0.71448381035334207</v>
      </c>
      <c r="AJ675">
        <f ca="1"/>
        <v>0.33701678572625898</v>
      </c>
      <c r="AK675">
        <f ca="1"/>
        <v>-0.20538092548451942</v>
      </c>
      <c r="AN675" s="9">
        <v>0.11533549383172606</v>
      </c>
      <c r="AO675" s="9">
        <v>4.4840140298739048E-2</v>
      </c>
    </row>
    <row r="676" spans="28:41" x14ac:dyDescent="0.2">
      <c r="AB676" s="9"/>
      <c r="AC676" s="20"/>
      <c r="AE676" s="22" cm="1">
        <f t="array" aca="1" ref="AE676" ca="1">SQRT(MMULT(MMULT(AG676:AK676,var_covar),TRANSPOSE(AG676:AK676)))</f>
        <v>0.1353635740748029</v>
      </c>
      <c r="AF676" s="22">
        <f t="shared" ca="1" si="32"/>
        <v>5.2447949291463979E-2</v>
      </c>
      <c r="AG676">
        <f ca="1"/>
        <v>0.53901307087124672</v>
      </c>
      <c r="AH676">
        <f ca="1"/>
        <v>-6.0575842894441644E-3</v>
      </c>
      <c r="AI676">
        <f ca="1"/>
        <v>-0.55098028259435228</v>
      </c>
      <c r="AJ676">
        <f ca="1"/>
        <v>0.6359763815204621</v>
      </c>
      <c r="AK676">
        <f ca="1"/>
        <v>0.38204841449208771</v>
      </c>
      <c r="AN676" s="9">
        <v>0.1153325921691452</v>
      </c>
      <c r="AO676" s="9">
        <v>3.7737799533851445E-2</v>
      </c>
    </row>
    <row r="677" spans="28:41" x14ac:dyDescent="0.2">
      <c r="AB677" s="9"/>
      <c r="AC677" s="20"/>
      <c r="AE677" s="22" cm="1">
        <f t="array" aca="1" ref="AE677" ca="1">SQRT(MMULT(MMULT(AG677:AK677,var_covar),TRANSPOSE(AG677:AK677)))</f>
        <v>0.10840666035366034</v>
      </c>
      <c r="AF677" s="22">
        <f t="shared" ca="1" si="32"/>
        <v>2.0906047509025749E-2</v>
      </c>
      <c r="AG677">
        <f ca="1"/>
        <v>0.47336347744252821</v>
      </c>
      <c r="AH677">
        <f ca="1"/>
        <v>0.99995806546714883</v>
      </c>
      <c r="AI677">
        <f ca="1"/>
        <v>-0.1977939199135792</v>
      </c>
      <c r="AJ677">
        <f ca="1"/>
        <v>-8.6049398619087475E-2</v>
      </c>
      <c r="AK677">
        <f ca="1"/>
        <v>-0.18947822437701017</v>
      </c>
      <c r="AN677" s="9">
        <v>0.11528014845760197</v>
      </c>
      <c r="AO677" s="9">
        <v>4.048176425151543E-2</v>
      </c>
    </row>
    <row r="678" spans="28:41" x14ac:dyDescent="0.2">
      <c r="AB678" s="9"/>
      <c r="AC678" s="20"/>
      <c r="AE678" s="22" cm="1">
        <f t="array" aca="1" ref="AE678" ca="1">SQRT(MMULT(MMULT(AG678:AK678,var_covar),TRANSPOSE(AG678:AK678)))</f>
        <v>0.13371620516970162</v>
      </c>
      <c r="AF678" s="22">
        <f t="shared" ca="1" si="32"/>
        <v>5.3792853333199005E-2</v>
      </c>
      <c r="AG678">
        <f ca="1"/>
        <v>0.78079824386880403</v>
      </c>
      <c r="AH678">
        <f ca="1"/>
        <v>-0.51845031038451006</v>
      </c>
      <c r="AI678">
        <f ca="1"/>
        <v>-0.13353038496341568</v>
      </c>
      <c r="AJ678">
        <f ca="1"/>
        <v>0.5411431618154865</v>
      </c>
      <c r="AK678">
        <f ca="1"/>
        <v>0.3300392896636351</v>
      </c>
      <c r="AN678" s="9">
        <v>0.11520846851377295</v>
      </c>
      <c r="AO678" s="9">
        <v>3.7513485544430084E-2</v>
      </c>
    </row>
    <row r="679" spans="28:41" x14ac:dyDescent="0.2">
      <c r="AB679" s="9"/>
      <c r="AC679" s="20"/>
      <c r="AE679" s="22" cm="1">
        <f t="array" aca="1" ref="AE679" ca="1">SQRT(MMULT(MMULT(AG679:AK679,var_covar),TRANSPOSE(AG679:AK679)))</f>
        <v>0.20528747777347148</v>
      </c>
      <c r="AF679" s="22">
        <f t="shared" ca="1" si="32"/>
        <v>1.4849191722415465E-2</v>
      </c>
      <c r="AG679">
        <f ca="1"/>
        <v>0.91502622931390876</v>
      </c>
      <c r="AH679">
        <f ca="1"/>
        <v>1.254190612643471</v>
      </c>
      <c r="AI679">
        <f ca="1"/>
        <v>-0.14045663604228778</v>
      </c>
      <c r="AJ679">
        <f ca="1"/>
        <v>-1.7051888735389396E-2</v>
      </c>
      <c r="AK679">
        <f ca="1"/>
        <v>-1.0117083171797023</v>
      </c>
      <c r="AN679" s="9">
        <v>0.11507108319184857</v>
      </c>
      <c r="AO679" s="9">
        <v>2.026618437047395E-2</v>
      </c>
    </row>
    <row r="680" spans="28:41" x14ac:dyDescent="0.2">
      <c r="AB680" s="9"/>
      <c r="AC680" s="20"/>
      <c r="AE680" s="22" cm="1">
        <f t="array" aca="1" ref="AE680" ca="1">SQRT(MMULT(MMULT(AG680:AK680,var_covar),TRANSPOSE(AG680:AK680)))</f>
        <v>0.26087037055743156</v>
      </c>
      <c r="AF680" s="22">
        <f t="shared" ca="1" si="32"/>
        <v>4.1690634412367651E-2</v>
      </c>
      <c r="AG680">
        <f ca="1"/>
        <v>0.52786227881517622</v>
      </c>
      <c r="AH680">
        <f ca="1"/>
        <v>-0.96934958223810797</v>
      </c>
      <c r="AI680">
        <f ca="1"/>
        <v>1.9222362121748036</v>
      </c>
      <c r="AJ680">
        <f ca="1"/>
        <v>0.3936996114671677</v>
      </c>
      <c r="AK680">
        <f ca="1"/>
        <v>-0.87444852021903963</v>
      </c>
      <c r="AN680" s="9">
        <v>0.11496759286837395</v>
      </c>
      <c r="AO680" s="9">
        <v>4.8630152579039611E-2</v>
      </c>
    </row>
    <row r="681" spans="28:41" x14ac:dyDescent="0.2">
      <c r="AB681" s="9"/>
      <c r="AC681" s="20"/>
      <c r="AE681" s="22" cm="1">
        <f t="array" aca="1" ref="AE681" ca="1">SQRT(MMULT(MMULT(AG681:AK681,var_covar),TRANSPOSE(AG681:AK681)))</f>
        <v>0.13345084993721534</v>
      </c>
      <c r="AF681" s="22">
        <f t="shared" ca="1" si="32"/>
        <v>5.5909557042769509E-2</v>
      </c>
      <c r="AG681">
        <f ca="1"/>
        <v>0.39620923919137863</v>
      </c>
      <c r="AH681">
        <f ca="1"/>
        <v>8.7786043866019112E-2</v>
      </c>
      <c r="AI681">
        <f ca="1"/>
        <v>-0.49044277303970513</v>
      </c>
      <c r="AJ681">
        <f ca="1"/>
        <v>0.89899849960090816</v>
      </c>
      <c r="AK681">
        <f ca="1"/>
        <v>0.10744899038139916</v>
      </c>
      <c r="AN681" s="9">
        <v>0.11490720113286094</v>
      </c>
      <c r="AO681" s="9">
        <v>4.277883097918668E-2</v>
      </c>
    </row>
    <row r="682" spans="28:41" x14ac:dyDescent="0.2">
      <c r="AB682" s="9"/>
      <c r="AC682" s="20"/>
      <c r="AE682" s="22" cm="1">
        <f t="array" aca="1" ref="AE682" ca="1">SQRT(MMULT(MMULT(AG682:AK682,var_covar),TRANSPOSE(AG682:AK682)))</f>
        <v>0.12154441752370569</v>
      </c>
      <c r="AF682" s="22">
        <f t="shared" ca="1" si="32"/>
        <v>4.7409835419817997E-2</v>
      </c>
      <c r="AG682">
        <f ca="1"/>
        <v>0.39036735509858689</v>
      </c>
      <c r="AH682">
        <f ca="1"/>
        <v>-0.39430125828111517</v>
      </c>
      <c r="AI682">
        <f ca="1"/>
        <v>0.26719148337835347</v>
      </c>
      <c r="AJ682">
        <f ca="1"/>
        <v>0.358297369270209</v>
      </c>
      <c r="AK682">
        <f ca="1"/>
        <v>0.37844505053396588</v>
      </c>
      <c r="AN682" s="9">
        <v>0.11481299299486913</v>
      </c>
      <c r="AO682" s="9">
        <v>4.5758823373342562E-2</v>
      </c>
    </row>
    <row r="683" spans="28:41" x14ac:dyDescent="0.2">
      <c r="AB683" s="9"/>
      <c r="AC683" s="20"/>
      <c r="AE683" s="22" cm="1">
        <f t="array" aca="1" ref="AE683" ca="1">SQRT(MMULT(MMULT(AG683:AK683,var_covar),TRANSPOSE(AG683:AK683)))</f>
        <v>0.1150750841818602</v>
      </c>
      <c r="AF683" s="22">
        <f t="shared" ca="1" si="32"/>
        <v>2.4996720396944852E-2</v>
      </c>
      <c r="AG683">
        <f ca="1"/>
        <v>8.8619950254413798E-2</v>
      </c>
      <c r="AH683">
        <f ca="1"/>
        <v>0.28313804748999838</v>
      </c>
      <c r="AI683">
        <f ca="1"/>
        <v>0.94217170809295747</v>
      </c>
      <c r="AJ683">
        <f ca="1"/>
        <v>-6.3171392899579029E-2</v>
      </c>
      <c r="AK683">
        <f ca="1"/>
        <v>-0.25075831293779055</v>
      </c>
      <c r="AN683" s="9">
        <v>0.11473870131140776</v>
      </c>
      <c r="AO683" s="9">
        <v>4.8044870612007642E-2</v>
      </c>
    </row>
    <row r="684" spans="28:41" x14ac:dyDescent="0.2">
      <c r="AB684" s="9"/>
      <c r="AC684" s="20"/>
      <c r="AE684" s="22" cm="1">
        <f t="array" aca="1" ref="AE684" ca="1">SQRT(MMULT(MMULT(AG684:AK684,var_covar),TRANSPOSE(AG684:AK684)))</f>
        <v>0.1052929417993862</v>
      </c>
      <c r="AF684" s="22">
        <f t="shared" ca="1" si="32"/>
        <v>4.3486959161635683E-2</v>
      </c>
      <c r="AG684">
        <f ca="1"/>
        <v>0.19993291520750284</v>
      </c>
      <c r="AH684">
        <f ca="1"/>
        <v>-0.15383225919574697</v>
      </c>
      <c r="AI684">
        <f ca="1"/>
        <v>0.48680119153941925</v>
      </c>
      <c r="AJ684">
        <f ca="1"/>
        <v>0.39884885198233094</v>
      </c>
      <c r="AK684">
        <f ca="1"/>
        <v>6.8249300466494009E-2</v>
      </c>
      <c r="AN684" s="9">
        <v>0.11466703166761799</v>
      </c>
      <c r="AO684" s="9">
        <v>2.9719664604777467E-2</v>
      </c>
    </row>
    <row r="685" spans="28:41" x14ac:dyDescent="0.2">
      <c r="AB685" s="9"/>
      <c r="AC685" s="20"/>
      <c r="AE685" s="22" cm="1">
        <f t="array" aca="1" ref="AE685" ca="1">SQRT(MMULT(MMULT(AG685:AK685,var_covar),TRANSPOSE(AG685:AK685)))</f>
        <v>0.4801637536648925</v>
      </c>
      <c r="AF685" s="22">
        <f t="shared" ca="1" si="32"/>
        <v>9.1059156918700687E-2</v>
      </c>
      <c r="AG685">
        <f ca="1"/>
        <v>3.0945873016327052</v>
      </c>
      <c r="AH685">
        <f ca="1"/>
        <v>-4.4341091687885523</v>
      </c>
      <c r="AI685">
        <f ca="1"/>
        <v>0.9047366164443913</v>
      </c>
      <c r="AJ685">
        <f ca="1"/>
        <v>0.42514324822255889</v>
      </c>
      <c r="AK685">
        <f ca="1"/>
        <v>1.009642002488897</v>
      </c>
      <c r="AN685" s="9">
        <v>0.11460514013665227</v>
      </c>
      <c r="AO685" s="9">
        <v>3.4332539213287862E-2</v>
      </c>
    </row>
    <row r="686" spans="28:41" x14ac:dyDescent="0.2">
      <c r="AB686" s="9"/>
      <c r="AC686" s="20"/>
      <c r="AE686" s="22" cm="1">
        <f t="array" aca="1" ref="AE686" ca="1">SQRT(MMULT(MMULT(AG686:AK686,var_covar),TRANSPOSE(AG686:AK686)))</f>
        <v>0.2335333119424389</v>
      </c>
      <c r="AF686" s="22">
        <f t="shared" ca="1" si="32"/>
        <v>7.1366830624505204E-2</v>
      </c>
      <c r="AG686">
        <f ca="1"/>
        <v>-0.71988405428931757</v>
      </c>
      <c r="AH686">
        <f ca="1"/>
        <v>-0.7771685802814654</v>
      </c>
      <c r="AI686">
        <f ca="1"/>
        <v>1.0654710598212251</v>
      </c>
      <c r="AJ686">
        <f ca="1"/>
        <v>1.389457120232781</v>
      </c>
      <c r="AK686">
        <f ca="1"/>
        <v>4.2124454516776717E-2</v>
      </c>
      <c r="AN686" s="9">
        <v>0.11458848127325318</v>
      </c>
      <c r="AO686" s="9">
        <v>4.0553503655221076E-2</v>
      </c>
    </row>
    <row r="687" spans="28:41" x14ac:dyDescent="0.2">
      <c r="AB687" s="9"/>
      <c r="AC687" s="20"/>
      <c r="AE687" s="22" cm="1">
        <f t="array" aca="1" ref="AE687" ca="1">SQRT(MMULT(MMULT(AG687:AK687,var_covar),TRANSPOSE(AG687:AK687)))</f>
        <v>0.13726126995278332</v>
      </c>
      <c r="AF687" s="22">
        <f t="shared" ca="1" si="32"/>
        <v>5.6232676054643813E-2</v>
      </c>
      <c r="AG687">
        <f ca="1"/>
        <v>-2.9172976236120238E-2</v>
      </c>
      <c r="AH687">
        <f ca="1"/>
        <v>7.1649052521337089E-2</v>
      </c>
      <c r="AI687">
        <f ca="1"/>
        <v>-0.26198509947926935</v>
      </c>
      <c r="AJ687">
        <f ca="1"/>
        <v>0.87056700731396375</v>
      </c>
      <c r="AK687">
        <f ca="1"/>
        <v>0.34894201588008872</v>
      </c>
      <c r="AN687" s="9">
        <v>0.11456674519484686</v>
      </c>
      <c r="AO687" s="9">
        <v>2.0101628482645979E-2</v>
      </c>
    </row>
    <row r="688" spans="28:41" x14ac:dyDescent="0.2">
      <c r="AB688" s="9"/>
      <c r="AC688" s="20"/>
      <c r="AE688" s="22" cm="1">
        <f t="array" aca="1" ref="AE688" ca="1">SQRT(MMULT(MMULT(AG688:AK688,var_covar),TRANSPOSE(AG688:AK688)))</f>
        <v>0.11713918224585197</v>
      </c>
      <c r="AF688" s="22">
        <f t="shared" ca="1" si="32"/>
        <v>1.3333038642066461E-2</v>
      </c>
      <c r="AG688">
        <f ca="1"/>
        <v>0.36386844068731955</v>
      </c>
      <c r="AH688">
        <f ca="1"/>
        <v>0.98042835988789923</v>
      </c>
      <c r="AI688">
        <f ca="1"/>
        <v>0.35933572463329805</v>
      </c>
      <c r="AJ688">
        <f ca="1"/>
        <v>-0.29078530897795546</v>
      </c>
      <c r="AK688">
        <f ca="1"/>
        <v>-0.41284721623056142</v>
      </c>
      <c r="AN688" s="9">
        <v>0.11443875485786431</v>
      </c>
      <c r="AO688" s="9">
        <v>3.0888918452458683E-2</v>
      </c>
    </row>
    <row r="689" spans="28:41" x14ac:dyDescent="0.2">
      <c r="AB689" s="9"/>
      <c r="AC689" s="20"/>
      <c r="AE689" s="22" cm="1">
        <f t="array" aca="1" ref="AE689" ca="1">SQRT(MMULT(MMULT(AG689:AK689,var_covar),TRANSPOSE(AG689:AK689)))</f>
        <v>0.15056850363397203</v>
      </c>
      <c r="AF689" s="22">
        <f t="shared" ca="1" si="32"/>
        <v>3.2100204806627945E-2</v>
      </c>
      <c r="AG689">
        <f ca="1"/>
        <v>0.96744636017554053</v>
      </c>
      <c r="AH689">
        <f ca="1"/>
        <v>6.0279190332863927E-2</v>
      </c>
      <c r="AI689">
        <f ca="1"/>
        <v>-0.42275651508248352</v>
      </c>
      <c r="AJ689">
        <f ca="1"/>
        <v>-0.24651533881121959</v>
      </c>
      <c r="AK689">
        <f ca="1"/>
        <v>0.6415463033852985</v>
      </c>
      <c r="AN689" s="9">
        <v>0.11440540264959896</v>
      </c>
      <c r="AO689" s="9">
        <v>2.4805264831853833E-2</v>
      </c>
    </row>
    <row r="690" spans="28:41" x14ac:dyDescent="0.2">
      <c r="AB690" s="9"/>
      <c r="AC690" s="20"/>
      <c r="AE690" s="22" cm="1">
        <f t="array" aca="1" ref="AE690" ca="1">SQRT(MMULT(MMULT(AG690:AK690,var_covar),TRANSPOSE(AG690:AK690)))</f>
        <v>0.608857849678062</v>
      </c>
      <c r="AF690" s="22">
        <f t="shared" ca="1" si="32"/>
        <v>-3.8568980150631579E-2</v>
      </c>
      <c r="AG690">
        <f ca="1"/>
        <v>-0.56358275204872665</v>
      </c>
      <c r="AH690">
        <f ca="1"/>
        <v>4.2912377616128285</v>
      </c>
      <c r="AI690">
        <f ca="1"/>
        <v>0.74742426807540163</v>
      </c>
      <c r="AJ690">
        <f ca="1"/>
        <v>-0.35563250434923888</v>
      </c>
      <c r="AK690">
        <f ca="1"/>
        <v>-3.1194467732902647</v>
      </c>
      <c r="AN690" s="9">
        <v>0.11389757012081937</v>
      </c>
      <c r="AO690" s="9">
        <v>4.234461851354681E-2</v>
      </c>
    </row>
    <row r="691" spans="28:41" x14ac:dyDescent="0.2">
      <c r="AB691" s="9"/>
      <c r="AC691" s="20"/>
      <c r="AE691" s="22" cm="1">
        <f t="array" aca="1" ref="AE691" ca="1">SQRT(MMULT(MMULT(AG691:AK691,var_covar),TRANSPOSE(AG691:AK691)))</f>
        <v>0.10409076642071871</v>
      </c>
      <c r="AF691" s="22">
        <f t="shared" ca="1" si="32"/>
        <v>4.5082987330518978E-2</v>
      </c>
      <c r="AG691">
        <f ca="1"/>
        <v>0.33139310826907231</v>
      </c>
      <c r="AH691">
        <f ca="1"/>
        <v>-0.20590702831835278</v>
      </c>
      <c r="AI691">
        <f ca="1"/>
        <v>0.37425358341746501</v>
      </c>
      <c r="AJ691">
        <f ca="1"/>
        <v>0.43094438878967589</v>
      </c>
      <c r="AK691">
        <f ca="1"/>
        <v>6.93159478421395E-2</v>
      </c>
      <c r="AN691" s="9">
        <v>0.11384767209787081</v>
      </c>
      <c r="AO691" s="9">
        <v>4.1831675336562173E-2</v>
      </c>
    </row>
    <row r="692" spans="28:41" x14ac:dyDescent="0.2">
      <c r="AB692" s="9"/>
      <c r="AC692" s="20"/>
      <c r="AE692" s="22" cm="1">
        <f t="array" aca="1" ref="AE692" ca="1">SQRT(MMULT(MMULT(AG692:AK692,var_covar),TRANSPOSE(AG692:AK692)))</f>
        <v>0.2504867906925704</v>
      </c>
      <c r="AF692" s="22">
        <f t="shared" ca="1" si="32"/>
        <v>4.1173478608908784E-2</v>
      </c>
      <c r="AG692">
        <f ca="1"/>
        <v>2.0262555039752632</v>
      </c>
      <c r="AH692">
        <f ca="1"/>
        <v>-1.3983715568687811</v>
      </c>
      <c r="AI692">
        <f ca="1"/>
        <v>-1.5934523482294315E-2</v>
      </c>
      <c r="AJ692">
        <f ca="1"/>
        <v>-0.48458388839944744</v>
      </c>
      <c r="AK692">
        <f ca="1"/>
        <v>0.87263446477525952</v>
      </c>
      <c r="AN692" s="9">
        <v>0.11369132446031083</v>
      </c>
      <c r="AO692" s="9">
        <v>2.6787800356088017E-2</v>
      </c>
    </row>
    <row r="693" spans="28:41" x14ac:dyDescent="0.2">
      <c r="AB693" s="9"/>
      <c r="AC693" s="20"/>
      <c r="AE693" s="22" cm="1">
        <f t="array" aca="1" ref="AE693" ca="1">SQRT(MMULT(MMULT(AG693:AK693,var_covar),TRANSPOSE(AG693:AK693)))</f>
        <v>0.12531144614188924</v>
      </c>
      <c r="AF693" s="22">
        <f t="shared" ca="1" si="32"/>
        <v>3.301413442912448E-2</v>
      </c>
      <c r="AG693">
        <f ca="1"/>
        <v>0.2868479594203332</v>
      </c>
      <c r="AH693">
        <f ca="1"/>
        <v>0.36255138152013361</v>
      </c>
      <c r="AI693">
        <f ca="1"/>
        <v>-0.20317209029215808</v>
      </c>
      <c r="AJ693">
        <f ca="1"/>
        <v>-4.4895535017861254E-2</v>
      </c>
      <c r="AK693">
        <f ca="1"/>
        <v>0.59866828436955255</v>
      </c>
      <c r="AN693" s="9">
        <v>0.11366287241596452</v>
      </c>
      <c r="AO693" s="9">
        <v>4.689882576783333E-2</v>
      </c>
    </row>
    <row r="694" spans="28:41" x14ac:dyDescent="0.2">
      <c r="AB694" s="9"/>
      <c r="AC694" s="20"/>
      <c r="AE694" s="22" cm="1">
        <f t="array" aca="1" ref="AE694" ca="1">SQRT(MMULT(MMULT(AG694:AK694,var_covar),TRANSPOSE(AG694:AK694)))</f>
        <v>6.2961606287073568</v>
      </c>
      <c r="AF694" s="22">
        <f t="shared" ca="1" si="32"/>
        <v>-0.19663334731982562</v>
      </c>
      <c r="AG694">
        <f ca="1"/>
        <v>-12.881415292404744</v>
      </c>
      <c r="AH694">
        <f ca="1"/>
        <v>24.054799159942679</v>
      </c>
      <c r="AI694">
        <f ca="1"/>
        <v>13.957128526417915</v>
      </c>
      <c r="AJ694">
        <f ca="1"/>
        <v>11.026787232648454</v>
      </c>
      <c r="AK694">
        <f ca="1"/>
        <v>-35.157299626604299</v>
      </c>
      <c r="AN694" s="9">
        <v>0.11344032462739502</v>
      </c>
      <c r="AO694" s="9">
        <v>3.9791199173310504E-2</v>
      </c>
    </row>
    <row r="695" spans="28:41" x14ac:dyDescent="0.2">
      <c r="AB695" s="9"/>
      <c r="AC695" s="20"/>
      <c r="AE695" s="22" cm="1">
        <f t="array" aca="1" ref="AE695" ca="1">SQRT(MMULT(MMULT(AG695:AK695,var_covar),TRANSPOSE(AG695:AK695)))</f>
        <v>0.16509568299782335</v>
      </c>
      <c r="AF695" s="22">
        <f t="shared" ca="1" si="32"/>
        <v>4.8949875763784324E-2</v>
      </c>
      <c r="AG695">
        <f ca="1"/>
        <v>0.93335884717340445</v>
      </c>
      <c r="AH695">
        <f ca="1"/>
        <v>-0.21450551068133969</v>
      </c>
      <c r="AI695">
        <f ca="1"/>
        <v>0.19051137977723034</v>
      </c>
      <c r="AJ695">
        <f ca="1"/>
        <v>0.75870620606395345</v>
      </c>
      <c r="AK695">
        <f ca="1"/>
        <v>-0.6680709223332485</v>
      </c>
      <c r="AN695" s="9">
        <v>0.11342169791225333</v>
      </c>
      <c r="AO695" s="9">
        <v>4.8657043131866258E-2</v>
      </c>
    </row>
    <row r="696" spans="28:41" x14ac:dyDescent="0.2">
      <c r="AB696" s="9"/>
      <c r="AC696" s="20"/>
      <c r="AE696" s="22" cm="1">
        <f t="array" aca="1" ref="AE696" ca="1">SQRT(MMULT(MMULT(AG696:AK696,var_covar),TRANSPOSE(AG696:AK696)))</f>
        <v>0.12597256924665351</v>
      </c>
      <c r="AF696" s="22">
        <f t="shared" ca="1" si="32"/>
        <v>3.5954746758673425E-2</v>
      </c>
      <c r="AG696">
        <f ca="1"/>
        <v>-0.51636218093506803</v>
      </c>
      <c r="AH696">
        <f ca="1"/>
        <v>0.43055082500954039</v>
      </c>
      <c r="AI696">
        <f ca="1"/>
        <v>0.45122202224903524</v>
      </c>
      <c r="AJ696">
        <f ca="1"/>
        <v>0.2358896579673255</v>
      </c>
      <c r="AK696">
        <f ca="1"/>
        <v>0.39869967570916692</v>
      </c>
      <c r="AN696" s="9">
        <v>0.1133722431235544</v>
      </c>
      <c r="AO696" s="9">
        <v>4.4714912522092795E-2</v>
      </c>
    </row>
    <row r="697" spans="28:41" x14ac:dyDescent="0.2">
      <c r="AB697" s="9"/>
      <c r="AC697" s="20"/>
      <c r="AE697" s="22" cm="1">
        <f t="array" aca="1" ref="AE697" ca="1">SQRT(MMULT(MMULT(AG697:AK697,var_covar),TRANSPOSE(AG697:AK697)))</f>
        <v>0.10173364478121293</v>
      </c>
      <c r="AF697" s="22">
        <f t="shared" ca="1" si="32"/>
        <v>2.1815644191070155E-2</v>
      </c>
      <c r="AG697">
        <f ca="1"/>
        <v>0.12254398058141883</v>
      </c>
      <c r="AH697">
        <f ca="1"/>
        <v>0.27580978213225232</v>
      </c>
      <c r="AI697">
        <f ca="1"/>
        <v>0.83292516914675896</v>
      </c>
      <c r="AJ697">
        <f ca="1"/>
        <v>-0.29393889576673693</v>
      </c>
      <c r="AK697">
        <f ca="1"/>
        <v>6.2659963906306654E-2</v>
      </c>
      <c r="AN697" s="9">
        <v>0.1132587358959658</v>
      </c>
      <c r="AO697" s="9">
        <v>2.6448313975651297E-2</v>
      </c>
    </row>
    <row r="698" spans="28:41" x14ac:dyDescent="0.2">
      <c r="AB698" s="9"/>
      <c r="AC698" s="20"/>
      <c r="AE698" s="22" cm="1">
        <f t="array" aca="1" ref="AE698" ca="1">SQRT(MMULT(MMULT(AG698:AK698,var_covar),TRANSPOSE(AG698:AK698)))</f>
        <v>0.1105472416911379</v>
      </c>
      <c r="AF698" s="22">
        <f t="shared" ca="1" si="32"/>
        <v>4.5406082320149248E-2</v>
      </c>
      <c r="AG698">
        <f ca="1"/>
        <v>0.31609033840806761</v>
      </c>
      <c r="AH698">
        <f ca="1"/>
        <v>8.3866809862961023E-2</v>
      </c>
      <c r="AI698">
        <f ca="1"/>
        <v>-0.18533667136297247</v>
      </c>
      <c r="AJ698">
        <f ca="1"/>
        <v>0.42494213648782414</v>
      </c>
      <c r="AK698">
        <f ca="1"/>
        <v>0.36043738660411961</v>
      </c>
      <c r="AN698" s="9">
        <v>0.11312437877311238</v>
      </c>
      <c r="AO698" s="9">
        <v>4.6415296969170086E-2</v>
      </c>
    </row>
    <row r="699" spans="28:41" x14ac:dyDescent="0.2">
      <c r="AB699" s="9"/>
      <c r="AC699" s="20"/>
      <c r="AE699" s="22" cm="1">
        <f t="array" aca="1" ref="AE699" ca="1">SQRT(MMULT(MMULT(AG699:AK699,var_covar),TRANSPOSE(AG699:AK699)))</f>
        <v>0.27061666311484395</v>
      </c>
      <c r="AF699" s="22">
        <f t="shared" ca="1" si="32"/>
        <v>8.5785329460615414E-3</v>
      </c>
      <c r="AG699">
        <f ca="1"/>
        <v>-1.4592381117506297</v>
      </c>
      <c r="AH699">
        <f ca="1"/>
        <v>2.8263365061253469</v>
      </c>
      <c r="AI699">
        <f ca="1"/>
        <v>-0.70368876869579888</v>
      </c>
      <c r="AJ699">
        <f ca="1"/>
        <v>-5.1463320630435468E-2</v>
      </c>
      <c r="AK699">
        <f ca="1"/>
        <v>0.38805369495151715</v>
      </c>
      <c r="AN699" s="9">
        <v>0.11302189398316635</v>
      </c>
      <c r="AO699" s="9">
        <v>3.7505882474166717E-2</v>
      </c>
    </row>
    <row r="700" spans="28:41" x14ac:dyDescent="0.2">
      <c r="AB700" s="9"/>
      <c r="AC700" s="20"/>
      <c r="AE700" s="22" cm="1">
        <f t="array" aca="1" ref="AE700" ca="1">SQRT(MMULT(MMULT(AG700:AK700,var_covar),TRANSPOSE(AG700:AK700)))</f>
        <v>0.26740323019970347</v>
      </c>
      <c r="AF700" s="22">
        <f t="shared" ca="1" si="32"/>
        <v>-4.9681481840147673E-3</v>
      </c>
      <c r="AG700">
        <f ca="1"/>
        <v>0.63444709475227645</v>
      </c>
      <c r="AH700">
        <f ca="1"/>
        <v>2.4149881620012721</v>
      </c>
      <c r="AI700">
        <f ca="1"/>
        <v>-0.65564340888215589</v>
      </c>
      <c r="AJ700">
        <f ca="1"/>
        <v>-0.44508230520668929</v>
      </c>
      <c r="AK700">
        <f ca="1"/>
        <v>-0.94870954266470342</v>
      </c>
      <c r="AN700" s="9">
        <v>0.11288259937433906</v>
      </c>
      <c r="AO700" s="9">
        <v>2.7000372078621035E-2</v>
      </c>
    </row>
    <row r="701" spans="28:41" x14ac:dyDescent="0.2">
      <c r="AB701" s="9"/>
      <c r="AC701" s="20"/>
      <c r="AE701" s="22" cm="1">
        <f t="array" aca="1" ref="AE701" ca="1">SQRT(MMULT(MMULT(AG701:AK701,var_covar),TRANSPOSE(AG701:AK701)))</f>
        <v>0.70709267696953959</v>
      </c>
      <c r="AF701" s="22">
        <f t="shared" ca="1" si="32"/>
        <v>8.2483373654797021E-2</v>
      </c>
      <c r="AG701">
        <f ca="1"/>
        <v>-4.7080562306823204</v>
      </c>
      <c r="AH701">
        <f ca="1"/>
        <v>3.6919331371023447</v>
      </c>
      <c r="AI701">
        <f ca="1"/>
        <v>-0.1167952528739569</v>
      </c>
      <c r="AJ701">
        <f ca="1"/>
        <v>4.1042396945442716</v>
      </c>
      <c r="AK701">
        <f ca="1"/>
        <v>-1.9713213480903389</v>
      </c>
      <c r="AN701" s="9">
        <v>0.11263256340350863</v>
      </c>
      <c r="AO701" s="9">
        <v>3.1768975171109153E-2</v>
      </c>
    </row>
    <row r="702" spans="28:41" x14ac:dyDescent="0.2">
      <c r="AB702" s="9"/>
      <c r="AC702" s="20"/>
      <c r="AE702" s="22" cm="1">
        <f t="array" aca="1" ref="AE702" ca="1">SQRT(MMULT(MMULT(AG702:AK702,var_covar),TRANSPOSE(AG702:AK702)))</f>
        <v>0.12189713508118291</v>
      </c>
      <c r="AF702" s="22">
        <f t="shared" ca="1" si="32"/>
        <v>3.5440706396403052E-2</v>
      </c>
      <c r="AG702">
        <f ca="1"/>
        <v>-0.27742705464362788</v>
      </c>
      <c r="AH702">
        <f ca="1"/>
        <v>0.12305078708653276</v>
      </c>
      <c r="AI702">
        <f ca="1"/>
        <v>0.67163693500784849</v>
      </c>
      <c r="AJ702">
        <f ca="1"/>
        <v>0.12124557211410464</v>
      </c>
      <c r="AK702">
        <f ca="1"/>
        <v>0.36149376043514203</v>
      </c>
      <c r="AN702" s="9">
        <v>0.11242741648326955</v>
      </c>
      <c r="AO702" s="9">
        <v>2.4733224003775426E-2</v>
      </c>
    </row>
    <row r="703" spans="28:41" x14ac:dyDescent="0.2">
      <c r="AB703" s="9"/>
      <c r="AC703" s="20"/>
      <c r="AE703" s="22" cm="1">
        <f t="array" aca="1" ref="AE703" ca="1">SQRT(MMULT(MMULT(AG703:AK703,var_covar),TRANSPOSE(AG703:AK703)))</f>
        <v>1.3226621181213625</v>
      </c>
      <c r="AF703" s="22">
        <f t="shared" ca="1" si="32"/>
        <v>-0.12693992004045665</v>
      </c>
      <c r="AG703">
        <f ca="1"/>
        <v>-4.8246093359324949</v>
      </c>
      <c r="AH703">
        <f ca="1"/>
        <v>1.0559641134863644</v>
      </c>
      <c r="AI703">
        <f ca="1"/>
        <v>6.0960646114697079</v>
      </c>
      <c r="AJ703">
        <f ca="1"/>
        <v>-7.0940413726497882</v>
      </c>
      <c r="AK703">
        <f ca="1"/>
        <v>5.7666219836262114</v>
      </c>
      <c r="AN703" s="9">
        <v>0.11242629678793822</v>
      </c>
      <c r="AO703" s="9">
        <v>4.0554370908852194E-2</v>
      </c>
    </row>
    <row r="704" spans="28:41" x14ac:dyDescent="0.2">
      <c r="AB704" s="9"/>
      <c r="AC704" s="20"/>
      <c r="AE704" s="22" cm="1">
        <f t="array" aca="1" ref="AE704" ca="1">SQRT(MMULT(MMULT(AG704:AK704,var_covar),TRANSPOSE(AG704:AK704)))</f>
        <v>2.3404164197089163</v>
      </c>
      <c r="AF704" s="22">
        <f t="shared" ca="1" si="32"/>
        <v>-2.6410857527941811E-2</v>
      </c>
      <c r="AG704">
        <f ca="1"/>
        <v>8.5781522312135774</v>
      </c>
      <c r="AH704">
        <f ca="1"/>
        <v>3.3465083928239467</v>
      </c>
      <c r="AI704">
        <f ca="1"/>
        <v>0.54035756359708742</v>
      </c>
      <c r="AJ704">
        <f ca="1"/>
        <v>2.5402631120280299</v>
      </c>
      <c r="AK704">
        <f ca="1"/>
        <v>-14.005281299662643</v>
      </c>
      <c r="AN704" s="9">
        <v>0.11237138184939333</v>
      </c>
      <c r="AO704" s="9">
        <v>3.516095394808632E-2</v>
      </c>
    </row>
    <row r="705" spans="28:41" x14ac:dyDescent="0.2">
      <c r="AB705" s="9"/>
      <c r="AC705" s="20"/>
      <c r="AE705" s="22" cm="1">
        <f t="array" aca="1" ref="AE705" ca="1">SQRT(MMULT(MMULT(AG705:AK705,var_covar),TRANSPOSE(AG705:AK705)))</f>
        <v>0.55107737073778185</v>
      </c>
      <c r="AF705" s="22">
        <f t="shared" ca="1" si="32"/>
        <v>0.1136468541308233</v>
      </c>
      <c r="AG705">
        <f ca="1"/>
        <v>0.6244472238872576</v>
      </c>
      <c r="AH705">
        <f ca="1"/>
        <v>-0.33123822997240121</v>
      </c>
      <c r="AI705">
        <f ca="1"/>
        <v>-0.66753021027035742</v>
      </c>
      <c r="AJ705">
        <f ca="1"/>
        <v>3.788020162711637</v>
      </c>
      <c r="AK705">
        <f ca="1"/>
        <v>-2.4136989463561358</v>
      </c>
      <c r="AN705" s="9">
        <v>0.1123609752592761</v>
      </c>
      <c r="AO705" s="9">
        <v>3.3319179423618853E-2</v>
      </c>
    </row>
    <row r="706" spans="28:41" x14ac:dyDescent="0.2">
      <c r="AB706" s="9"/>
      <c r="AC706" s="20"/>
      <c r="AE706" s="22" cm="1">
        <f t="array" aca="1" ref="AE706" ca="1">SQRT(MMULT(MMULT(AG706:AK706,var_covar),TRANSPOSE(AG706:AK706)))</f>
        <v>0.10023433980626541</v>
      </c>
      <c r="AF706" s="22">
        <f t="shared" ca="1" si="32"/>
        <v>3.7122618659257312E-2</v>
      </c>
      <c r="AG706">
        <f ca="1"/>
        <v>-8.3395876883472275E-2</v>
      </c>
      <c r="AH706">
        <f ca="1"/>
        <v>0.20160168366895331</v>
      </c>
      <c r="AI706">
        <f ca="1"/>
        <v>0.41164054961814134</v>
      </c>
      <c r="AJ706">
        <f ca="1"/>
        <v>0.22421658152091589</v>
      </c>
      <c r="AK706">
        <f ca="1"/>
        <v>0.24593706207546176</v>
      </c>
      <c r="AN706" s="9">
        <v>0.11235089815820537</v>
      </c>
      <c r="AO706" s="9">
        <v>1.957537179597494E-2</v>
      </c>
    </row>
    <row r="707" spans="28:41" x14ac:dyDescent="0.2">
      <c r="AB707" s="9"/>
      <c r="AC707" s="20"/>
      <c r="AE707" s="22" cm="1">
        <f t="array" aca="1" ref="AE707" ca="1">SQRT(MMULT(MMULT(AG707:AK707,var_covar),TRANSPOSE(AG707:AK707)))</f>
        <v>0.15565206951168212</v>
      </c>
      <c r="AF707" s="22">
        <f t="shared" ca="1" si="32"/>
        <v>4.6468125547298372E-2</v>
      </c>
      <c r="AG707">
        <f ca="1"/>
        <v>0.90935220100709879</v>
      </c>
      <c r="AH707">
        <f ca="1"/>
        <v>-0.14445578805750761</v>
      </c>
      <c r="AI707">
        <f ca="1"/>
        <v>-0.62901400655153294</v>
      </c>
      <c r="AJ707">
        <f ca="1"/>
        <v>0.25942081983611059</v>
      </c>
      <c r="AK707">
        <f ca="1"/>
        <v>0.60469677376583109</v>
      </c>
      <c r="AN707" s="9">
        <v>0.1123361355654382</v>
      </c>
      <c r="AO707" s="9">
        <v>4.7839615644830975E-2</v>
      </c>
    </row>
    <row r="708" spans="28:41" x14ac:dyDescent="0.2">
      <c r="AB708" s="9"/>
      <c r="AC708" s="20"/>
      <c r="AE708" s="22" cm="1">
        <f t="array" aca="1" ref="AE708" ca="1">SQRT(MMULT(MMULT(AG708:AK708,var_covar),TRANSPOSE(AG708:AK708)))</f>
        <v>0.13669102639694847</v>
      </c>
      <c r="AF708" s="22">
        <f t="shared" ref="AF708:AF771" ca="1" si="33">SUMPRODUCT(AG708:AK708,$S$2:$W$2)</f>
        <v>2.3790446980339969E-2</v>
      </c>
      <c r="AG708">
        <f ca="1"/>
        <v>0.7644126744023555</v>
      </c>
      <c r="AH708">
        <f ca="1"/>
        <v>-4.4371754503247075E-2</v>
      </c>
      <c r="AI708">
        <f ca="1"/>
        <v>0.962839337643278</v>
      </c>
      <c r="AJ708">
        <f ca="1"/>
        <v>-0.18474146231108252</v>
      </c>
      <c r="AK708">
        <f ca="1"/>
        <v>-0.498138795231304</v>
      </c>
      <c r="AN708" s="9">
        <v>0.11218309427681168</v>
      </c>
      <c r="AO708" s="9">
        <v>4.1806963486767788E-2</v>
      </c>
    </row>
    <row r="709" spans="28:41" x14ac:dyDescent="0.2">
      <c r="AB709" s="9"/>
      <c r="AC709" s="20"/>
      <c r="AE709" s="22" cm="1">
        <f t="array" aca="1" ref="AE709" ca="1">SQRT(MMULT(MMULT(AG709:AK709,var_covar),TRANSPOSE(AG709:AK709)))</f>
        <v>0.12547807914492834</v>
      </c>
      <c r="AF709" s="22">
        <f t="shared" ca="1" si="33"/>
        <v>3.8988151159736785E-2</v>
      </c>
      <c r="AG709">
        <f ca="1"/>
        <v>0.48982696712662321</v>
      </c>
      <c r="AH709">
        <f ca="1"/>
        <v>0.70455888828055002</v>
      </c>
      <c r="AI709">
        <f ca="1"/>
        <v>-0.69230315628696903</v>
      </c>
      <c r="AJ709">
        <f ca="1"/>
        <v>0.42883722542948399</v>
      </c>
      <c r="AK709">
        <f ca="1"/>
        <v>6.9080075450311876E-2</v>
      </c>
      <c r="AN709" s="9">
        <v>0.11216805025539767</v>
      </c>
      <c r="AO709" s="9">
        <v>3.0502112061754544E-2</v>
      </c>
    </row>
    <row r="710" spans="28:41" x14ac:dyDescent="0.2">
      <c r="AB710" s="9"/>
      <c r="AC710" s="20"/>
      <c r="AE710" s="22" cm="1">
        <f t="array" aca="1" ref="AE710" ca="1">SQRT(MMULT(MMULT(AG710:AK710,var_covar),TRANSPOSE(AG710:AK710)))</f>
        <v>0.20099111296318406</v>
      </c>
      <c r="AF710" s="22">
        <f t="shared" ca="1" si="33"/>
        <v>6.3854542672424394E-2</v>
      </c>
      <c r="AG710">
        <f ca="1"/>
        <v>-0.5049102714493896</v>
      </c>
      <c r="AH710">
        <f ca="1"/>
        <v>-0.41896438048017409</v>
      </c>
      <c r="AI710">
        <f ca="1"/>
        <v>0.17865502131196265</v>
      </c>
      <c r="AJ710">
        <f ca="1"/>
        <v>0.91515891332613863</v>
      </c>
      <c r="AK710">
        <f ca="1"/>
        <v>0.83006071729146258</v>
      </c>
      <c r="AN710" s="9">
        <v>0.11195773388118001</v>
      </c>
      <c r="AO710" s="9">
        <v>3.8418450227733283E-2</v>
      </c>
    </row>
    <row r="711" spans="28:41" x14ac:dyDescent="0.2">
      <c r="AB711" s="9"/>
      <c r="AC711" s="20"/>
      <c r="AE711" s="22" cm="1">
        <f t="array" aca="1" ref="AE711" ca="1">SQRT(MMULT(MMULT(AG711:AK711,var_covar),TRANSPOSE(AG711:AK711)))</f>
        <v>0.19153731303242771</v>
      </c>
      <c r="AF711" s="22">
        <f t="shared" ca="1" si="33"/>
        <v>6.0262625123854108E-2</v>
      </c>
      <c r="AG711">
        <f ca="1"/>
        <v>-9.2113331937589818E-2</v>
      </c>
      <c r="AH711">
        <f ca="1"/>
        <v>-0.2907669363488779</v>
      </c>
      <c r="AI711">
        <f ca="1"/>
        <v>0.67067268224928078</v>
      </c>
      <c r="AJ711">
        <f ca="1"/>
        <v>1.2190287374656372</v>
      </c>
      <c r="AK711">
        <f ca="1"/>
        <v>-0.5068211514284503</v>
      </c>
      <c r="AN711" s="9">
        <v>0.11184406148479988</v>
      </c>
      <c r="AO711" s="9">
        <v>4.1814711095268076E-2</v>
      </c>
    </row>
    <row r="712" spans="28:41" x14ac:dyDescent="0.2">
      <c r="AB712" s="9"/>
      <c r="AC712" s="20"/>
      <c r="AE712" s="22" cm="1">
        <f t="array" aca="1" ref="AE712" ca="1">SQRT(MMULT(MMULT(AG712:AK712,var_covar),TRANSPOSE(AG712:AK712)))</f>
        <v>8.7288141785489617E-2</v>
      </c>
      <c r="AF712" s="22">
        <f t="shared" ca="1" si="33"/>
        <v>2.5168064743082627E-2</v>
      </c>
      <c r="AG712">
        <f ca="1"/>
        <v>0.7910099726265154</v>
      </c>
      <c r="AH712">
        <f ca="1"/>
        <v>0.30543352758197084</v>
      </c>
      <c r="AI712">
        <f ca="1"/>
        <v>0.22567480734726525</v>
      </c>
      <c r="AJ712">
        <f ca="1"/>
        <v>-0.15137442935851803</v>
      </c>
      <c r="AK712">
        <f ca="1"/>
        <v>-0.17074387819723325</v>
      </c>
      <c r="AN712" s="9">
        <v>0.11175352769414074</v>
      </c>
      <c r="AO712" s="9">
        <v>4.4729610865891223E-2</v>
      </c>
    </row>
    <row r="713" spans="28:41" x14ac:dyDescent="0.2">
      <c r="AB713" s="9"/>
      <c r="AC713" s="20"/>
      <c r="AE713" s="22" cm="1">
        <f t="array" aca="1" ref="AE713" ca="1">SQRT(MMULT(MMULT(AG713:AK713,var_covar),TRANSPOSE(AG713:AK713)))</f>
        <v>8.5436664837109752E-2</v>
      </c>
      <c r="AF713" s="22">
        <f t="shared" ca="1" si="33"/>
        <v>3.8654115777692351E-2</v>
      </c>
      <c r="AG713">
        <f ca="1"/>
        <v>0.28332417541843163</v>
      </c>
      <c r="AH713">
        <f ca="1"/>
        <v>0.21640566712757142</v>
      </c>
      <c r="AI713">
        <f ca="1"/>
        <v>0.1154681580171819</v>
      </c>
      <c r="AJ713">
        <f ca="1"/>
        <v>0.30229143995476526</v>
      </c>
      <c r="AK713">
        <f ca="1"/>
        <v>8.2510559482049647E-2</v>
      </c>
      <c r="AN713" s="9">
        <v>0.11174979912473433</v>
      </c>
      <c r="AO713" s="9">
        <v>3.593267122447466E-2</v>
      </c>
    </row>
    <row r="714" spans="28:41" x14ac:dyDescent="0.2">
      <c r="AB714" s="9"/>
      <c r="AC714" s="20"/>
      <c r="AE714" s="22" cm="1">
        <f t="array" aca="1" ref="AE714" ca="1">SQRT(MMULT(MMULT(AG714:AK714,var_covar),TRANSPOSE(AG714:AK714)))</f>
        <v>8.4686085923260504E-2</v>
      </c>
      <c r="AF714" s="22">
        <f t="shared" ca="1" si="33"/>
        <v>2.5810266925951671E-2</v>
      </c>
      <c r="AG714">
        <f ca="1"/>
        <v>0.53472893754398243</v>
      </c>
      <c r="AH714">
        <f ca="1"/>
        <v>0.26848836900734346</v>
      </c>
      <c r="AI714">
        <f ca="1"/>
        <v>0.46503382971163743</v>
      </c>
      <c r="AJ714">
        <f ca="1"/>
        <v>-0.11648142024078258</v>
      </c>
      <c r="AK714">
        <f ca="1"/>
        <v>-0.1517697160221807</v>
      </c>
      <c r="AN714" s="9">
        <v>0.11137140457957923</v>
      </c>
      <c r="AO714" s="9">
        <v>4.226279203041395E-2</v>
      </c>
    </row>
    <row r="715" spans="28:41" x14ac:dyDescent="0.2">
      <c r="AB715" s="9"/>
      <c r="AC715" s="20"/>
      <c r="AE715" s="22" cm="1">
        <f t="array" aca="1" ref="AE715" ca="1">SQRT(MMULT(MMULT(AG715:AK715,var_covar),TRANSPOSE(AG715:AK715)))</f>
        <v>0.42609785498488106</v>
      </c>
      <c r="AF715" s="22">
        <f t="shared" ca="1" si="33"/>
        <v>0.10914213853202281</v>
      </c>
      <c r="AG715">
        <f ca="1"/>
        <v>-2.6555376110657587</v>
      </c>
      <c r="AH715">
        <f ca="1"/>
        <v>0.4946821939106541</v>
      </c>
      <c r="AI715">
        <f ca="1"/>
        <v>-2.6952612597830154E-2</v>
      </c>
      <c r="AJ715">
        <f ca="1"/>
        <v>3.4693470163377813</v>
      </c>
      <c r="AK715">
        <f ca="1"/>
        <v>-0.28153898658484661</v>
      </c>
      <c r="AN715" s="9">
        <v>0.11124996064026575</v>
      </c>
      <c r="AO715" s="9">
        <v>3.9054744902136646E-2</v>
      </c>
    </row>
    <row r="716" spans="28:41" x14ac:dyDescent="0.2">
      <c r="AB716" s="9"/>
      <c r="AC716" s="20"/>
      <c r="AE716" s="22" cm="1">
        <f t="array" aca="1" ref="AE716" ca="1">SQRT(MMULT(MMULT(AG716:AK716,var_covar),TRANSPOSE(AG716:AK716)))</f>
        <v>0.39455036444973174</v>
      </c>
      <c r="AF716" s="22">
        <f t="shared" ca="1" si="33"/>
        <v>0.12770168537331406</v>
      </c>
      <c r="AG716">
        <f ca="1"/>
        <v>-0.47518250552137248</v>
      </c>
      <c r="AH716">
        <f ca="1"/>
        <v>-1.7453619435928671</v>
      </c>
      <c r="AI716">
        <f ca="1"/>
        <v>-0.82808054389667363</v>
      </c>
      <c r="AJ716">
        <f ca="1"/>
        <v>2.8389794277389746</v>
      </c>
      <c r="AK716">
        <f ca="1"/>
        <v>1.2096455652719387</v>
      </c>
      <c r="AN716" s="9">
        <v>0.1109004674672245</v>
      </c>
      <c r="AO716" s="9">
        <v>3.2108074220525695E-2</v>
      </c>
    </row>
    <row r="717" spans="28:41" x14ac:dyDescent="0.2">
      <c r="AB717" s="9"/>
      <c r="AC717" s="20"/>
      <c r="AE717" s="22" cm="1">
        <f t="array" aca="1" ref="AE717" ca="1">SQRT(MMULT(MMULT(AG717:AK717,var_covar),TRANSPOSE(AG717:AK717)))</f>
        <v>0.10441737451893308</v>
      </c>
      <c r="AF717" s="22">
        <f t="shared" ca="1" si="33"/>
        <v>3.5212551165173904E-2</v>
      </c>
      <c r="AG717">
        <f ca="1"/>
        <v>-0.26838792316054055</v>
      </c>
      <c r="AH717">
        <f ca="1"/>
        <v>0.71557617362213188</v>
      </c>
      <c r="AI717">
        <f ca="1"/>
        <v>0.15366153283644507</v>
      </c>
      <c r="AJ717">
        <f ca="1"/>
        <v>0.38855380061604922</v>
      </c>
      <c r="AK717">
        <f ca="1"/>
        <v>1.0596416085914297E-2</v>
      </c>
      <c r="AN717" s="9">
        <v>0.11084532867095692</v>
      </c>
      <c r="AO717" s="9">
        <v>2.7480018330804414E-2</v>
      </c>
    </row>
    <row r="718" spans="28:41" x14ac:dyDescent="0.2">
      <c r="AB718" s="9"/>
      <c r="AC718" s="20"/>
      <c r="AE718" s="22" cm="1">
        <f t="array" aca="1" ref="AE718" ca="1">SQRT(MMULT(MMULT(AG718:AK718,var_covar),TRANSPOSE(AG718:AK718)))</f>
        <v>0.85756482258770939</v>
      </c>
      <c r="AF718" s="22">
        <f t="shared" ca="1" si="33"/>
        <v>0.1702072352805791</v>
      </c>
      <c r="AG718">
        <f ca="1"/>
        <v>-4.3874055900899203</v>
      </c>
      <c r="AH718">
        <f ca="1"/>
        <v>-3.2223309038946493</v>
      </c>
      <c r="AI718">
        <f ca="1"/>
        <v>1.3013105578002286</v>
      </c>
      <c r="AJ718">
        <f ca="1"/>
        <v>3.6301683138068803</v>
      </c>
      <c r="AK718">
        <f ca="1"/>
        <v>3.6782576223774615</v>
      </c>
      <c r="AN718" s="9">
        <v>0.11084373976379898</v>
      </c>
      <c r="AO718" s="9">
        <v>4.7545736623035004E-2</v>
      </c>
    </row>
    <row r="719" spans="28:41" x14ac:dyDescent="0.2">
      <c r="AB719" s="9"/>
      <c r="AC719" s="20"/>
      <c r="AE719" s="22" cm="1">
        <f t="array" aca="1" ref="AE719" ca="1">SQRT(MMULT(MMULT(AG719:AK719,var_covar),TRANSPOSE(AG719:AK719)))</f>
        <v>0.11315414750325395</v>
      </c>
      <c r="AF719" s="22">
        <f t="shared" ca="1" si="33"/>
        <v>3.2530279230117358E-2</v>
      </c>
      <c r="AG719">
        <f ca="1"/>
        <v>0.95121228710535821</v>
      </c>
      <c r="AH719">
        <f ca="1"/>
        <v>0.47941219481411701</v>
      </c>
      <c r="AI719">
        <f ca="1"/>
        <v>-0.44053566399856331</v>
      </c>
      <c r="AJ719">
        <f ca="1"/>
        <v>0.14429019035921178</v>
      </c>
      <c r="AK719">
        <f ca="1"/>
        <v>-0.13437900828012364</v>
      </c>
      <c r="AN719" s="9">
        <v>0.1104564612493365</v>
      </c>
      <c r="AO719" s="9">
        <v>3.3969317985630451E-2</v>
      </c>
    </row>
    <row r="720" spans="28:41" x14ac:dyDescent="0.2">
      <c r="AB720" s="9"/>
      <c r="AC720" s="20"/>
      <c r="AE720" s="22" cm="1">
        <f t="array" aca="1" ref="AE720" ca="1">SQRT(MMULT(MMULT(AG720:AK720,var_covar),TRANSPOSE(AG720:AK720)))</f>
        <v>0.18055915182381191</v>
      </c>
      <c r="AF720" s="22">
        <f t="shared" ca="1" si="33"/>
        <v>1.2155995994360194E-2</v>
      </c>
      <c r="AG720">
        <f ca="1"/>
        <v>4.4686659678813787E-2</v>
      </c>
      <c r="AH720">
        <f ca="1"/>
        <v>0.69537196859300365</v>
      </c>
      <c r="AI720">
        <f ca="1"/>
        <v>0.17778387196323703</v>
      </c>
      <c r="AJ720">
        <f ca="1"/>
        <v>-0.81901810523811436</v>
      </c>
      <c r="AK720">
        <f ca="1"/>
        <v>0.90117560500305982</v>
      </c>
      <c r="AN720" s="9">
        <v>0.11044536955377883</v>
      </c>
      <c r="AO720" s="9">
        <v>3.8199165231000629E-2</v>
      </c>
    </row>
    <row r="721" spans="28:41" x14ac:dyDescent="0.2">
      <c r="AB721" s="9"/>
      <c r="AC721" s="20"/>
      <c r="AE721" s="22" cm="1">
        <f t="array" aca="1" ref="AE721" ca="1">SQRT(MMULT(MMULT(AG721:AK721,var_covar),TRANSPOSE(AG721:AK721)))</f>
        <v>0.11527979028393813</v>
      </c>
      <c r="AF721" s="22">
        <f t="shared" ca="1" si="33"/>
        <v>4.7331463839196744E-2</v>
      </c>
      <c r="AG721">
        <f ca="1"/>
        <v>-4.1531163889894765E-2</v>
      </c>
      <c r="AH721">
        <f ca="1"/>
        <v>8.2789425490294513E-2</v>
      </c>
      <c r="AI721">
        <f ca="1"/>
        <v>7.7038012336489728E-2</v>
      </c>
      <c r="AJ721">
        <f ca="1"/>
        <v>0.54183095869519404</v>
      </c>
      <c r="AK721">
        <f ca="1"/>
        <v>0.33987276736791655</v>
      </c>
      <c r="AN721" s="9">
        <v>0.11027096967656988</v>
      </c>
      <c r="AO721" s="9">
        <v>4.4068613195342568E-2</v>
      </c>
    </row>
    <row r="722" spans="28:41" x14ac:dyDescent="0.2">
      <c r="AB722" s="9"/>
      <c r="AC722" s="20"/>
      <c r="AE722" s="22" cm="1">
        <f t="array" aca="1" ref="AE722" ca="1">SQRT(MMULT(MMULT(AG722:AK722,var_covar),TRANSPOSE(AG722:AK722)))</f>
        <v>0.22370758108898067</v>
      </c>
      <c r="AF722" s="22">
        <f t="shared" ca="1" si="33"/>
        <v>3.575706032938189E-2</v>
      </c>
      <c r="AG722">
        <f ca="1"/>
        <v>-0.60063127311296716</v>
      </c>
      <c r="AH722">
        <f ca="1"/>
        <v>0.68581574497962328</v>
      </c>
      <c r="AI722">
        <f ca="1"/>
        <v>1.0841022207055804</v>
      </c>
      <c r="AJ722">
        <f ca="1"/>
        <v>0.74691333235457569</v>
      </c>
      <c r="AK722">
        <f ca="1"/>
        <v>-0.91620002492681207</v>
      </c>
      <c r="AN722" s="9">
        <v>0.11000959880963725</v>
      </c>
      <c r="AO722" s="9">
        <v>2.7135583026264926E-2</v>
      </c>
    </row>
    <row r="723" spans="28:41" x14ac:dyDescent="0.2">
      <c r="AB723" s="9"/>
      <c r="AC723" s="20"/>
      <c r="AE723" s="22" cm="1">
        <f t="array" aca="1" ref="AE723" ca="1">SQRT(MMULT(MMULT(AG723:AK723,var_covar),TRANSPOSE(AG723:AK723)))</f>
        <v>3.5654395848371059</v>
      </c>
      <c r="AF723" s="22">
        <f t="shared" ca="1" si="33"/>
        <v>-0.53628785902724452</v>
      </c>
      <c r="AG723">
        <f ca="1"/>
        <v>1.3909145490819512</v>
      </c>
      <c r="AH723">
        <f ca="1"/>
        <v>-8.8640543587532913E-2</v>
      </c>
      <c r="AI723">
        <f ca="1"/>
        <v>11.734154497055048</v>
      </c>
      <c r="AJ723">
        <f ca="1"/>
        <v>-26.390366086777185</v>
      </c>
      <c r="AK723">
        <f ca="1"/>
        <v>14.353937584227719</v>
      </c>
      <c r="AN723" s="9">
        <v>0.10975460563966564</v>
      </c>
      <c r="AO723" s="9">
        <v>3.6663913026889185E-2</v>
      </c>
    </row>
    <row r="724" spans="28:41" x14ac:dyDescent="0.2">
      <c r="AB724" s="9"/>
      <c r="AC724" s="20"/>
      <c r="AE724" s="22" cm="1">
        <f t="array" aca="1" ref="AE724" ca="1">SQRT(MMULT(MMULT(AG724:AK724,var_covar),TRANSPOSE(AG724:AK724)))</f>
        <v>0.12258113551831794</v>
      </c>
      <c r="AF724" s="22">
        <f t="shared" ca="1" si="33"/>
        <v>3.3868082457022095E-2</v>
      </c>
      <c r="AG724">
        <f ca="1"/>
        <v>-2.3514438414957383E-2</v>
      </c>
      <c r="AH724">
        <f ca="1"/>
        <v>0.2947158137512032</v>
      </c>
      <c r="AI724">
        <f ca="1"/>
        <v>0.13472189484844482</v>
      </c>
      <c r="AJ724">
        <f ca="1"/>
        <v>4.9395098625816371E-3</v>
      </c>
      <c r="AK724">
        <f ca="1"/>
        <v>0.58913721995272772</v>
      </c>
      <c r="AN724" s="9">
        <v>0.10970053635415009</v>
      </c>
      <c r="AO724" s="9">
        <v>3.5944636284969238E-2</v>
      </c>
    </row>
    <row r="725" spans="28:41" x14ac:dyDescent="0.2">
      <c r="AB725" s="9"/>
      <c r="AC725" s="20"/>
      <c r="AE725" s="22" cm="1">
        <f t="array" aca="1" ref="AE725" ca="1">SQRT(MMULT(MMULT(AG725:AK725,var_covar),TRANSPOSE(AG725:AK725)))</f>
        <v>0.14054517151282162</v>
      </c>
      <c r="AF725" s="22">
        <f t="shared" ca="1" si="33"/>
        <v>5.4105382149543232E-2</v>
      </c>
      <c r="AG725">
        <f ca="1"/>
        <v>0.25959825907988687</v>
      </c>
      <c r="AH725">
        <f ca="1"/>
        <v>-0.33621990139579139</v>
      </c>
      <c r="AI725">
        <f ca="1"/>
        <v>-4.3223449651225501E-2</v>
      </c>
      <c r="AJ725">
        <f ca="1"/>
        <v>0.58947806093818955</v>
      </c>
      <c r="AK725">
        <f ca="1"/>
        <v>0.53036703102894056</v>
      </c>
      <c r="AN725" s="9">
        <v>0.10967847105459759</v>
      </c>
      <c r="AO725" s="9">
        <v>3.1419559103292159E-2</v>
      </c>
    </row>
    <row r="726" spans="28:41" x14ac:dyDescent="0.2">
      <c r="AB726" s="9"/>
      <c r="AC726" s="20"/>
      <c r="AE726" s="22" cm="1">
        <f t="array" aca="1" ref="AE726" ca="1">SQRT(MMULT(MMULT(AG726:AK726,var_covar),TRANSPOSE(AG726:AK726)))</f>
        <v>0.14571500385496616</v>
      </c>
      <c r="AF726" s="22">
        <f t="shared" ca="1" si="33"/>
        <v>3.7730985233838381E-2</v>
      </c>
      <c r="AG726">
        <f ca="1"/>
        <v>-0.17822466589433791</v>
      </c>
      <c r="AH726">
        <f ca="1"/>
        <v>-2.7062647753758742E-2</v>
      </c>
      <c r="AI726">
        <f ca="1"/>
        <v>0.47360500862503591</v>
      </c>
      <c r="AJ726">
        <f ca="1"/>
        <v>4.9343235249413017E-2</v>
      </c>
      <c r="AK726">
        <f ca="1"/>
        <v>0.68233906977364767</v>
      </c>
      <c r="AN726" s="9">
        <v>0.1095975063899471</v>
      </c>
      <c r="AO726" s="9">
        <v>4.417520480392105E-2</v>
      </c>
    </row>
    <row r="727" spans="28:41" x14ac:dyDescent="0.2">
      <c r="AB727" s="9"/>
      <c r="AC727" s="20"/>
      <c r="AE727" s="22" cm="1">
        <f t="array" aca="1" ref="AE727" ca="1">SQRT(MMULT(MMULT(AG727:AK727,var_covar),TRANSPOSE(AG727:AK727)))</f>
        <v>0.1633686961922855</v>
      </c>
      <c r="AF727" s="22">
        <f t="shared" ca="1" si="33"/>
        <v>1.5339063436200107E-2</v>
      </c>
      <c r="AG727">
        <f ca="1"/>
        <v>0.90973382058495911</v>
      </c>
      <c r="AH727">
        <f ca="1"/>
        <v>-4.9036505500023371E-2</v>
      </c>
      <c r="AI727">
        <f ca="1"/>
        <v>0.38548452775075814</v>
      </c>
      <c r="AJ727">
        <f ca="1"/>
        <v>-0.91016710663558309</v>
      </c>
      <c r="AK727">
        <f ca="1"/>
        <v>0.66398526379988931</v>
      </c>
      <c r="AN727" s="9">
        <v>0.10944776848361833</v>
      </c>
      <c r="AO727" s="9">
        <v>4.6148158631039903E-2</v>
      </c>
    </row>
    <row r="728" spans="28:41" x14ac:dyDescent="0.2">
      <c r="AB728" s="9"/>
      <c r="AC728" s="20"/>
      <c r="AE728" s="22" cm="1">
        <f t="array" aca="1" ref="AE728" ca="1">SQRT(MMULT(MMULT(AG728:AK728,var_covar),TRANSPOSE(AG728:AK728)))</f>
        <v>0.63250273418168634</v>
      </c>
      <c r="AF728" s="22">
        <f t="shared" ca="1" si="33"/>
        <v>-1.520050614268656E-2</v>
      </c>
      <c r="AG728">
        <f ca="1"/>
        <v>-4.3723859449236686</v>
      </c>
      <c r="AH728">
        <f ca="1"/>
        <v>1.085927519634041</v>
      </c>
      <c r="AI728">
        <f ca="1"/>
        <v>3.8677857163057463</v>
      </c>
      <c r="AJ728">
        <f ca="1"/>
        <v>-1.6866197548956403</v>
      </c>
      <c r="AK728">
        <f ca="1"/>
        <v>2.1052924638795218</v>
      </c>
      <c r="AN728" s="9">
        <v>0.10944697686836824</v>
      </c>
      <c r="AO728" s="9">
        <v>2.4172391537394672E-2</v>
      </c>
    </row>
    <row r="729" spans="28:41" x14ac:dyDescent="0.2">
      <c r="AB729" s="9"/>
      <c r="AC729" s="20"/>
      <c r="AE729" s="22" cm="1">
        <f t="array" aca="1" ref="AE729" ca="1">SQRT(MMULT(MMULT(AG729:AK729,var_covar),TRANSPOSE(AG729:AK729)))</f>
        <v>0.13382621339804152</v>
      </c>
      <c r="AF729" s="22">
        <f t="shared" ca="1" si="33"/>
        <v>4.6146539854271515E-2</v>
      </c>
      <c r="AG729">
        <f ca="1"/>
        <v>-3.1568389638718879E-2</v>
      </c>
      <c r="AH729">
        <f ca="1"/>
        <v>5.2516960211997525E-2</v>
      </c>
      <c r="AI729">
        <f ca="1"/>
        <v>-2.0146933895817426E-2</v>
      </c>
      <c r="AJ729">
        <f ca="1"/>
        <v>0.40139700191058147</v>
      </c>
      <c r="AK729">
        <f ca="1"/>
        <v>0.59780136141195717</v>
      </c>
      <c r="AN729" s="9">
        <v>0.10940360161549605</v>
      </c>
      <c r="AO729" s="9">
        <v>3.9444193908143604E-2</v>
      </c>
    </row>
    <row r="730" spans="28:41" x14ac:dyDescent="0.2">
      <c r="AB730" s="9"/>
      <c r="AC730" s="20"/>
      <c r="AE730" s="22" cm="1">
        <f t="array" aca="1" ref="AE730" ca="1">SQRT(MMULT(MMULT(AG730:AK730,var_covar),TRANSPOSE(AG730:AK730)))</f>
        <v>0.138626396492637</v>
      </c>
      <c r="AF730" s="22">
        <f t="shared" ca="1" si="33"/>
        <v>5.4608114127096166E-2</v>
      </c>
      <c r="AG730">
        <f ca="1"/>
        <v>-0.16253443927229105</v>
      </c>
      <c r="AH730">
        <f ca="1"/>
        <v>-0.15252878695897321</v>
      </c>
      <c r="AI730">
        <f ca="1"/>
        <v>0.16813406497892866</v>
      </c>
      <c r="AJ730">
        <f ca="1"/>
        <v>0.74538037356221165</v>
      </c>
      <c r="AK730">
        <f ca="1"/>
        <v>0.40154878769012403</v>
      </c>
      <c r="AN730" s="9">
        <v>0.10923422243726298</v>
      </c>
      <c r="AO730" s="9">
        <v>3.3568119947745015E-2</v>
      </c>
    </row>
    <row r="731" spans="28:41" x14ac:dyDescent="0.2">
      <c r="AB731" s="9"/>
      <c r="AC731" s="20"/>
      <c r="AE731" s="22" cm="1">
        <f t="array" aca="1" ref="AE731" ca="1">SQRT(MMULT(MMULT(AG731:AK731,var_covar),TRANSPOSE(AG731:AK731)))</f>
        <v>0.27525629055178868</v>
      </c>
      <c r="AF731" s="22">
        <f t="shared" ca="1" si="33"/>
        <v>5.2788533798063003E-2</v>
      </c>
      <c r="AG731">
        <f ca="1"/>
        <v>0.88735845018375836</v>
      </c>
      <c r="AH731">
        <f ca="1"/>
        <v>-0.14891374755315279</v>
      </c>
      <c r="AI731">
        <f ca="1"/>
        <v>-1.3493898351926792</v>
      </c>
      <c r="AJ731">
        <f ca="1"/>
        <v>0.24322193223984429</v>
      </c>
      <c r="AK731">
        <f ca="1"/>
        <v>1.3677232003222293</v>
      </c>
      <c r="AN731" s="9">
        <v>0.10902273557651425</v>
      </c>
      <c r="AO731" s="9">
        <v>3.2168096705200405E-2</v>
      </c>
    </row>
    <row r="732" spans="28:41" x14ac:dyDescent="0.2">
      <c r="AB732" s="9"/>
      <c r="AC732" s="20"/>
      <c r="AE732" s="22" cm="1">
        <f t="array" aca="1" ref="AE732" ca="1">SQRT(MMULT(MMULT(AG732:AK732,var_covar),TRANSPOSE(AG732:AK732)))</f>
        <v>8.3746697373274573E-2</v>
      </c>
      <c r="AF732" s="22">
        <f t="shared" ca="1" si="33"/>
        <v>3.3813661830563925E-2</v>
      </c>
      <c r="AG732">
        <f ca="1"/>
        <v>0.26331359001066657</v>
      </c>
      <c r="AH732">
        <f ca="1"/>
        <v>0.48929321612657067</v>
      </c>
      <c r="AI732">
        <f ca="1"/>
        <v>-2.1511636979582402E-2</v>
      </c>
      <c r="AJ732">
        <f ca="1"/>
        <v>0.1992634991630782</v>
      </c>
      <c r="AK732">
        <f ca="1"/>
        <v>6.9641331679267102E-2</v>
      </c>
      <c r="AN732" s="9">
        <v>0.10902162302335604</v>
      </c>
      <c r="AO732" s="9">
        <v>4.0051663812230041E-2</v>
      </c>
    </row>
    <row r="733" spans="28:41" x14ac:dyDescent="0.2">
      <c r="AB733" s="9"/>
      <c r="AC733" s="20"/>
      <c r="AE733" s="22" cm="1">
        <f t="array" aca="1" ref="AE733" ca="1">SQRT(MMULT(MMULT(AG733:AK733,var_covar),TRANSPOSE(AG733:AK733)))</f>
        <v>0.1696771758379822</v>
      </c>
      <c r="AF733" s="22">
        <f t="shared" ca="1" si="33"/>
        <v>6.6076182974000572E-2</v>
      </c>
      <c r="AG733">
        <f ca="1"/>
        <v>-0.17065598098402135</v>
      </c>
      <c r="AH733">
        <f ca="1"/>
        <v>-3.7550931026420105E-2</v>
      </c>
      <c r="AI733">
        <f ca="1"/>
        <v>-0.41520402407297463</v>
      </c>
      <c r="AJ733">
        <f ca="1"/>
        <v>1.2041679155538092</v>
      </c>
      <c r="AK733">
        <f ca="1"/>
        <v>0.41924302052960705</v>
      </c>
      <c r="AN733" s="9">
        <v>0.10895371547556641</v>
      </c>
      <c r="AO733" s="9">
        <v>4.7745130873677155E-2</v>
      </c>
    </row>
    <row r="734" spans="28:41" x14ac:dyDescent="0.2">
      <c r="AB734" s="9"/>
      <c r="AC734" s="20"/>
      <c r="AE734" s="22" cm="1">
        <f t="array" aca="1" ref="AE734" ca="1">SQRT(MMULT(MMULT(AG734:AK734,var_covar),TRANSPOSE(AG734:AK734)))</f>
        <v>0.16127308466667128</v>
      </c>
      <c r="AF734" s="22">
        <f t="shared" ca="1" si="33"/>
        <v>4.129835108001173E-2</v>
      </c>
      <c r="AG734">
        <f ca="1"/>
        <v>0.34025152140634901</v>
      </c>
      <c r="AH734">
        <f ca="1"/>
        <v>-0.57329136558519389</v>
      </c>
      <c r="AI734">
        <f ca="1"/>
        <v>1.2157700234016104</v>
      </c>
      <c r="AJ734">
        <f ca="1"/>
        <v>0.30980976731857124</v>
      </c>
      <c r="AK734">
        <f ca="1"/>
        <v>-0.2925399465413368</v>
      </c>
      <c r="AN734" s="9">
        <v>0.10876911975304231</v>
      </c>
      <c r="AO734" s="9">
        <v>3.7680402050936014E-2</v>
      </c>
    </row>
    <row r="735" spans="28:41" x14ac:dyDescent="0.2">
      <c r="AB735" s="9"/>
      <c r="AC735" s="20"/>
      <c r="AE735" s="22" cm="1">
        <f t="array" aca="1" ref="AE735" ca="1">SQRT(MMULT(MMULT(AG735:AK735,var_covar),TRANSPOSE(AG735:AK735)))</f>
        <v>3.2136882808404588</v>
      </c>
      <c r="AF735" s="22">
        <f t="shared" ca="1" si="33"/>
        <v>-0.1890041531859252</v>
      </c>
      <c r="AG735">
        <f ca="1"/>
        <v>-25.168957247380927</v>
      </c>
      <c r="AH735">
        <f ca="1"/>
        <v>29.005819506814099</v>
      </c>
      <c r="AI735">
        <f ca="1"/>
        <v>-0.54186113774510336</v>
      </c>
      <c r="AJ735">
        <f ca="1"/>
        <v>4.3836181817431346</v>
      </c>
      <c r="AK735">
        <f ca="1"/>
        <v>-6.6786193034312031</v>
      </c>
      <c r="AN735" s="9">
        <v>0.1086392054012848</v>
      </c>
      <c r="AO735" s="9">
        <v>4.3792638636724716E-2</v>
      </c>
    </row>
    <row r="736" spans="28:41" x14ac:dyDescent="0.2">
      <c r="AB736" s="9"/>
      <c r="AC736" s="20"/>
      <c r="AE736" s="22" cm="1">
        <f t="array" aca="1" ref="AE736" ca="1">SQRT(MMULT(MMULT(AG736:AK736,var_covar),TRANSPOSE(AG736:AK736)))</f>
        <v>0.14687970281114041</v>
      </c>
      <c r="AF736" s="22">
        <f t="shared" ca="1" si="33"/>
        <v>3.5020048218122934E-2</v>
      </c>
      <c r="AG736">
        <f ca="1"/>
        <v>-0.93078071968880871</v>
      </c>
      <c r="AH736">
        <f ca="1"/>
        <v>0.96562330111585815</v>
      </c>
      <c r="AI736">
        <f ca="1"/>
        <v>0.39118028809980426</v>
      </c>
      <c r="AJ736">
        <f ca="1"/>
        <v>0.49520666548072173</v>
      </c>
      <c r="AK736">
        <f ca="1"/>
        <v>7.8770464992424599E-2</v>
      </c>
      <c r="AN736" s="9">
        <v>0.10834568011365875</v>
      </c>
      <c r="AO736" s="9">
        <v>3.676626662012198E-2</v>
      </c>
    </row>
    <row r="737" spans="28:41" x14ac:dyDescent="0.2">
      <c r="AB737" s="9"/>
      <c r="AC737" s="20"/>
      <c r="AE737" s="22" cm="1">
        <f t="array" aca="1" ref="AE737" ca="1">SQRT(MMULT(MMULT(AG737:AK737,var_covar),TRANSPOSE(AG737:AK737)))</f>
        <v>8.5920529757325531E-2</v>
      </c>
      <c r="AF737" s="22">
        <f t="shared" ca="1" si="33"/>
        <v>2.9675511712678432E-2</v>
      </c>
      <c r="AG737">
        <f ca="1"/>
        <v>2.2182205470662407E-3</v>
      </c>
      <c r="AH737">
        <f ca="1"/>
        <v>0.50890967924911124</v>
      </c>
      <c r="AI737">
        <f ca="1"/>
        <v>0.37802298736437412</v>
      </c>
      <c r="AJ737">
        <f ca="1"/>
        <v>9.3164590317655255E-2</v>
      </c>
      <c r="AK737">
        <f ca="1"/>
        <v>1.7684522521793183E-2</v>
      </c>
      <c r="AN737" s="9">
        <v>0.108319161332843</v>
      </c>
      <c r="AO737" s="9">
        <v>4.017113515846156E-2</v>
      </c>
    </row>
    <row r="738" spans="28:41" x14ac:dyDescent="0.2">
      <c r="AB738" s="9"/>
      <c r="AC738" s="20"/>
      <c r="AE738" s="22" cm="1">
        <f t="array" aca="1" ref="AE738" ca="1">SQRT(MMULT(MMULT(AG738:AK738,var_covar),TRANSPOSE(AG738:AK738)))</f>
        <v>0.10531958300860146</v>
      </c>
      <c r="AF738" s="22">
        <f t="shared" ca="1" si="33"/>
        <v>2.2142033625548684E-2</v>
      </c>
      <c r="AG738">
        <f ca="1"/>
        <v>-0.15770228939687483</v>
      </c>
      <c r="AH738">
        <f ca="1"/>
        <v>0.5223685742435229</v>
      </c>
      <c r="AI738">
        <f ca="1"/>
        <v>0.63234177008131387</v>
      </c>
      <c r="AJ738">
        <f ca="1"/>
        <v>-0.24965658806596192</v>
      </c>
      <c r="AK738">
        <f ca="1"/>
        <v>0.2526485331379999</v>
      </c>
      <c r="AN738" s="9">
        <v>0.10802403852719944</v>
      </c>
      <c r="AO738" s="9">
        <v>2.0265379336672995E-2</v>
      </c>
    </row>
    <row r="739" spans="28:41" x14ac:dyDescent="0.2">
      <c r="AB739" s="9"/>
      <c r="AC739" s="20"/>
      <c r="AE739" s="22" cm="1">
        <f t="array" aca="1" ref="AE739" ca="1">SQRT(MMULT(MMULT(AG739:AK739,var_covar),TRANSPOSE(AG739:AK739)))</f>
        <v>0.52025208703523962</v>
      </c>
      <c r="AF739" s="22">
        <f t="shared" ca="1" si="33"/>
        <v>-0.11380921618553115</v>
      </c>
      <c r="AG739">
        <f ca="1"/>
        <v>1.0467553167630759</v>
      </c>
      <c r="AH739">
        <f ca="1"/>
        <v>3.6757616573147542</v>
      </c>
      <c r="AI739">
        <f ca="1"/>
        <v>1.4062473957847423</v>
      </c>
      <c r="AJ739">
        <f ca="1"/>
        <v>-4.2989707002475503</v>
      </c>
      <c r="AK739">
        <f ca="1"/>
        <v>-0.82979366961502177</v>
      </c>
      <c r="AN739" s="9">
        <v>0.10781305676253751</v>
      </c>
      <c r="AO739" s="9">
        <v>3.0271638269832892E-2</v>
      </c>
    </row>
    <row r="740" spans="28:41" x14ac:dyDescent="0.2">
      <c r="AB740" s="9"/>
      <c r="AC740" s="20"/>
      <c r="AE740" s="22" cm="1">
        <f t="array" aca="1" ref="AE740" ca="1">SQRT(MMULT(MMULT(AG740:AK740,var_covar),TRANSPOSE(AG740:AK740)))</f>
        <v>0.38018364902546292</v>
      </c>
      <c r="AF740" s="22">
        <f t="shared" ca="1" si="33"/>
        <v>2.4704463641554611E-2</v>
      </c>
      <c r="AG740">
        <f ca="1"/>
        <v>0.69725543514685362</v>
      </c>
      <c r="AH740">
        <f ca="1"/>
        <v>-2.0334838499542478</v>
      </c>
      <c r="AI740">
        <f ca="1"/>
        <v>2.3177044948374643</v>
      </c>
      <c r="AJ740">
        <f ca="1"/>
        <v>-1.2802516653573177</v>
      </c>
      <c r="AK740">
        <f ca="1"/>
        <v>1.2987755853272474</v>
      </c>
      <c r="AN740" s="9">
        <v>0.10779270662763336</v>
      </c>
      <c r="AO740" s="9">
        <v>3.1636968873885445E-2</v>
      </c>
    </row>
    <row r="741" spans="28:41" x14ac:dyDescent="0.2">
      <c r="AB741" s="9"/>
      <c r="AC741" s="20"/>
      <c r="AE741" s="22" cm="1">
        <f t="array" aca="1" ref="AE741" ca="1">SQRT(MMULT(MMULT(AG741:AK741,var_covar),TRANSPOSE(AG741:AK741)))</f>
        <v>0.18687517887970045</v>
      </c>
      <c r="AF741" s="22">
        <f t="shared" ca="1" si="33"/>
        <v>5.2771356305091846E-2</v>
      </c>
      <c r="AG741">
        <f ca="1"/>
        <v>1.5752148360746645E-2</v>
      </c>
      <c r="AH741">
        <f ca="1"/>
        <v>0.72420066178312037</v>
      </c>
      <c r="AI741">
        <f ca="1"/>
        <v>-1.1353527608506244</v>
      </c>
      <c r="AJ741">
        <f ca="1"/>
        <v>0.84181205581702778</v>
      </c>
      <c r="AK741">
        <f ca="1"/>
        <v>0.5535878948897297</v>
      </c>
      <c r="AN741" s="9">
        <v>0.10762971675328568</v>
      </c>
      <c r="AO741" s="9">
        <v>3.5647211023717859E-2</v>
      </c>
    </row>
    <row r="742" spans="28:41" x14ac:dyDescent="0.2">
      <c r="AB742" s="9"/>
      <c r="AC742" s="20"/>
      <c r="AE742" s="22" cm="1">
        <f t="array" aca="1" ref="AE742" ca="1">SQRT(MMULT(MMULT(AG742:AK742,var_covar),TRANSPOSE(AG742:AK742)))</f>
        <v>0.13395310440308111</v>
      </c>
      <c r="AF742" s="22">
        <f t="shared" ca="1" si="33"/>
        <v>2.391688719605272E-2</v>
      </c>
      <c r="AG742">
        <f ca="1"/>
        <v>-0.15954873857206023</v>
      </c>
      <c r="AH742">
        <f ca="1"/>
        <v>9.4645898258828534E-2</v>
      </c>
      <c r="AI742">
        <f ca="1"/>
        <v>1.145452523496886</v>
      </c>
      <c r="AJ742">
        <f ca="1"/>
        <v>-0.27925821665499978</v>
      </c>
      <c r="AK742">
        <f ca="1"/>
        <v>0.19870853347134559</v>
      </c>
      <c r="AN742" s="9">
        <v>0.10755704007507005</v>
      </c>
      <c r="AO742" s="9">
        <v>3.0069618433895832E-2</v>
      </c>
    </row>
    <row r="743" spans="28:41" x14ac:dyDescent="0.2">
      <c r="AB743" s="9"/>
      <c r="AC743" s="20"/>
      <c r="AE743" s="22" cm="1">
        <f t="array" aca="1" ref="AE743" ca="1">SQRT(MMULT(MMULT(AG743:AK743,var_covar),TRANSPOSE(AG743:AK743)))</f>
        <v>0.73330357878973007</v>
      </c>
      <c r="AF743" s="22">
        <f t="shared" ca="1" si="33"/>
        <v>-4.3322519187777533E-2</v>
      </c>
      <c r="AG743">
        <f ca="1"/>
        <v>2.0386580514924662</v>
      </c>
      <c r="AH743">
        <f ca="1"/>
        <v>3.173754968029562</v>
      </c>
      <c r="AI743">
        <f ca="1"/>
        <v>0.7509354757725456</v>
      </c>
      <c r="AJ743">
        <f ca="1"/>
        <v>-0.73775827494303969</v>
      </c>
      <c r="AK743">
        <f ca="1"/>
        <v>-4.2255902203515348</v>
      </c>
      <c r="AN743" s="9">
        <v>0.1074080254589705</v>
      </c>
      <c r="AO743" s="9">
        <v>3.6328619489976226E-2</v>
      </c>
    </row>
    <row r="744" spans="28:41" x14ac:dyDescent="0.2">
      <c r="AB744" s="9"/>
      <c r="AC744" s="20"/>
      <c r="AE744" s="22" cm="1">
        <f t="array" aca="1" ref="AE744" ca="1">SQRT(MMULT(MMULT(AG744:AK744,var_covar),TRANSPOSE(AG744:AK744)))</f>
        <v>8.7003083031753067E-2</v>
      </c>
      <c r="AF744" s="22">
        <f t="shared" ca="1" si="33"/>
        <v>3.3003268639735218E-2</v>
      </c>
      <c r="AG744">
        <f ca="1"/>
        <v>0.2734111491440912</v>
      </c>
      <c r="AH744">
        <f ca="1"/>
        <v>0.18669788120832048</v>
      </c>
      <c r="AI744">
        <f ca="1"/>
        <v>0.26618327499516803</v>
      </c>
      <c r="AJ744">
        <f ca="1"/>
        <v>2.6887880717640322E-2</v>
      </c>
      <c r="AK744">
        <f ca="1"/>
        <v>0.24681981393478003</v>
      </c>
      <c r="AN744" s="9">
        <v>0.10736173590839555</v>
      </c>
      <c r="AO744" s="9">
        <v>3.9485635318542642E-2</v>
      </c>
    </row>
    <row r="745" spans="28:41" x14ac:dyDescent="0.2">
      <c r="AB745" s="9"/>
      <c r="AC745" s="20"/>
      <c r="AE745" s="22" cm="1">
        <f t="array" aca="1" ref="AE745" ca="1">SQRT(MMULT(MMULT(AG745:AK745,var_covar),TRANSPOSE(AG745:AK745)))</f>
        <v>1.7326084717054835</v>
      </c>
      <c r="AF745" s="22">
        <f t="shared" ca="1" si="33"/>
        <v>0.4068602099869893</v>
      </c>
      <c r="AG745">
        <f ca="1"/>
        <v>6.4992068826887506</v>
      </c>
      <c r="AH745">
        <f ca="1"/>
        <v>-13.29766168945662</v>
      </c>
      <c r="AI745">
        <f ca="1"/>
        <v>-5.82562321009567</v>
      </c>
      <c r="AJ745">
        <f ca="1"/>
        <v>8.0928285862831135</v>
      </c>
      <c r="AK745">
        <f ca="1"/>
        <v>5.5312494305804263</v>
      </c>
      <c r="AN745" s="9">
        <v>0.1071755841539402</v>
      </c>
      <c r="AO745" s="9">
        <v>2.9468063713669907E-2</v>
      </c>
    </row>
    <row r="746" spans="28:41" x14ac:dyDescent="0.2">
      <c r="AB746" s="9"/>
      <c r="AC746" s="20"/>
      <c r="AE746" s="22" cm="1">
        <f t="array" aca="1" ref="AE746" ca="1">SQRT(MMULT(MMULT(AG746:AK746,var_covar),TRANSPOSE(AG746:AK746)))</f>
        <v>0.10137162850198299</v>
      </c>
      <c r="AF746" s="22">
        <f t="shared" ca="1" si="33"/>
        <v>3.5077089910330893E-2</v>
      </c>
      <c r="AG746">
        <f ca="1"/>
        <v>0.62887614157971206</v>
      </c>
      <c r="AH746">
        <f ca="1"/>
        <v>5.2126629020067976E-2</v>
      </c>
      <c r="AI746">
        <f ca="1"/>
        <v>-3.5866433134708713E-2</v>
      </c>
      <c r="AJ746">
        <f ca="1"/>
        <v>-6.8691954247386642E-3</v>
      </c>
      <c r="AK746">
        <f ca="1"/>
        <v>0.36173285795966736</v>
      </c>
      <c r="AN746" s="9">
        <v>0.10691330480177617</v>
      </c>
      <c r="AO746" s="9">
        <v>3.6870029010671636E-2</v>
      </c>
    </row>
    <row r="747" spans="28:41" x14ac:dyDescent="0.2">
      <c r="AB747" s="9"/>
      <c r="AC747" s="20"/>
      <c r="AE747" s="22" cm="1">
        <f t="array" aca="1" ref="AE747" ca="1">SQRT(MMULT(MMULT(AG747:AK747,var_covar),TRANSPOSE(AG747:AK747)))</f>
        <v>0.17345690417033052</v>
      </c>
      <c r="AF747" s="22">
        <f t="shared" ca="1" si="33"/>
        <v>1.7286805503833973E-2</v>
      </c>
      <c r="AG747">
        <f ca="1"/>
        <v>-0.45226181023100209</v>
      </c>
      <c r="AH747">
        <f ca="1"/>
        <v>0.66187707576781185</v>
      </c>
      <c r="AI747">
        <f ca="1"/>
        <v>0.51842834871270915</v>
      </c>
      <c r="AJ747">
        <f ca="1"/>
        <v>-0.5582716090155645</v>
      </c>
      <c r="AK747">
        <f ca="1"/>
        <v>0.8302279947660457</v>
      </c>
      <c r="AN747" s="9">
        <v>0.10644838533492586</v>
      </c>
      <c r="AO747" s="9">
        <v>4.4093267834111563E-2</v>
      </c>
    </row>
    <row r="748" spans="28:41" x14ac:dyDescent="0.2">
      <c r="AB748" s="9"/>
      <c r="AC748" s="20"/>
      <c r="AE748" s="22" cm="1">
        <f t="array" aca="1" ref="AE748" ca="1">SQRT(MMULT(MMULT(AG748:AK748,var_covar),TRANSPOSE(AG748:AK748)))</f>
        <v>0.36710002039409273</v>
      </c>
      <c r="AF748" s="22">
        <f t="shared" ca="1" si="33"/>
        <v>-3.9608250160715903E-2</v>
      </c>
      <c r="AG748">
        <f ca="1"/>
        <v>1.7302951576329819</v>
      </c>
      <c r="AH748">
        <f ca="1"/>
        <v>0.57870058012576731</v>
      </c>
      <c r="AI748">
        <f ca="1"/>
        <v>2.3166635255721211</v>
      </c>
      <c r="AJ748">
        <f ca="1"/>
        <v>-2.2021222543254209</v>
      </c>
      <c r="AK748">
        <f ca="1"/>
        <v>-1.4235370090054495</v>
      </c>
      <c r="AN748" s="9">
        <v>0.10641649650517479</v>
      </c>
      <c r="AO748" s="9">
        <v>3.9361072719536733E-2</v>
      </c>
    </row>
    <row r="749" spans="28:41" x14ac:dyDescent="0.2">
      <c r="AB749" s="9"/>
      <c r="AC749" s="20"/>
      <c r="AE749" s="22" cm="1">
        <f t="array" aca="1" ref="AE749" ca="1">SQRT(MMULT(MMULT(AG749:AK749,var_covar),TRANSPOSE(AG749:AK749)))</f>
        <v>0.56435090897993445</v>
      </c>
      <c r="AF749" s="22">
        <f t="shared" ca="1" si="33"/>
        <v>-5.1675947673469884E-2</v>
      </c>
      <c r="AG749">
        <f ca="1"/>
        <v>0.74987499631213728</v>
      </c>
      <c r="AH749">
        <f ca="1"/>
        <v>-0.64687605757922739</v>
      </c>
      <c r="AI749">
        <f ca="1"/>
        <v>5.131236349265901</v>
      </c>
      <c r="AJ749">
        <f ca="1"/>
        <v>-2.9208895003901083</v>
      </c>
      <c r="AK749">
        <f ca="1"/>
        <v>-1.3133457876087027</v>
      </c>
      <c r="AN749" s="9">
        <v>0.10622965879034567</v>
      </c>
      <c r="AO749" s="9">
        <v>2.9418289255071998E-2</v>
      </c>
    </row>
    <row r="750" spans="28:41" x14ac:dyDescent="0.2">
      <c r="AB750" s="9"/>
      <c r="AC750" s="20"/>
      <c r="AE750" s="22" cm="1">
        <f t="array" aca="1" ref="AE750" ca="1">SQRT(MMULT(MMULT(AG750:AK750,var_covar),TRANSPOSE(AG750:AK750)))</f>
        <v>0.81642012487171145</v>
      </c>
      <c r="AF750" s="22">
        <f t="shared" ca="1" si="33"/>
        <v>1.4771034237371083E-2</v>
      </c>
      <c r="AG750">
        <f ca="1"/>
        <v>1.3810222371914627</v>
      </c>
      <c r="AH750">
        <f ca="1"/>
        <v>-0.20215807233630323</v>
      </c>
      <c r="AI750">
        <f ca="1"/>
        <v>-2.4181816193043275</v>
      </c>
      <c r="AJ750">
        <f ca="1"/>
        <v>-2.3333866705154636</v>
      </c>
      <c r="AK750">
        <f ca="1"/>
        <v>4.5727041249646323</v>
      </c>
      <c r="AN750" s="9">
        <v>0.10620390432825917</v>
      </c>
      <c r="AO750" s="9">
        <v>3.6012619919970665E-2</v>
      </c>
    </row>
    <row r="751" spans="28:41" x14ac:dyDescent="0.2">
      <c r="AB751" s="9"/>
      <c r="AC751" s="20"/>
      <c r="AE751" s="22" cm="1">
        <f t="array" aca="1" ref="AE751" ca="1">SQRT(MMULT(MMULT(AG751:AK751,var_covar),TRANSPOSE(AG751:AK751)))</f>
        <v>0.10778228699323861</v>
      </c>
      <c r="AF751" s="22">
        <f t="shared" ca="1" si="33"/>
        <v>4.4103009601292542E-2</v>
      </c>
      <c r="AG751">
        <f ca="1"/>
        <v>0.129508331300899</v>
      </c>
      <c r="AH751">
        <f ca="1"/>
        <v>8.7677978357702427E-2</v>
      </c>
      <c r="AI751">
        <f ca="1"/>
        <v>2.430555370288889E-2</v>
      </c>
      <c r="AJ751">
        <f ca="1"/>
        <v>0.39552329635379274</v>
      </c>
      <c r="AK751">
        <f ca="1"/>
        <v>0.36298484028471689</v>
      </c>
      <c r="AN751" s="9">
        <v>0.10616023639937888</v>
      </c>
      <c r="AO751" s="9">
        <v>4.4702870091828932E-2</v>
      </c>
    </row>
    <row r="752" spans="28:41" x14ac:dyDescent="0.2">
      <c r="AB752" s="9"/>
      <c r="AC752" s="20"/>
      <c r="AE752" s="22" cm="1">
        <f t="array" aca="1" ref="AE752" ca="1">SQRT(MMULT(MMULT(AG752:AK752,var_covar),TRANSPOSE(AG752:AK752)))</f>
        <v>0.59675945244243755</v>
      </c>
      <c r="AF752" s="22">
        <f t="shared" ca="1" si="33"/>
        <v>1.040463548841164E-2</v>
      </c>
      <c r="AG752">
        <f ca="1"/>
        <v>-0.62195219796539658</v>
      </c>
      <c r="AH752">
        <f ca="1"/>
        <v>2.03491748112264</v>
      </c>
      <c r="AI752">
        <f ca="1"/>
        <v>-2.3807829427218081</v>
      </c>
      <c r="AJ752">
        <f ca="1"/>
        <v>-1.2233794515692389</v>
      </c>
      <c r="AK752">
        <f ca="1"/>
        <v>3.1911971111338029</v>
      </c>
      <c r="AN752" s="9">
        <v>0.10608302565373944</v>
      </c>
      <c r="AO752" s="9">
        <v>4.5579759763691906E-2</v>
      </c>
    </row>
    <row r="753" spans="28:41" x14ac:dyDescent="0.2">
      <c r="AB753" s="9"/>
      <c r="AC753" s="20"/>
      <c r="AE753" s="22" cm="1">
        <f t="array" aca="1" ref="AE753" ca="1">SQRT(MMULT(MMULT(AG753:AK753,var_covar),TRANSPOSE(AG753:AK753)))</f>
        <v>0.21502058636555227</v>
      </c>
      <c r="AF753" s="22">
        <f t="shared" ca="1" si="33"/>
        <v>-7.1681698399423677E-3</v>
      </c>
      <c r="AG753">
        <f ca="1"/>
        <v>2.0558825575940394</v>
      </c>
      <c r="AH753">
        <f ca="1"/>
        <v>0.5384005716306719</v>
      </c>
      <c r="AI753">
        <f ca="1"/>
        <v>0.32162811734802238</v>
      </c>
      <c r="AJ753">
        <f ca="1"/>
        <v>-1.2898874836467604</v>
      </c>
      <c r="AK753">
        <f ca="1"/>
        <v>-0.62602376292597317</v>
      </c>
      <c r="AN753" s="9">
        <v>0.10607189845216335</v>
      </c>
      <c r="AO753" s="9">
        <v>3.2194970472275541E-2</v>
      </c>
    </row>
    <row r="754" spans="28:41" x14ac:dyDescent="0.2">
      <c r="AB754" s="9"/>
      <c r="AC754" s="20"/>
      <c r="AE754" s="22" cm="1">
        <f t="array" aca="1" ref="AE754" ca="1">SQRT(MMULT(MMULT(AG754:AK754,var_covar),TRANSPOSE(AG754:AK754)))</f>
        <v>2.3017925572824369</v>
      </c>
      <c r="AF754" s="22">
        <f t="shared" ca="1" si="33"/>
        <v>-0.33045492270484378</v>
      </c>
      <c r="AG754">
        <f ca="1"/>
        <v>4.5568058279623616</v>
      </c>
      <c r="AH754">
        <f ca="1"/>
        <v>17.351376820577023</v>
      </c>
      <c r="AI754">
        <f ca="1"/>
        <v>-5.1962999168691963</v>
      </c>
      <c r="AJ754">
        <f ca="1"/>
        <v>-6.2925637085581592</v>
      </c>
      <c r="AK754">
        <f ca="1"/>
        <v>-9.4193190231120312</v>
      </c>
      <c r="AN754" s="9">
        <v>0.10606321893428475</v>
      </c>
      <c r="AO754" s="9">
        <v>4.6575259091630024E-2</v>
      </c>
    </row>
    <row r="755" spans="28:41" x14ac:dyDescent="0.2">
      <c r="AB755" s="9"/>
      <c r="AC755" s="20"/>
      <c r="AE755" s="22" cm="1">
        <f t="array" aca="1" ref="AE755" ca="1">SQRT(MMULT(MMULT(AG755:AK755,var_covar),TRANSPOSE(AG755:AK755)))</f>
        <v>8.4075576977901648E-2</v>
      </c>
      <c r="AF755" s="22">
        <f t="shared" ca="1" si="33"/>
        <v>2.9761155075754546E-2</v>
      </c>
      <c r="AG755">
        <f ca="1"/>
        <v>0.29473051292094149</v>
      </c>
      <c r="AH755">
        <f ca="1"/>
        <v>0.62982827488800308</v>
      </c>
      <c r="AI755">
        <f ca="1"/>
        <v>-1.2714018476648159E-2</v>
      </c>
      <c r="AJ755">
        <f ca="1"/>
        <v>0.1121012972921608</v>
      </c>
      <c r="AK755">
        <f ca="1"/>
        <v>-2.3946066624457127E-2</v>
      </c>
      <c r="AN755" s="9">
        <v>0.10602087360022146</v>
      </c>
      <c r="AO755" s="9">
        <v>3.2373775236529054E-2</v>
      </c>
    </row>
    <row r="756" spans="28:41" x14ac:dyDescent="0.2">
      <c r="AB756" s="9"/>
      <c r="AC756" s="20"/>
      <c r="AE756" s="22" cm="1">
        <f t="array" aca="1" ref="AE756" ca="1">SQRT(MMULT(MMULT(AG756:AK756,var_covar),TRANSPOSE(AG756:AK756)))</f>
        <v>0.15855407602377716</v>
      </c>
      <c r="AF756" s="22">
        <f t="shared" ca="1" si="33"/>
        <v>2.8566731827126591E-2</v>
      </c>
      <c r="AG756">
        <f ca="1"/>
        <v>0.68183899964469818</v>
      </c>
      <c r="AH756">
        <f ca="1"/>
        <v>0.20779772667583446</v>
      </c>
      <c r="AI756">
        <f ca="1"/>
        <v>-0.31475423990895679</v>
      </c>
      <c r="AJ756">
        <f ca="1"/>
        <v>-0.35764655365442422</v>
      </c>
      <c r="AK756">
        <f ca="1"/>
        <v>0.7827640672428483</v>
      </c>
      <c r="AN756" s="9">
        <v>0.10592725819063482</v>
      </c>
      <c r="AO756" s="9">
        <v>2.9140075291340606E-2</v>
      </c>
    </row>
    <row r="757" spans="28:41" x14ac:dyDescent="0.2">
      <c r="AB757" s="9"/>
      <c r="AC757" s="20"/>
      <c r="AE757" s="22" cm="1">
        <f t="array" aca="1" ref="AE757" ca="1">SQRT(MMULT(MMULT(AG757:AK757,var_covar),TRANSPOSE(AG757:AK757)))</f>
        <v>0.38317696251923417</v>
      </c>
      <c r="AF757" s="22">
        <f t="shared" ca="1" si="33"/>
        <v>-3.6798426286428279E-2</v>
      </c>
      <c r="AG757">
        <f ca="1"/>
        <v>1.0832404992101001</v>
      </c>
      <c r="AH757">
        <f ca="1"/>
        <v>0.52757391599316616</v>
      </c>
      <c r="AI757">
        <f ca="1"/>
        <v>0.95002196771443181</v>
      </c>
      <c r="AJ757">
        <f ca="1"/>
        <v>-3.0030149481529325</v>
      </c>
      <c r="AK757">
        <f ca="1"/>
        <v>1.4421785652352344</v>
      </c>
      <c r="AN757" s="9">
        <v>0.10591882552232178</v>
      </c>
      <c r="AO757" s="9">
        <v>3.3227597416591488E-2</v>
      </c>
    </row>
    <row r="758" spans="28:41" x14ac:dyDescent="0.2">
      <c r="AB758" s="9"/>
      <c r="AC758" s="20"/>
      <c r="AE758" s="22" cm="1">
        <f t="array" aca="1" ref="AE758" ca="1">SQRT(MMULT(MMULT(AG758:AK758,var_covar),TRANSPOSE(AG758:AK758)))</f>
        <v>0.39668632767957562</v>
      </c>
      <c r="AF758" s="22">
        <f t="shared" ca="1" si="33"/>
        <v>-5.9143154568572519E-2</v>
      </c>
      <c r="AG758">
        <f ca="1"/>
        <v>2.2604140966767363</v>
      </c>
      <c r="AH758">
        <f ca="1"/>
        <v>0.22950428878660814</v>
      </c>
      <c r="AI758">
        <f ca="1"/>
        <v>2.222487189725149</v>
      </c>
      <c r="AJ758">
        <f ca="1"/>
        <v>-3.4931455352741732</v>
      </c>
      <c r="AK758">
        <f ca="1"/>
        <v>-0.21926003991432094</v>
      </c>
      <c r="AN758" s="9">
        <v>0.10574286081319186</v>
      </c>
      <c r="AO758" s="9">
        <v>4.4914984798175059E-2</v>
      </c>
    </row>
    <row r="759" spans="28:41" x14ac:dyDescent="0.2">
      <c r="AB759" s="9"/>
      <c r="AC759" s="20"/>
      <c r="AE759" s="22" cm="1">
        <f t="array" aca="1" ref="AE759" ca="1">SQRT(MMULT(MMULT(AG759:AK759,var_covar),TRANSPOSE(AG759:AK759)))</f>
        <v>0.35152080356398102</v>
      </c>
      <c r="AF759" s="22">
        <f t="shared" ca="1" si="33"/>
        <v>7.3561271859072644E-2</v>
      </c>
      <c r="AG759">
        <f ca="1"/>
        <v>2.8825974901311149</v>
      </c>
      <c r="AH759">
        <f ca="1"/>
        <v>-2.4311122505818616</v>
      </c>
      <c r="AI759">
        <f ca="1"/>
        <v>0.55294569210766387</v>
      </c>
      <c r="AJ759">
        <f ca="1"/>
        <v>1.0006496258163768</v>
      </c>
      <c r="AK759">
        <f ca="1"/>
        <v>-1.0050805574732939</v>
      </c>
      <c r="AN759" s="9">
        <v>0.10563636881448916</v>
      </c>
      <c r="AO759" s="9">
        <v>4.1741020121553951E-2</v>
      </c>
    </row>
    <row r="760" spans="28:41" x14ac:dyDescent="0.2">
      <c r="AB760" s="9"/>
      <c r="AC760" s="20"/>
      <c r="AE760" s="22" cm="1">
        <f t="array" aca="1" ref="AE760" ca="1">SQRT(MMULT(MMULT(AG760:AK760,var_covar),TRANSPOSE(AG760:AK760)))</f>
        <v>0.11018528035035741</v>
      </c>
      <c r="AF760" s="22">
        <f t="shared" ca="1" si="33"/>
        <v>3.0902648284356564E-2</v>
      </c>
      <c r="AG760">
        <f ca="1"/>
        <v>0.84564072628550002</v>
      </c>
      <c r="AH760">
        <f ca="1"/>
        <v>0.57158883276775008</v>
      </c>
      <c r="AI760">
        <f ca="1"/>
        <v>-0.35288451883687721</v>
      </c>
      <c r="AJ760">
        <f ca="1"/>
        <v>0.14325647193675936</v>
      </c>
      <c r="AK760">
        <f ca="1"/>
        <v>-0.20760151215313219</v>
      </c>
      <c r="AN760" s="9">
        <v>0.10562843619344738</v>
      </c>
      <c r="AO760" s="9">
        <v>3.8990225964159367E-2</v>
      </c>
    </row>
    <row r="761" spans="28:41" x14ac:dyDescent="0.2">
      <c r="AB761" s="9"/>
      <c r="AC761" s="20"/>
      <c r="AE761" s="22" cm="1">
        <f t="array" aca="1" ref="AE761" ca="1">SQRT(MMULT(MMULT(AG761:AK761,var_covar),TRANSPOSE(AG761:AK761)))</f>
        <v>0.1472345327489806</v>
      </c>
      <c r="AF761" s="22">
        <f t="shared" ca="1" si="33"/>
        <v>6.1708386101217358E-2</v>
      </c>
      <c r="AG761">
        <f ca="1"/>
        <v>0.78386777440868705</v>
      </c>
      <c r="AH761">
        <f ca="1"/>
        <v>-0.53257484797600907</v>
      </c>
      <c r="AI761">
        <f ca="1"/>
        <v>-0.29415709620728603</v>
      </c>
      <c r="AJ761">
        <f ca="1"/>
        <v>0.89799198950899528</v>
      </c>
      <c r="AK761">
        <f ca="1"/>
        <v>0.14487218026561274</v>
      </c>
      <c r="AN761" s="9">
        <v>0.10560929958385358</v>
      </c>
      <c r="AO761" s="9">
        <v>1.9731085573820945E-2</v>
      </c>
    </row>
    <row r="762" spans="28:41" x14ac:dyDescent="0.2">
      <c r="AB762" s="9"/>
      <c r="AC762" s="20"/>
      <c r="AE762" s="22" cm="1">
        <f t="array" aca="1" ref="AE762" ca="1">SQRT(MMULT(MMULT(AG762:AK762,var_covar),TRANSPOSE(AG762:AK762)))</f>
        <v>0.54187958983995699</v>
      </c>
      <c r="AF762" s="22">
        <f t="shared" ca="1" si="33"/>
        <v>6.3748466848109767E-2</v>
      </c>
      <c r="AG762">
        <f ca="1"/>
        <v>1.0669704342716073</v>
      </c>
      <c r="AH762">
        <f ca="1"/>
        <v>-0.99300726888712632</v>
      </c>
      <c r="AI762">
        <f ca="1"/>
        <v>1.9553574778389005</v>
      </c>
      <c r="AJ762">
        <f ca="1"/>
        <v>1.828911074267221</v>
      </c>
      <c r="AK762">
        <f ca="1"/>
        <v>-2.8582317174906029</v>
      </c>
      <c r="AN762" s="9">
        <v>0.1053413359498791</v>
      </c>
      <c r="AO762" s="9">
        <v>4.6403365526992549E-2</v>
      </c>
    </row>
    <row r="763" spans="28:41" x14ac:dyDescent="0.2">
      <c r="AB763" s="9"/>
      <c r="AC763" s="20"/>
      <c r="AE763" s="22" cm="1">
        <f t="array" aca="1" ref="AE763" ca="1">SQRT(MMULT(MMULT(AG763:AK763,var_covar),TRANSPOSE(AG763:AK763)))</f>
        <v>0.11852035339161268</v>
      </c>
      <c r="AF763" s="22">
        <f t="shared" ca="1" si="33"/>
        <v>2.4430476393063644E-2</v>
      </c>
      <c r="AG763">
        <f ca="1"/>
        <v>1.6409180585211902E-2</v>
      </c>
      <c r="AH763">
        <f ca="1"/>
        <v>0.12862758776877048</v>
      </c>
      <c r="AI763">
        <f ca="1"/>
        <v>0.83500744522714054</v>
      </c>
      <c r="AJ763">
        <f ca="1"/>
        <v>-0.31490054716199856</v>
      </c>
      <c r="AK763">
        <f ca="1"/>
        <v>0.33485633358087569</v>
      </c>
      <c r="AN763" s="9">
        <v>0.10533683164841455</v>
      </c>
      <c r="AO763" s="9">
        <v>4.4922574227383862E-2</v>
      </c>
    </row>
    <row r="764" spans="28:41" x14ac:dyDescent="0.2">
      <c r="AB764" s="9"/>
      <c r="AC764" s="20"/>
      <c r="AE764" s="22" cm="1">
        <f t="array" aca="1" ref="AE764" ca="1">SQRT(MMULT(MMULT(AG764:AK764,var_covar),TRANSPOSE(AG764:AK764)))</f>
        <v>0.10968033397713087</v>
      </c>
      <c r="AF764" s="22">
        <f t="shared" ca="1" si="33"/>
        <v>3.8196762383944649E-2</v>
      </c>
      <c r="AG764">
        <f ca="1"/>
        <v>-8.4326083971888247E-2</v>
      </c>
      <c r="AH764">
        <f ca="1"/>
        <v>8.7610924997729295E-2</v>
      </c>
      <c r="AI764">
        <f ca="1"/>
        <v>0.44586548989585983</v>
      </c>
      <c r="AJ764">
        <f ca="1"/>
        <v>0.19858073061615389</v>
      </c>
      <c r="AK764">
        <f ca="1"/>
        <v>0.35226893846214524</v>
      </c>
      <c r="AN764" s="9">
        <v>0.10530553048039704</v>
      </c>
      <c r="AO764" s="9">
        <v>4.141356490056413E-2</v>
      </c>
    </row>
    <row r="765" spans="28:41" x14ac:dyDescent="0.2">
      <c r="AB765" s="9"/>
      <c r="AC765" s="20"/>
      <c r="AE765" s="22" cm="1">
        <f t="array" aca="1" ref="AE765" ca="1">SQRT(MMULT(MMULT(AG765:AK765,var_covar),TRANSPOSE(AG765:AK765)))</f>
        <v>0.57489819023848399</v>
      </c>
      <c r="AF765" s="22">
        <f t="shared" ca="1" si="33"/>
        <v>-5.5645585771875741E-2</v>
      </c>
      <c r="AG765">
        <f ca="1"/>
        <v>0.79910258970007209</v>
      </c>
      <c r="AH765">
        <f ca="1"/>
        <v>1.4491069676897348</v>
      </c>
      <c r="AI765">
        <f ca="1"/>
        <v>3.5885711854847471</v>
      </c>
      <c r="AJ765">
        <f ca="1"/>
        <v>-2.0028381954049888</v>
      </c>
      <c r="AK765">
        <f ca="1"/>
        <v>-2.8339425474695648</v>
      </c>
      <c r="AN765" s="9">
        <v>0.10530506877349356</v>
      </c>
      <c r="AO765" s="9">
        <v>3.9652944185162575E-2</v>
      </c>
    </row>
    <row r="766" spans="28:41" x14ac:dyDescent="0.2">
      <c r="AB766" s="9"/>
      <c r="AC766" s="20"/>
      <c r="AE766" s="22" cm="1">
        <f t="array" aca="1" ref="AE766" ca="1">SQRT(MMULT(MMULT(AG766:AK766,var_covar),TRANSPOSE(AG766:AK766)))</f>
        <v>0.12182626981133443</v>
      </c>
      <c r="AF766" s="22">
        <f t="shared" ca="1" si="33"/>
        <v>5.243622055991104E-2</v>
      </c>
      <c r="AG766">
        <f ca="1"/>
        <v>3.0108155606420141E-2</v>
      </c>
      <c r="AH766">
        <f ca="1"/>
        <v>-0.12273923885991334</v>
      </c>
      <c r="AI766">
        <f ca="1"/>
        <v>0.25439766565640348</v>
      </c>
      <c r="AJ766">
        <f ca="1"/>
        <v>0.75937551755601485</v>
      </c>
      <c r="AK766">
        <f ca="1"/>
        <v>7.8857900041074819E-2</v>
      </c>
      <c r="AN766" s="9">
        <v>0.10511277558328484</v>
      </c>
      <c r="AO766" s="9">
        <v>3.0292979720756341E-2</v>
      </c>
    </row>
    <row r="767" spans="28:41" x14ac:dyDescent="0.2">
      <c r="AB767" s="9"/>
      <c r="AC767" s="20"/>
      <c r="AE767" s="22" cm="1">
        <f t="array" aca="1" ref="AE767" ca="1">SQRT(MMULT(MMULT(AG767:AK767,var_covar),TRANSPOSE(AG767:AK767)))</f>
        <v>0.20062939684226447</v>
      </c>
      <c r="AF767" s="22">
        <f t="shared" ca="1" si="33"/>
        <v>4.0189457120051925E-2</v>
      </c>
      <c r="AG767">
        <f ca="1"/>
        <v>-0.15889245258024912</v>
      </c>
      <c r="AH767">
        <f ca="1"/>
        <v>-0.34829092796342476</v>
      </c>
      <c r="AI767">
        <f ca="1"/>
        <v>0.52352691194908973</v>
      </c>
      <c r="AJ767">
        <f ca="1"/>
        <v>-7.1069888461888359E-2</v>
      </c>
      <c r="AK767">
        <f ca="1"/>
        <v>1.0547263570564727</v>
      </c>
      <c r="AN767" s="9">
        <v>0.10511032333916918</v>
      </c>
      <c r="AO767" s="9">
        <v>3.7552353718618002E-2</v>
      </c>
    </row>
    <row r="768" spans="28:41" x14ac:dyDescent="0.2">
      <c r="AB768" s="9"/>
      <c r="AC768" s="20"/>
      <c r="AE768" s="22" cm="1">
        <f t="array" aca="1" ref="AE768" ca="1">SQRT(MMULT(MMULT(AG768:AK768,var_covar),TRANSPOSE(AG768:AK768)))</f>
        <v>0.11617956803738776</v>
      </c>
      <c r="AF768" s="22">
        <f t="shared" ca="1" si="33"/>
        <v>1.6525182788411349E-2</v>
      </c>
      <c r="AG768">
        <f ca="1"/>
        <v>-0.26889763395112859</v>
      </c>
      <c r="AH768">
        <f ca="1"/>
        <v>1.0160368279678043</v>
      </c>
      <c r="AI768">
        <f ca="1"/>
        <v>0.28792170778156234</v>
      </c>
      <c r="AJ768">
        <f ca="1"/>
        <v>-0.33241968413059236</v>
      </c>
      <c r="AK768">
        <f ca="1"/>
        <v>0.29735878233235435</v>
      </c>
      <c r="AN768" s="9">
        <v>0.10500719453100507</v>
      </c>
      <c r="AO768" s="9">
        <v>2.7449988954878012E-2</v>
      </c>
    </row>
    <row r="769" spans="28:41" x14ac:dyDescent="0.2">
      <c r="AB769" s="9"/>
      <c r="AC769" s="20"/>
      <c r="AE769" s="22" cm="1">
        <f t="array" aca="1" ref="AE769" ca="1">SQRT(MMULT(MMULT(AG769:AK769,var_covar),TRANSPOSE(AG769:AK769)))</f>
        <v>0.14026666193779447</v>
      </c>
      <c r="AF769" s="22">
        <f t="shared" ca="1" si="33"/>
        <v>3.9787473901735898E-2</v>
      </c>
      <c r="AG769">
        <f ca="1"/>
        <v>-7.0468584170377505E-2</v>
      </c>
      <c r="AH769">
        <f ca="1"/>
        <v>0.87630629025742401</v>
      </c>
      <c r="AI769">
        <f ca="1"/>
        <v>-0.1318904968965984</v>
      </c>
      <c r="AJ769">
        <f ca="1"/>
        <v>0.71902845405884808</v>
      </c>
      <c r="AK769">
        <f ca="1"/>
        <v>-0.39297566324929617</v>
      </c>
      <c r="AN769" s="9">
        <v>0.10492702018262874</v>
      </c>
      <c r="AO769" s="9">
        <v>3.7267062860036247E-2</v>
      </c>
    </row>
    <row r="770" spans="28:41" x14ac:dyDescent="0.2">
      <c r="AB770" s="9"/>
      <c r="AC770" s="20"/>
      <c r="AE770" s="22" cm="1">
        <f t="array" aca="1" ref="AE770" ca="1">SQRT(MMULT(MMULT(AG770:AK770,var_covar),TRANSPOSE(AG770:AK770)))</f>
        <v>0.1240013312493294</v>
      </c>
      <c r="AF770" s="22">
        <f t="shared" ca="1" si="33"/>
        <v>1.7449418490076168E-2</v>
      </c>
      <c r="AG770">
        <f ca="1"/>
        <v>-0.22638025883288795</v>
      </c>
      <c r="AH770">
        <f ca="1"/>
        <v>0.83076203020752959</v>
      </c>
      <c r="AI770">
        <f ca="1"/>
        <v>0.34192448061335096</v>
      </c>
      <c r="AJ770">
        <f ca="1"/>
        <v>-0.40632509115599891</v>
      </c>
      <c r="AK770">
        <f ca="1"/>
        <v>0.46001883916800618</v>
      </c>
      <c r="AN770" s="9">
        <v>0.10489554863127749</v>
      </c>
      <c r="AO770" s="9">
        <v>1.9530093838247921E-2</v>
      </c>
    </row>
    <row r="771" spans="28:41" x14ac:dyDescent="0.2">
      <c r="AB771" s="9"/>
      <c r="AC771" s="20"/>
      <c r="AE771" s="22" cm="1">
        <f t="array" aca="1" ref="AE771" ca="1">SQRT(MMULT(MMULT(AG771:AK771,var_covar),TRANSPOSE(AG771:AK771)))</f>
        <v>0.11764968658443281</v>
      </c>
      <c r="AF771" s="22">
        <f t="shared" ca="1" si="33"/>
        <v>3.1447227867916261E-2</v>
      </c>
      <c r="AG771">
        <f ca="1"/>
        <v>0.49559090311659965</v>
      </c>
      <c r="AH771">
        <f ca="1"/>
        <v>-8.2754415099685188E-2</v>
      </c>
      <c r="AI771">
        <f ca="1"/>
        <v>0.29348101022046957</v>
      </c>
      <c r="AJ771">
        <f ca="1"/>
        <v>-0.21565104405381333</v>
      </c>
      <c r="AK771">
        <f ca="1"/>
        <v>0.5093335458164292</v>
      </c>
      <c r="AN771" s="9">
        <v>0.10477532710706984</v>
      </c>
      <c r="AO771" s="9">
        <v>3.9964242565426904E-2</v>
      </c>
    </row>
    <row r="772" spans="28:41" x14ac:dyDescent="0.2">
      <c r="AB772" s="9"/>
      <c r="AC772" s="20"/>
      <c r="AE772" s="22" cm="1">
        <f t="array" aca="1" ref="AE772" ca="1">SQRT(MMULT(MMULT(AG772:AK772,var_covar),TRANSPOSE(AG772:AK772)))</f>
        <v>0.10796217095616251</v>
      </c>
      <c r="AF772" s="22">
        <f t="shared" ref="AF772:AF835" ca="1" si="34">SUMPRODUCT(AG772:AK772,$S$2:$W$2)</f>
        <v>4.537582036541668E-2</v>
      </c>
      <c r="AG772">
        <f ca="1"/>
        <v>0.23548708772058002</v>
      </c>
      <c r="AH772">
        <f ca="1"/>
        <v>-5.4320069476866462E-2</v>
      </c>
      <c r="AI772">
        <f ca="1"/>
        <v>7.6964720257938962E-2</v>
      </c>
      <c r="AJ772">
        <f ca="1"/>
        <v>0.40207435761711119</v>
      </c>
      <c r="AK772">
        <f ca="1"/>
        <v>0.33979390388123637</v>
      </c>
      <c r="AN772" s="9">
        <v>0.10475024222820088</v>
      </c>
      <c r="AO772" s="9">
        <v>3.9256490741126415E-2</v>
      </c>
    </row>
    <row r="773" spans="28:41" x14ac:dyDescent="0.2">
      <c r="AB773" s="9"/>
      <c r="AC773" s="20"/>
      <c r="AE773" s="22" cm="1">
        <f t="array" aca="1" ref="AE773" ca="1">SQRT(MMULT(MMULT(AG773:AK773,var_covar),TRANSPOSE(AG773:AK773)))</f>
        <v>2.0918179274708262</v>
      </c>
      <c r="AF773" s="22">
        <f t="shared" ca="1" si="34"/>
        <v>0.17382274404282777</v>
      </c>
      <c r="AG773">
        <f ca="1"/>
        <v>-9.0794026568040351</v>
      </c>
      <c r="AH773">
        <f ca="1"/>
        <v>-0.65258032536729249</v>
      </c>
      <c r="AI773">
        <f ca="1"/>
        <v>-3.6491915608043644</v>
      </c>
      <c r="AJ773">
        <f ca="1"/>
        <v>2.0464813163788134</v>
      </c>
      <c r="AK773">
        <f ca="1"/>
        <v>12.334693226596878</v>
      </c>
      <c r="AN773" s="9">
        <v>0.10470525494543031</v>
      </c>
      <c r="AO773" s="9">
        <v>4.4837269710336553E-2</v>
      </c>
    </row>
    <row r="774" spans="28:41" x14ac:dyDescent="0.2">
      <c r="AB774" s="9"/>
      <c r="AC774" s="20"/>
      <c r="AE774" s="22" cm="1">
        <f t="array" aca="1" ref="AE774" ca="1">SQRT(MMULT(MMULT(AG774:AK774,var_covar),TRANSPOSE(AG774:AK774)))</f>
        <v>0.4125007769556025</v>
      </c>
      <c r="AF774" s="22">
        <f t="shared" ca="1" si="34"/>
        <v>8.6071540888925616E-2</v>
      </c>
      <c r="AG774">
        <f ca="1"/>
        <v>0.1017434984903392</v>
      </c>
      <c r="AH774">
        <f ca="1"/>
        <v>-0.41496247616106374</v>
      </c>
      <c r="AI774">
        <f ca="1"/>
        <v>0.56935567614380278</v>
      </c>
      <c r="AJ774">
        <f ca="1"/>
        <v>2.588447612605441</v>
      </c>
      <c r="AK774">
        <f ca="1"/>
        <v>-1.8445843110785194</v>
      </c>
      <c r="AN774" s="9">
        <v>0.10459126771387808</v>
      </c>
      <c r="AO774" s="9">
        <v>3.1453684870044435E-2</v>
      </c>
    </row>
    <row r="775" spans="28:41" x14ac:dyDescent="0.2">
      <c r="AB775" s="9"/>
      <c r="AC775" s="20"/>
      <c r="AE775" s="22" cm="1">
        <f t="array" aca="1" ref="AE775" ca="1">SQRT(MMULT(MMULT(AG775:AK775,var_covar),TRANSPOSE(AG775:AK775)))</f>
        <v>0.14080163262303649</v>
      </c>
      <c r="AF775" s="22">
        <f t="shared" ca="1" si="34"/>
        <v>4.005599765528297E-2</v>
      </c>
      <c r="AG775">
        <f ca="1"/>
        <v>4.434073048140523E-2</v>
      </c>
      <c r="AH775">
        <f ca="1"/>
        <v>0.67220596002430655</v>
      </c>
      <c r="AI775">
        <f ca="1"/>
        <v>8.8590799420413632E-2</v>
      </c>
      <c r="AJ775">
        <f ca="1"/>
        <v>0.69984219689105875</v>
      </c>
      <c r="AK775">
        <f ca="1"/>
        <v>-0.50497968681718408</v>
      </c>
      <c r="AN775" s="9">
        <v>0.10451880209899529</v>
      </c>
      <c r="AO775" s="9">
        <v>3.7888359847341228E-2</v>
      </c>
    </row>
    <row r="776" spans="28:41" x14ac:dyDescent="0.2">
      <c r="AB776" s="9"/>
      <c r="AC776" s="20"/>
      <c r="AE776" s="22" cm="1">
        <f t="array" aca="1" ref="AE776" ca="1">SQRT(MMULT(MMULT(AG776:AK776,var_covar),TRANSPOSE(AG776:AK776)))</f>
        <v>1141.1437416970055</v>
      </c>
      <c r="AF776" s="22">
        <f t="shared" ca="1" si="34"/>
        <v>10.485647896527865</v>
      </c>
      <c r="AG776">
        <f ca="1"/>
        <v>2039.5661966390289</v>
      </c>
      <c r="AH776">
        <f ca="1"/>
        <v>-738.41513234859201</v>
      </c>
      <c r="AI776">
        <f ca="1"/>
        <v>-5352.9085056091217</v>
      </c>
      <c r="AJ776">
        <f ca="1"/>
        <v>-2072.6396045831257</v>
      </c>
      <c r="AK776">
        <f ca="1"/>
        <v>6125.397045901811</v>
      </c>
      <c r="AN776" s="9">
        <v>0.10447483133860702</v>
      </c>
      <c r="AO776" s="9">
        <v>2.8901026930267082E-2</v>
      </c>
    </row>
    <row r="777" spans="28:41" x14ac:dyDescent="0.2">
      <c r="AB777" s="9"/>
      <c r="AC777" s="20"/>
      <c r="AE777" s="22" cm="1">
        <f t="array" aca="1" ref="AE777" ca="1">SQRT(MMULT(MMULT(AG777:AK777,var_covar),TRANSPOSE(AG777:AK777)))</f>
        <v>1.005715505332663</v>
      </c>
      <c r="AF777" s="22">
        <f t="shared" ca="1" si="34"/>
        <v>3.3212063118466251E-3</v>
      </c>
      <c r="AG777">
        <f ca="1"/>
        <v>-7.3241281331222741</v>
      </c>
      <c r="AH777">
        <f ca="1"/>
        <v>1.9684722897194848</v>
      </c>
      <c r="AI777">
        <f ca="1"/>
        <v>2.9149430590259411</v>
      </c>
      <c r="AJ777">
        <f ca="1"/>
        <v>-1.3361374157047685</v>
      </c>
      <c r="AK777">
        <f ca="1"/>
        <v>4.7768502000816158</v>
      </c>
      <c r="AN777" s="9">
        <v>0.10443129783037866</v>
      </c>
      <c r="AO777" s="9">
        <v>4.0107654854391328E-2</v>
      </c>
    </row>
    <row r="778" spans="28:41" x14ac:dyDescent="0.2">
      <c r="AB778" s="9"/>
      <c r="AC778" s="20"/>
      <c r="AE778" s="22" cm="1">
        <f t="array" aca="1" ref="AE778" ca="1">SQRT(MMULT(MMULT(AG778:AK778,var_covar),TRANSPOSE(AG778:AK778)))</f>
        <v>0.26161031600657936</v>
      </c>
      <c r="AF778" s="22">
        <f t="shared" ca="1" si="34"/>
        <v>5.6730354375303382E-2</v>
      </c>
      <c r="AG778">
        <f ca="1"/>
        <v>0.68922092945064284</v>
      </c>
      <c r="AH778">
        <f ca="1"/>
        <v>1.0447683727743349</v>
      </c>
      <c r="AI778">
        <f ca="1"/>
        <v>-1.423175417594237</v>
      </c>
      <c r="AJ778">
        <f ca="1"/>
        <v>1.446252396475413</v>
      </c>
      <c r="AK778">
        <f ca="1"/>
        <v>-0.75706628110615393</v>
      </c>
      <c r="AN778" s="9">
        <v>0.10417283093044329</v>
      </c>
      <c r="AO778" s="9">
        <v>4.6035800555763222E-2</v>
      </c>
    </row>
    <row r="779" spans="28:41" x14ac:dyDescent="0.2">
      <c r="AB779" s="9"/>
      <c r="AC779" s="20"/>
      <c r="AE779" s="22" cm="1">
        <f t="array" aca="1" ref="AE779" ca="1">SQRT(MMULT(MMULT(AG779:AK779,var_covar),TRANSPOSE(AG779:AK779)))</f>
        <v>0.29928861095490311</v>
      </c>
      <c r="AF779" s="22">
        <f t="shared" ca="1" si="34"/>
        <v>8.3842714976271493E-2</v>
      </c>
      <c r="AG779">
        <f ca="1"/>
        <v>-1.4896309528950413</v>
      </c>
      <c r="AH779">
        <f ca="1"/>
        <v>-0.61522234531732634</v>
      </c>
      <c r="AI779">
        <f ca="1"/>
        <v>1.1025395365957302</v>
      </c>
      <c r="AJ779">
        <f ca="1"/>
        <v>1.9973654458338714</v>
      </c>
      <c r="AK779">
        <f ca="1"/>
        <v>4.9483157827661549E-3</v>
      </c>
      <c r="AN779" s="9">
        <v>0.10415370694453926</v>
      </c>
      <c r="AO779" s="9">
        <v>3.5623623132617022E-2</v>
      </c>
    </row>
    <row r="780" spans="28:41" x14ac:dyDescent="0.2">
      <c r="AB780" s="9"/>
      <c r="AC780" s="20"/>
      <c r="AE780" s="22" cm="1">
        <f t="array" aca="1" ref="AE780" ca="1">SQRT(MMULT(MMULT(AG780:AK780,var_covar),TRANSPOSE(AG780:AK780)))</f>
        <v>9.229370210730263E-2</v>
      </c>
      <c r="AF780" s="22">
        <f t="shared" ca="1" si="34"/>
        <v>3.7887010658951358E-2</v>
      </c>
      <c r="AG780">
        <f ca="1"/>
        <v>0.25473993904990055</v>
      </c>
      <c r="AH780">
        <f ca="1"/>
        <v>0.14862857205769228</v>
      </c>
      <c r="AI780">
        <f ca="1"/>
        <v>0.12438070634346568</v>
      </c>
      <c r="AJ780">
        <f ca="1"/>
        <v>0.19169599590079531</v>
      </c>
      <c r="AK780">
        <f ca="1"/>
        <v>0.2805547866481462</v>
      </c>
      <c r="AN780" s="9">
        <v>0.10407033205487415</v>
      </c>
      <c r="AO780" s="9">
        <v>4.4472006988548425E-2</v>
      </c>
    </row>
    <row r="781" spans="28:41" x14ac:dyDescent="0.2">
      <c r="AB781" s="9"/>
      <c r="AC781" s="20"/>
      <c r="AE781" s="22" cm="1">
        <f t="array" aca="1" ref="AE781" ca="1">SQRT(MMULT(MMULT(AG781:AK781,var_covar),TRANSPOSE(AG781:AK781)))</f>
        <v>0.48575228357244138</v>
      </c>
      <c r="AF781" s="22">
        <f t="shared" ca="1" si="34"/>
        <v>-4.07244914619323E-2</v>
      </c>
      <c r="AG781">
        <f ca="1"/>
        <v>-1.7250126407719981</v>
      </c>
      <c r="AH781">
        <f ca="1"/>
        <v>1.9414732199425915</v>
      </c>
      <c r="AI781">
        <f ca="1"/>
        <v>1.3352097815151691</v>
      </c>
      <c r="AJ781">
        <f ca="1"/>
        <v>-2.7197770949190083</v>
      </c>
      <c r="AK781">
        <f ca="1"/>
        <v>2.1681067342332461</v>
      </c>
      <c r="AN781" s="9">
        <v>0.10402515956181212</v>
      </c>
      <c r="AO781" s="9">
        <v>4.7194645450655638E-2</v>
      </c>
    </row>
    <row r="782" spans="28:41" x14ac:dyDescent="0.2">
      <c r="AB782" s="9"/>
      <c r="AC782" s="20"/>
      <c r="AE782" s="22" cm="1">
        <f t="array" aca="1" ref="AE782" ca="1">SQRT(MMULT(MMULT(AG782:AK782,var_covar),TRANSPOSE(AG782:AK782)))</f>
        <v>9.2252056567376131E-2</v>
      </c>
      <c r="AF782" s="22">
        <f t="shared" ca="1" si="34"/>
        <v>2.8839613124064398E-2</v>
      </c>
      <c r="AG782">
        <f ca="1"/>
        <v>-7.5585468595532092E-3</v>
      </c>
      <c r="AH782">
        <f ca="1"/>
        <v>0.76711031286984677</v>
      </c>
      <c r="AI782">
        <f ca="1"/>
        <v>1.210013813237846E-2</v>
      </c>
      <c r="AJ782">
        <f ca="1"/>
        <v>9.22850545822579E-2</v>
      </c>
      <c r="AK782">
        <f ca="1"/>
        <v>0.13606304127507013</v>
      </c>
      <c r="AN782" s="9">
        <v>0.10401151793677256</v>
      </c>
      <c r="AO782" s="9">
        <v>2.6255378606998107E-2</v>
      </c>
    </row>
    <row r="783" spans="28:41" x14ac:dyDescent="0.2">
      <c r="AB783" s="9"/>
      <c r="AC783" s="20"/>
      <c r="AE783" s="22" cm="1">
        <f t="array" aca="1" ref="AE783" ca="1">SQRT(MMULT(MMULT(AG783:AK783,var_covar),TRANSPOSE(AG783:AK783)))</f>
        <v>2.3438450821280732</v>
      </c>
      <c r="AF783" s="22">
        <f t="shared" ca="1" si="34"/>
        <v>-0.35534736444376219</v>
      </c>
      <c r="AG783">
        <f ca="1"/>
        <v>-4.283083488369666</v>
      </c>
      <c r="AH783">
        <f ca="1"/>
        <v>9.2934128113382091</v>
      </c>
      <c r="AI783">
        <f ca="1"/>
        <v>14.557128590671736</v>
      </c>
      <c r="AJ783">
        <f ca="1"/>
        <v>-8.124590349400135</v>
      </c>
      <c r="AK783">
        <f ca="1"/>
        <v>-10.442867564240142</v>
      </c>
      <c r="AN783" s="9">
        <v>0.10396797702514722</v>
      </c>
      <c r="AO783" s="9">
        <v>4.1164189496799564E-2</v>
      </c>
    </row>
    <row r="784" spans="28:41" x14ac:dyDescent="0.2">
      <c r="AB784" s="9"/>
      <c r="AC784" s="20"/>
      <c r="AE784" s="22" cm="1">
        <f t="array" aca="1" ref="AE784" ca="1">SQRT(MMULT(MMULT(AG784:AK784,var_covar),TRANSPOSE(AG784:AK784)))</f>
        <v>0.32316827511063817</v>
      </c>
      <c r="AF784" s="22">
        <f t="shared" ca="1" si="34"/>
        <v>-3.9516475213805198E-2</v>
      </c>
      <c r="AG784">
        <f ca="1"/>
        <v>-0.80853141534543727</v>
      </c>
      <c r="AH784">
        <f ca="1"/>
        <v>1.4315745893821719</v>
      </c>
      <c r="AI784">
        <f ca="1"/>
        <v>2.6125419592467236</v>
      </c>
      <c r="AJ784">
        <f ca="1"/>
        <v>-2.1522667678672165</v>
      </c>
      <c r="AK784">
        <f ca="1"/>
        <v>-8.331836541624156E-2</v>
      </c>
      <c r="AN784" s="9">
        <v>0.10375212246970462</v>
      </c>
      <c r="AO784" s="9">
        <v>4.1897584633791979E-2</v>
      </c>
    </row>
    <row r="785" spans="28:41" x14ac:dyDescent="0.2">
      <c r="AB785" s="9"/>
      <c r="AC785" s="20"/>
      <c r="AE785" s="22" cm="1">
        <f t="array" aca="1" ref="AE785" ca="1">SQRT(MMULT(MMULT(AG785:AK785,var_covar),TRANSPOSE(AG785:AK785)))</f>
        <v>0.27433588063106312</v>
      </c>
      <c r="AF785" s="22">
        <f t="shared" ca="1" si="34"/>
        <v>6.6905003092046306E-2</v>
      </c>
      <c r="AG785">
        <f ca="1"/>
        <v>0.40599497097090431</v>
      </c>
      <c r="AH785">
        <f ca="1"/>
        <v>-2.0191928834868698</v>
      </c>
      <c r="AI785">
        <f ca="1"/>
        <v>1.5643177403446866</v>
      </c>
      <c r="AJ785">
        <f ca="1"/>
        <v>0.64902886058663456</v>
      </c>
      <c r="AK785">
        <f ca="1"/>
        <v>0.39985131158464421</v>
      </c>
      <c r="AN785" s="9">
        <v>0.10348603756094137</v>
      </c>
      <c r="AO785" s="9">
        <v>4.5536139062909396E-2</v>
      </c>
    </row>
    <row r="786" spans="28:41" x14ac:dyDescent="0.2">
      <c r="AB786" s="9"/>
      <c r="AC786" s="20"/>
      <c r="AE786" s="22" cm="1">
        <f t="array" aca="1" ref="AE786" ca="1">SQRT(MMULT(MMULT(AG786:AK786,var_covar),TRANSPOSE(AG786:AK786)))</f>
        <v>0.26885905302089697</v>
      </c>
      <c r="AF786" s="22">
        <f t="shared" ca="1" si="34"/>
        <v>6.0575314516552015E-2</v>
      </c>
      <c r="AG786">
        <f ca="1"/>
        <v>0.10865156223764519</v>
      </c>
      <c r="AH786">
        <f ca="1"/>
        <v>1.317010209474603</v>
      </c>
      <c r="AI786">
        <f ca="1"/>
        <v>-2.0256216554951365</v>
      </c>
      <c r="AJ786">
        <f ca="1"/>
        <v>1.4068543049684161</v>
      </c>
      <c r="AK786">
        <f ca="1"/>
        <v>0.19310557881447227</v>
      </c>
      <c r="AN786" s="9">
        <v>0.10317621244243527</v>
      </c>
      <c r="AO786" s="9">
        <v>4.2667532020304419E-2</v>
      </c>
    </row>
    <row r="787" spans="28:41" x14ac:dyDescent="0.2">
      <c r="AB787" s="9"/>
      <c r="AC787" s="20"/>
      <c r="AE787" s="22" cm="1">
        <f t="array" aca="1" ref="AE787" ca="1">SQRT(MMULT(MMULT(AG787:AK787,var_covar),TRANSPOSE(AG787:AK787)))</f>
        <v>0.13501555866907519</v>
      </c>
      <c r="AF787" s="22">
        <f t="shared" ca="1" si="34"/>
        <v>2.0686352734982091E-2</v>
      </c>
      <c r="AG787">
        <f ca="1"/>
        <v>0.61962978969613347</v>
      </c>
      <c r="AH787">
        <f ca="1"/>
        <v>-4.3667231156180923E-2</v>
      </c>
      <c r="AI787">
        <f ca="1"/>
        <v>1.1237282653339422</v>
      </c>
      <c r="AJ787">
        <f ca="1"/>
        <v>-0.32942433936108911</v>
      </c>
      <c r="AK787">
        <f ca="1"/>
        <v>-0.37026648451280569</v>
      </c>
      <c r="AN787" s="9">
        <v>0.10306373738271031</v>
      </c>
      <c r="AO787" s="9">
        <v>3.8295500904038743E-2</v>
      </c>
    </row>
    <row r="788" spans="28:41" x14ac:dyDescent="0.2">
      <c r="AB788" s="9"/>
      <c r="AC788" s="20"/>
      <c r="AE788" s="22" cm="1">
        <f t="array" aca="1" ref="AE788" ca="1">SQRT(MMULT(MMULT(AG788:AK788,var_covar),TRANSPOSE(AG788:AK788)))</f>
        <v>0.11951650798219522</v>
      </c>
      <c r="AF788" s="22">
        <f t="shared" ca="1" si="34"/>
        <v>4.2382681448188422E-2</v>
      </c>
      <c r="AG788">
        <f ca="1"/>
        <v>0.5144267202032865</v>
      </c>
      <c r="AH788">
        <f ca="1"/>
        <v>-0.19777398608408664</v>
      </c>
      <c r="AI788">
        <f ca="1"/>
        <v>2.2038533772898456E-2</v>
      </c>
      <c r="AJ788">
        <f ca="1"/>
        <v>0.17058845515391308</v>
      </c>
      <c r="AK788">
        <f ca="1"/>
        <v>0.49072027695398862</v>
      </c>
      <c r="AN788" s="9">
        <v>0.10280289292569943</v>
      </c>
      <c r="AO788" s="9">
        <v>2.969271221587207E-2</v>
      </c>
    </row>
    <row r="789" spans="28:41" x14ac:dyDescent="0.2">
      <c r="AB789" s="9"/>
      <c r="AC789" s="20"/>
      <c r="AE789" s="22" cm="1">
        <f t="array" aca="1" ref="AE789" ca="1">SQRT(MMULT(MMULT(AG789:AK789,var_covar),TRANSPOSE(AG789:AK789)))</f>
        <v>0.12184304613451244</v>
      </c>
      <c r="AF789" s="22">
        <f t="shared" ca="1" si="34"/>
        <v>4.2293217524581012E-2</v>
      </c>
      <c r="AG789">
        <f ca="1"/>
        <v>0.54242195280229277</v>
      </c>
      <c r="AH789">
        <f ca="1"/>
        <v>-0.24064055011658464</v>
      </c>
      <c r="AI789">
        <f ca="1"/>
        <v>0.58933246377000981</v>
      </c>
      <c r="AJ789">
        <f ca="1"/>
        <v>0.42257833531793354</v>
      </c>
      <c r="AK789">
        <f ca="1"/>
        <v>-0.31369220177365159</v>
      </c>
      <c r="AN789" s="9">
        <v>0.1027444965943026</v>
      </c>
      <c r="AO789" s="9">
        <v>2.4445089861086618E-2</v>
      </c>
    </row>
    <row r="790" spans="28:41" x14ac:dyDescent="0.2">
      <c r="AB790" s="9"/>
      <c r="AC790" s="20"/>
      <c r="AE790" s="22" cm="1">
        <f t="array" aca="1" ref="AE790" ca="1">SQRT(MMULT(MMULT(AG790:AK790,var_covar),TRANSPOSE(AG790:AK790)))</f>
        <v>1.333575695329237</v>
      </c>
      <c r="AF790" s="22">
        <f t="shared" ca="1" si="34"/>
        <v>0.11470988840206732</v>
      </c>
      <c r="AG790">
        <f ca="1"/>
        <v>12.290887295903554</v>
      </c>
      <c r="AH790">
        <f ca="1"/>
        <v>-12.004511767813728</v>
      </c>
      <c r="AI790">
        <f ca="1"/>
        <v>2.196428378520324</v>
      </c>
      <c r="AJ790">
        <f ca="1"/>
        <v>-1.2730829653630291</v>
      </c>
      <c r="AK790">
        <f ca="1"/>
        <v>-0.2097209412471214</v>
      </c>
      <c r="AN790" s="9">
        <v>0.10270224712424897</v>
      </c>
      <c r="AO790" s="9">
        <v>4.1675322244025224E-2</v>
      </c>
    </row>
    <row r="791" spans="28:41" x14ac:dyDescent="0.2">
      <c r="AB791" s="9"/>
      <c r="AC791" s="20"/>
      <c r="AE791" s="22" cm="1">
        <f t="array" aca="1" ref="AE791" ca="1">SQRT(MMULT(MMULT(AG791:AK791,var_covar),TRANSPOSE(AG791:AK791)))</f>
        <v>3.0411066456978961</v>
      </c>
      <c r="AF791" s="22">
        <f t="shared" ca="1" si="34"/>
        <v>0.15420539444579101</v>
      </c>
      <c r="AG791">
        <f ca="1"/>
        <v>-7.8949405067934064</v>
      </c>
      <c r="AH791">
        <f ca="1"/>
        <v>-13.182337149303951</v>
      </c>
      <c r="AI791">
        <f ca="1"/>
        <v>24.702631037230901</v>
      </c>
      <c r="AJ791">
        <f ca="1"/>
        <v>4.2637071385279297</v>
      </c>
      <c r="AK791">
        <f ca="1"/>
        <v>-6.8890605196614745</v>
      </c>
      <c r="AN791" s="9">
        <v>0.10255632995890464</v>
      </c>
      <c r="AO791" s="9">
        <v>3.4797547279746099E-2</v>
      </c>
    </row>
    <row r="792" spans="28:41" x14ac:dyDescent="0.2">
      <c r="AB792" s="9"/>
      <c r="AC792" s="20"/>
      <c r="AE792" s="22" cm="1">
        <f t="array" aca="1" ref="AE792" ca="1">SQRT(MMULT(MMULT(AG792:AK792,var_covar),TRANSPOSE(AG792:AK792)))</f>
        <v>0.14986070514793204</v>
      </c>
      <c r="AF792" s="22">
        <f t="shared" ca="1" si="34"/>
        <v>3.878822223410483E-2</v>
      </c>
      <c r="AG792">
        <f ca="1"/>
        <v>-0.83660258133819509</v>
      </c>
      <c r="AH792">
        <f ca="1"/>
        <v>0.87646940117333727</v>
      </c>
      <c r="AI792">
        <f ca="1"/>
        <v>0.4039415136186108</v>
      </c>
      <c r="AJ792">
        <f ca="1"/>
        <v>0.66732942764176673</v>
      </c>
      <c r="AK792">
        <f ca="1"/>
        <v>-0.11113776109551962</v>
      </c>
      <c r="AN792" s="9">
        <v>0.10251006305797546</v>
      </c>
      <c r="AO792" s="9">
        <v>3.2318786583165393E-2</v>
      </c>
    </row>
    <row r="793" spans="28:41" x14ac:dyDescent="0.2">
      <c r="AB793" s="9"/>
      <c r="AC793" s="20"/>
      <c r="AE793" s="22" cm="1">
        <f t="array" aca="1" ref="AE793" ca="1">SQRT(MMULT(MMULT(AG793:AK793,var_covar),TRANSPOSE(AG793:AK793)))</f>
        <v>8.8950067696391411E-2</v>
      </c>
      <c r="AF793" s="22">
        <f t="shared" ca="1" si="34"/>
        <v>3.6346957991510484E-2</v>
      </c>
      <c r="AG793">
        <f ca="1"/>
        <v>1.6819666013199067E-2</v>
      </c>
      <c r="AH793">
        <f ca="1"/>
        <v>0.34274305307831687</v>
      </c>
      <c r="AI793">
        <f ca="1"/>
        <v>0.27208817294686649</v>
      </c>
      <c r="AJ793">
        <f ca="1"/>
        <v>0.27273689572959692</v>
      </c>
      <c r="AK793">
        <f ca="1"/>
        <v>9.5612212232020669E-2</v>
      </c>
      <c r="AN793" s="9">
        <v>0.1024794119708827</v>
      </c>
      <c r="AO793" s="9">
        <v>3.8548519133510796E-2</v>
      </c>
    </row>
    <row r="794" spans="28:41" x14ac:dyDescent="0.2">
      <c r="AB794" s="9"/>
      <c r="AC794" s="20"/>
      <c r="AE794" s="22" cm="1">
        <f t="array" aca="1" ref="AE794" ca="1">SQRT(MMULT(MMULT(AG794:AK794,var_covar),TRANSPOSE(AG794:AK794)))</f>
        <v>1.4811079743555116</v>
      </c>
      <c r="AF794" s="22">
        <f t="shared" ca="1" si="34"/>
        <v>-6.203255392661354E-2</v>
      </c>
      <c r="AG794">
        <f ca="1"/>
        <v>9.3761278186882091</v>
      </c>
      <c r="AH794">
        <f ca="1"/>
        <v>-9.5155697642215671</v>
      </c>
      <c r="AI794">
        <f ca="1"/>
        <v>9.6899514096204147</v>
      </c>
      <c r="AJ794">
        <f ca="1"/>
        <v>-6.2798153025621737</v>
      </c>
      <c r="AK794">
        <f ca="1"/>
        <v>-2.2706941615248852</v>
      </c>
      <c r="AN794" s="9">
        <v>0.1023995810892022</v>
      </c>
      <c r="AO794" s="9">
        <v>3.9317243345624558E-2</v>
      </c>
    </row>
    <row r="795" spans="28:41" x14ac:dyDescent="0.2">
      <c r="AB795" s="9"/>
      <c r="AC795" s="20"/>
      <c r="AE795" s="22" cm="1">
        <f t="array" aca="1" ref="AE795" ca="1">SQRT(MMULT(MMULT(AG795:AK795,var_covar),TRANSPOSE(AG795:AK795)))</f>
        <v>0.17746973686341963</v>
      </c>
      <c r="AF795" s="22">
        <f t="shared" ca="1" si="34"/>
        <v>6.6473893416098967E-2</v>
      </c>
      <c r="AG795">
        <f ca="1"/>
        <v>0.99339725026485826</v>
      </c>
      <c r="AH795">
        <f ca="1"/>
        <v>-1.1697572072091869</v>
      </c>
      <c r="AI795">
        <f ca="1"/>
        <v>0.15901831385222367</v>
      </c>
      <c r="AJ795">
        <f ca="1"/>
        <v>0.89091481019173913</v>
      </c>
      <c r="AK795">
        <f ca="1"/>
        <v>0.12642683290036569</v>
      </c>
      <c r="AN795" s="9">
        <v>0.10235711094461683</v>
      </c>
      <c r="AO795" s="9">
        <v>4.5084271376257146E-2</v>
      </c>
    </row>
    <row r="796" spans="28:41" x14ac:dyDescent="0.2">
      <c r="AB796" s="9"/>
      <c r="AC796" s="20"/>
      <c r="AE796" s="22" cm="1">
        <f t="array" aca="1" ref="AE796" ca="1">SQRT(MMULT(MMULT(AG796:AK796,var_covar),TRANSPOSE(AG796:AK796)))</f>
        <v>0.41532161191561823</v>
      </c>
      <c r="AF796" s="22">
        <f t="shared" ca="1" si="34"/>
        <v>-2.5463599134762198E-2</v>
      </c>
      <c r="AG796">
        <f ca="1"/>
        <v>-0.41659263231387045</v>
      </c>
      <c r="AH796">
        <f ca="1"/>
        <v>3.4833059369736326</v>
      </c>
      <c r="AI796">
        <f ca="1"/>
        <v>0.33764018624510039</v>
      </c>
      <c r="AJ796">
        <f ca="1"/>
        <v>-0.50134945839948075</v>
      </c>
      <c r="AK796">
        <f ca="1"/>
        <v>-1.9030040325053819</v>
      </c>
      <c r="AN796" s="9">
        <v>0.10210248384115811</v>
      </c>
      <c r="AO796" s="9">
        <v>3.499780711690563E-2</v>
      </c>
    </row>
    <row r="797" spans="28:41" x14ac:dyDescent="0.2">
      <c r="AB797" s="9"/>
      <c r="AC797" s="20"/>
      <c r="AE797" s="22" cm="1">
        <f t="array" aca="1" ref="AE797" ca="1">SQRT(MMULT(MMULT(AG797:AK797,var_covar),TRANSPOSE(AG797:AK797)))</f>
        <v>0.22560772828582398</v>
      </c>
      <c r="AF797" s="22">
        <f t="shared" ca="1" si="34"/>
        <v>5.9410633701918479E-2</v>
      </c>
      <c r="AG797">
        <f ca="1"/>
        <v>-0.94878602174190341</v>
      </c>
      <c r="AH797">
        <f ca="1"/>
        <v>-9.353536989311359E-2</v>
      </c>
      <c r="AI797">
        <f ca="1"/>
        <v>0.19123248929629622</v>
      </c>
      <c r="AJ797">
        <f ca="1"/>
        <v>0.81099841571188369</v>
      </c>
      <c r="AK797">
        <f ca="1"/>
        <v>1.040090486626837</v>
      </c>
      <c r="AN797" s="9">
        <v>0.10203867523613863</v>
      </c>
      <c r="AO797" s="9">
        <v>2.9236268293062976E-2</v>
      </c>
    </row>
    <row r="798" spans="28:41" x14ac:dyDescent="0.2">
      <c r="AB798" s="9"/>
      <c r="AC798" s="20"/>
      <c r="AE798" s="22" cm="1">
        <f t="array" aca="1" ref="AE798" ca="1">SQRT(MMULT(MMULT(AG798:AK798,var_covar),TRANSPOSE(AG798:AK798)))</f>
        <v>9.6209654006854883E-2</v>
      </c>
      <c r="AF798" s="22">
        <f t="shared" ca="1" si="34"/>
        <v>2.1088068065280699E-2</v>
      </c>
      <c r="AG798">
        <f ca="1"/>
        <v>0.91461752211241643</v>
      </c>
      <c r="AH798">
        <f ca="1"/>
        <v>0.49912019097373467</v>
      </c>
      <c r="AI798">
        <f ca="1"/>
        <v>-2.3878379224952378E-2</v>
      </c>
      <c r="AJ798">
        <f ca="1"/>
        <v>-0.29023293829382096</v>
      </c>
      <c r="AK798">
        <f ca="1"/>
        <v>-9.9626395567377873E-2</v>
      </c>
      <c r="AN798" s="9">
        <v>0.10203027312561415</v>
      </c>
      <c r="AO798" s="9">
        <v>3.8335692449547223E-2</v>
      </c>
    </row>
    <row r="799" spans="28:41" x14ac:dyDescent="0.2">
      <c r="AB799" s="9"/>
      <c r="AC799" s="20"/>
      <c r="AE799" s="22" cm="1">
        <f t="array" aca="1" ref="AE799" ca="1">SQRT(MMULT(MMULT(AG799:AK799,var_covar),TRANSPOSE(AG799:AK799)))</f>
        <v>0.72955145275711342</v>
      </c>
      <c r="AF799" s="22">
        <f t="shared" ca="1" si="34"/>
        <v>-0.10548164727785123</v>
      </c>
      <c r="AG799">
        <f ca="1"/>
        <v>0.55154323575052533</v>
      </c>
      <c r="AH799">
        <f ca="1"/>
        <v>0.75236422739270281</v>
      </c>
      <c r="AI799">
        <f ca="1"/>
        <v>3.0187085920960195</v>
      </c>
      <c r="AJ799">
        <f ca="1"/>
        <v>-5.840863676886169</v>
      </c>
      <c r="AK799">
        <f ca="1"/>
        <v>2.5182476216469216</v>
      </c>
      <c r="AN799" s="9">
        <v>0.10190127769629602</v>
      </c>
      <c r="AO799" s="9">
        <v>4.0506621117148409E-2</v>
      </c>
    </row>
    <row r="800" spans="28:41" x14ac:dyDescent="0.2">
      <c r="AB800" s="9"/>
      <c r="AC800" s="20"/>
      <c r="AE800" s="22" cm="1">
        <f t="array" aca="1" ref="AE800" ca="1">SQRT(MMULT(MMULT(AG800:AK800,var_covar),TRANSPOSE(AG800:AK800)))</f>
        <v>0.21743012797593253</v>
      </c>
      <c r="AF800" s="22">
        <f t="shared" ca="1" si="34"/>
        <v>6.1793443279254366E-2</v>
      </c>
      <c r="AG800">
        <f ca="1"/>
        <v>0.96778288219731279</v>
      </c>
      <c r="AH800">
        <f ca="1"/>
        <v>-1.1206910171242987</v>
      </c>
      <c r="AI800">
        <f ca="1"/>
        <v>-0.24369053236917923</v>
      </c>
      <c r="AJ800">
        <f ca="1"/>
        <v>0.45746869678703816</v>
      </c>
      <c r="AK800">
        <f ca="1"/>
        <v>0.93912997050912705</v>
      </c>
      <c r="AN800" s="9">
        <v>0.10169029025390967</v>
      </c>
      <c r="AO800" s="9">
        <v>3.5320360569973029E-2</v>
      </c>
    </row>
    <row r="801" spans="28:41" x14ac:dyDescent="0.2">
      <c r="AB801" s="9"/>
      <c r="AC801" s="20"/>
      <c r="AE801" s="22" cm="1">
        <f t="array" aca="1" ref="AE801" ca="1">SQRT(MMULT(MMULT(AG801:AK801,var_covar),TRANSPOSE(AG801:AK801)))</f>
        <v>8.3553462674329421E-2</v>
      </c>
      <c r="AF801" s="22">
        <f t="shared" ca="1" si="34"/>
        <v>2.1253050311369658E-2</v>
      </c>
      <c r="AG801">
        <f ca="1"/>
        <v>0.46894627478088197</v>
      </c>
      <c r="AH801">
        <f ca="1"/>
        <v>0.65021931543398104</v>
      </c>
      <c r="AI801">
        <f ca="1"/>
        <v>0.1704168291021535</v>
      </c>
      <c r="AJ801">
        <f ca="1"/>
        <v>-0.19991356271955527</v>
      </c>
      <c r="AK801">
        <f ca="1"/>
        <v>-8.9668856597461266E-2</v>
      </c>
      <c r="AN801" s="9">
        <v>0.10168567612679866</v>
      </c>
      <c r="AO801" s="9">
        <v>4.3506013932698324E-2</v>
      </c>
    </row>
    <row r="802" spans="28:41" x14ac:dyDescent="0.2">
      <c r="AB802" s="9"/>
      <c r="AC802" s="20"/>
      <c r="AE802" s="22" cm="1">
        <f t="array" aca="1" ref="AE802" ca="1">SQRT(MMULT(MMULT(AG802:AK802,var_covar),TRANSPOSE(AG802:AK802)))</f>
        <v>9.2421838350925059E-2</v>
      </c>
      <c r="AF802" s="22">
        <f t="shared" ca="1" si="34"/>
        <v>2.9185140838421681E-2</v>
      </c>
      <c r="AG802">
        <f ca="1"/>
        <v>-7.665509930944818E-2</v>
      </c>
      <c r="AH802">
        <f ca="1"/>
        <v>0.41323441533837918</v>
      </c>
      <c r="AI802">
        <f ca="1"/>
        <v>0.49772530386438313</v>
      </c>
      <c r="AJ802">
        <f ca="1"/>
        <v>1.1422900418011316E-2</v>
      </c>
      <c r="AK802">
        <f ca="1"/>
        <v>0.15427247968867461</v>
      </c>
      <c r="AN802" s="9">
        <v>0.10159431146308082</v>
      </c>
      <c r="AO802" s="9">
        <v>2.165475281546388E-2</v>
      </c>
    </row>
    <row r="803" spans="28:41" x14ac:dyDescent="0.2">
      <c r="AB803" s="9"/>
      <c r="AC803" s="20"/>
      <c r="AE803" s="22" cm="1">
        <f t="array" aca="1" ref="AE803" ca="1">SQRT(MMULT(MMULT(AG803:AK803,var_covar),TRANSPOSE(AG803:AK803)))</f>
        <v>0.10148947214306088</v>
      </c>
      <c r="AF803" s="22">
        <f t="shared" ca="1" si="34"/>
        <v>4.4531325697782932E-2</v>
      </c>
      <c r="AG803">
        <f ca="1"/>
        <v>0.25010705034491187</v>
      </c>
      <c r="AH803">
        <f ca="1"/>
        <v>-0.11747115483278316</v>
      </c>
      <c r="AI803">
        <f ca="1"/>
        <v>0.29727285919393076</v>
      </c>
      <c r="AJ803">
        <f ca="1"/>
        <v>0.41295994040728001</v>
      </c>
      <c r="AK803">
        <f ca="1"/>
        <v>0.15713130488666066</v>
      </c>
      <c r="AN803" s="9">
        <v>0.10133153625092868</v>
      </c>
      <c r="AO803" s="9">
        <v>3.7999887251141964E-2</v>
      </c>
    </row>
    <row r="804" spans="28:41" x14ac:dyDescent="0.2">
      <c r="AB804" s="9"/>
      <c r="AC804" s="20"/>
      <c r="AE804" s="22" cm="1">
        <f t="array" aca="1" ref="AE804" ca="1">SQRT(MMULT(MMULT(AG804:AK804,var_covar),TRANSPOSE(AG804:AK804)))</f>
        <v>0.13516451088901588</v>
      </c>
      <c r="AF804" s="22">
        <f t="shared" ca="1" si="34"/>
        <v>4.3851322966249814E-2</v>
      </c>
      <c r="AG804">
        <f ca="1"/>
        <v>0.12404615998633538</v>
      </c>
      <c r="AH804">
        <f ca="1"/>
        <v>-0.17033512036347589</v>
      </c>
      <c r="AI804">
        <f ca="1"/>
        <v>0.19366962422380302</v>
      </c>
      <c r="AJ804">
        <f ca="1"/>
        <v>0.2302935367280726</v>
      </c>
      <c r="AK804">
        <f ca="1"/>
        <v>0.62232579942526478</v>
      </c>
      <c r="AN804" s="9">
        <v>0.10126789513829824</v>
      </c>
      <c r="AO804" s="9">
        <v>3.4285193277204917E-2</v>
      </c>
    </row>
    <row r="805" spans="28:41" x14ac:dyDescent="0.2">
      <c r="AB805" s="9"/>
      <c r="AC805" s="20"/>
      <c r="AE805" s="22" cm="1">
        <f t="array" aca="1" ref="AE805" ca="1">SQRT(MMULT(MMULT(AG805:AK805,var_covar),TRANSPOSE(AG805:AK805)))</f>
        <v>0.19660152207060172</v>
      </c>
      <c r="AF805" s="22">
        <f t="shared" ca="1" si="34"/>
        <v>3.2546860691069851E-2</v>
      </c>
      <c r="AG805">
        <f ca="1"/>
        <v>0.78343547681904258</v>
      </c>
      <c r="AH805">
        <f ca="1"/>
        <v>1.063842439298333</v>
      </c>
      <c r="AI805">
        <f ca="1"/>
        <v>-1.3971451009361326</v>
      </c>
      <c r="AJ805">
        <f ca="1"/>
        <v>0.13546815008482704</v>
      </c>
      <c r="AK805">
        <f ca="1"/>
        <v>0.41439903473393008</v>
      </c>
      <c r="AN805" s="9">
        <v>0.10107008854031964</v>
      </c>
      <c r="AO805" s="9">
        <v>2.0339200966898185E-2</v>
      </c>
    </row>
    <row r="806" spans="28:41" x14ac:dyDescent="0.2">
      <c r="AB806" s="9"/>
      <c r="AC806" s="20"/>
      <c r="AE806" s="22" cm="1">
        <f t="array" aca="1" ref="AE806" ca="1">SQRT(MMULT(MMULT(AG806:AK806,var_covar),TRANSPOSE(AG806:AK806)))</f>
        <v>0.34357147046272762</v>
      </c>
      <c r="AF806" s="22">
        <f t="shared" ca="1" si="34"/>
        <v>6.712399693353395E-2</v>
      </c>
      <c r="AG806">
        <f ca="1"/>
        <v>-0.49933412762963464</v>
      </c>
      <c r="AH806">
        <f ca="1"/>
        <v>-0.3171133860067944</v>
      </c>
      <c r="AI806">
        <f ca="1"/>
        <v>-0.82726532105366579</v>
      </c>
      <c r="AJ806">
        <f ca="1"/>
        <v>0.68768984980362646</v>
      </c>
      <c r="AK806">
        <f ca="1"/>
        <v>1.9560229848864685</v>
      </c>
      <c r="AN806" s="9">
        <v>0.10106266966524984</v>
      </c>
      <c r="AO806" s="9">
        <v>4.2419451195289642E-2</v>
      </c>
    </row>
    <row r="807" spans="28:41" x14ac:dyDescent="0.2">
      <c r="AB807" s="9"/>
      <c r="AC807" s="20"/>
      <c r="AE807" s="22" cm="1">
        <f t="array" aca="1" ref="AE807" ca="1">SQRT(MMULT(MMULT(AG807:AK807,var_covar),TRANSPOSE(AG807:AK807)))</f>
        <v>0.29379449737212171</v>
      </c>
      <c r="AF807" s="22">
        <f t="shared" ca="1" si="34"/>
        <v>5.4711757933809835E-2</v>
      </c>
      <c r="AG807">
        <f ca="1"/>
        <v>2.339230304380028</v>
      </c>
      <c r="AH807">
        <f ca="1"/>
        <v>-2.0600603811406009</v>
      </c>
      <c r="AI807">
        <f ca="1"/>
        <v>1.1233677535987237</v>
      </c>
      <c r="AJ807">
        <f ca="1"/>
        <v>0.36662812917840326</v>
      </c>
      <c r="AK807">
        <f ca="1"/>
        <v>-0.76916580601655404</v>
      </c>
      <c r="AN807" s="9">
        <v>0.10105524134587668</v>
      </c>
      <c r="AO807" s="9">
        <v>3.2776229677926219E-2</v>
      </c>
    </row>
    <row r="808" spans="28:41" x14ac:dyDescent="0.2">
      <c r="AB808" s="9"/>
      <c r="AC808" s="20"/>
      <c r="AE808" s="22" cm="1">
        <f t="array" aca="1" ref="AE808" ca="1">SQRT(MMULT(MMULT(AG808:AK808,var_covar),TRANSPOSE(AG808:AK808)))</f>
        <v>0.16735936699434389</v>
      </c>
      <c r="AF808" s="22">
        <f t="shared" ca="1" si="34"/>
        <v>3.29956358941174E-2</v>
      </c>
      <c r="AG808">
        <f ca="1"/>
        <v>0.59181528408963513</v>
      </c>
      <c r="AH808">
        <f ca="1"/>
        <v>-0.23754697850273282</v>
      </c>
      <c r="AI808">
        <f ca="1"/>
        <v>0.10704286185470373</v>
      </c>
      <c r="AJ808">
        <f ca="1"/>
        <v>-0.32913402610333453</v>
      </c>
      <c r="AK808">
        <f ca="1"/>
        <v>0.86782285866172848</v>
      </c>
      <c r="AN808" s="9">
        <v>0.1009964911298273</v>
      </c>
      <c r="AO808" s="9">
        <v>4.5690797290195637E-2</v>
      </c>
    </row>
    <row r="809" spans="28:41" x14ac:dyDescent="0.2">
      <c r="AB809" s="9"/>
      <c r="AC809" s="20"/>
      <c r="AE809" s="22" cm="1">
        <f t="array" aca="1" ref="AE809" ca="1">SQRT(MMULT(MMULT(AG809:AK809,var_covar),TRANSPOSE(AG809:AK809)))</f>
        <v>0.67060656782850081</v>
      </c>
      <c r="AF809" s="22">
        <f t="shared" ca="1" si="34"/>
        <v>-1.0274566712490135E-2</v>
      </c>
      <c r="AG809">
        <f ca="1"/>
        <v>0.76126361367453244</v>
      </c>
      <c r="AH809">
        <f ca="1"/>
        <v>3.0265209181674839</v>
      </c>
      <c r="AI809">
        <f ca="1"/>
        <v>0.60720596204378841</v>
      </c>
      <c r="AJ809">
        <f ca="1"/>
        <v>0.49066197402503026</v>
      </c>
      <c r="AK809">
        <f ca="1"/>
        <v>-3.8856524679108349</v>
      </c>
      <c r="AN809" s="9">
        <v>0.10064699731046689</v>
      </c>
      <c r="AO809" s="9">
        <v>4.3812942182104943E-2</v>
      </c>
    </row>
    <row r="810" spans="28:41" x14ac:dyDescent="0.2">
      <c r="AB810" s="9"/>
      <c r="AC810" s="20"/>
      <c r="AE810" s="22" cm="1">
        <f t="array" aca="1" ref="AE810" ca="1">SQRT(MMULT(MMULT(AG810:AK810,var_covar),TRANSPOSE(AG810:AK810)))</f>
        <v>0.21559840971420086</v>
      </c>
      <c r="AF810" s="22">
        <f t="shared" ca="1" si="34"/>
        <v>3.2785335784751242E-2</v>
      </c>
      <c r="AG810">
        <f ca="1"/>
        <v>0.27499934300806644</v>
      </c>
      <c r="AH810">
        <f ca="1"/>
        <v>1.6655068142829232</v>
      </c>
      <c r="AI810">
        <f ca="1"/>
        <v>-1.5008542227416355</v>
      </c>
      <c r="AJ810">
        <f ca="1"/>
        <v>0.46733881526342647</v>
      </c>
      <c r="AK810">
        <f ca="1"/>
        <v>9.3009250187219256E-2</v>
      </c>
      <c r="AN810" s="9">
        <v>0.10058434638739479</v>
      </c>
      <c r="AO810" s="9">
        <v>3.7601542456272938E-2</v>
      </c>
    </row>
    <row r="811" spans="28:41" x14ac:dyDescent="0.2">
      <c r="AB811" s="9"/>
      <c r="AC811" s="20"/>
      <c r="AE811" s="22" cm="1">
        <f t="array" aca="1" ref="AE811" ca="1">SQRT(MMULT(MMULT(AG811:AK811,var_covar),TRANSPOSE(AG811:AK811)))</f>
        <v>0.11621076466775368</v>
      </c>
      <c r="AF811" s="22">
        <f t="shared" ca="1" si="34"/>
        <v>4.3711532265972269E-2</v>
      </c>
      <c r="AG811">
        <f ca="1"/>
        <v>0.22333822721146365</v>
      </c>
      <c r="AH811">
        <f ca="1"/>
        <v>-0.250325113315643</v>
      </c>
      <c r="AI811">
        <f ca="1"/>
        <v>0.37248799411563832</v>
      </c>
      <c r="AJ811">
        <f ca="1"/>
        <v>0.27431380075235845</v>
      </c>
      <c r="AK811">
        <f ca="1"/>
        <v>0.38018509123618255</v>
      </c>
      <c r="AN811" s="9">
        <v>0.10051100702438785</v>
      </c>
      <c r="AO811" s="9">
        <v>1.5395236594341598E-2</v>
      </c>
    </row>
    <row r="812" spans="28:41" x14ac:dyDescent="0.2">
      <c r="AB812" s="9"/>
      <c r="AC812" s="20"/>
      <c r="AE812" s="22" cm="1">
        <f t="array" aca="1" ref="AE812" ca="1">SQRT(MMULT(MMULT(AG812:AK812,var_covar),TRANSPOSE(AG812:AK812)))</f>
        <v>0.16936479321790357</v>
      </c>
      <c r="AF812" s="22">
        <f t="shared" ca="1" si="34"/>
        <v>6.1046146450744201E-2</v>
      </c>
      <c r="AG812">
        <f ca="1"/>
        <v>0.13407692269918597</v>
      </c>
      <c r="AH812">
        <f ca="1"/>
        <v>4.9143146653944349E-2</v>
      </c>
      <c r="AI812">
        <f ca="1"/>
        <v>-5.6722547148241577E-2</v>
      </c>
      <c r="AJ812">
        <f ca="1"/>
        <v>1.283756694048428</v>
      </c>
      <c r="AK812">
        <f ca="1"/>
        <v>-0.41025421625331676</v>
      </c>
      <c r="AN812" s="9">
        <v>0.1004849755743813</v>
      </c>
      <c r="AO812" s="9">
        <v>4.2830793503625807E-2</v>
      </c>
    </row>
    <row r="813" spans="28:41" x14ac:dyDescent="0.2">
      <c r="AB813" s="9"/>
      <c r="AC813" s="20"/>
      <c r="AE813" s="22" cm="1">
        <f t="array" aca="1" ref="AE813" ca="1">SQRT(MMULT(MMULT(AG813:AK813,var_covar),TRANSPOSE(AG813:AK813)))</f>
        <v>0.17003109437359651</v>
      </c>
      <c r="AF813" s="22">
        <f t="shared" ca="1" si="34"/>
        <v>5.7623045081733743E-2</v>
      </c>
      <c r="AG813">
        <f ca="1"/>
        <v>-0.58657820700468966</v>
      </c>
      <c r="AH813">
        <f ca="1"/>
        <v>-0.17096511421650315</v>
      </c>
      <c r="AI813">
        <f ca="1"/>
        <v>0.37432413337059889</v>
      </c>
      <c r="AJ813">
        <f ca="1"/>
        <v>0.85701084635699298</v>
      </c>
      <c r="AK813">
        <f ca="1"/>
        <v>0.52620834149360085</v>
      </c>
      <c r="AN813" s="9">
        <v>0.10046829485850628</v>
      </c>
      <c r="AO813" s="9">
        <v>4.2573332636810415E-2</v>
      </c>
    </row>
    <row r="814" spans="28:41" x14ac:dyDescent="0.2">
      <c r="AB814" s="9"/>
      <c r="AC814" s="20"/>
      <c r="AE814" s="22" cm="1">
        <f t="array" aca="1" ref="AE814" ca="1">SQRT(MMULT(MMULT(AG814:AK814,var_covar),TRANSPOSE(AG814:AK814)))</f>
        <v>0.38018327790195916</v>
      </c>
      <c r="AF814" s="22">
        <f t="shared" ca="1" si="34"/>
        <v>9.6947096535904387E-2</v>
      </c>
      <c r="AG814">
        <f ca="1"/>
        <v>-1.8592821988343939</v>
      </c>
      <c r="AH814">
        <f ca="1"/>
        <v>-1.4441251882759094</v>
      </c>
      <c r="AI814">
        <f ca="1"/>
        <v>1.5146947159075395</v>
      </c>
      <c r="AJ814">
        <f ca="1"/>
        <v>2.0683314341326335</v>
      </c>
      <c r="AK814">
        <f ca="1"/>
        <v>0.72038123707013069</v>
      </c>
      <c r="AN814" s="9">
        <v>0.10042774925026125</v>
      </c>
      <c r="AO814" s="9">
        <v>4.1615471242470455E-2</v>
      </c>
    </row>
    <row r="815" spans="28:41" x14ac:dyDescent="0.2">
      <c r="AB815" s="9"/>
      <c r="AC815" s="20"/>
      <c r="AE815" s="22" cm="1">
        <f t="array" aca="1" ref="AE815" ca="1">SQRT(MMULT(MMULT(AG815:AK815,var_covar),TRANSPOSE(AG815:AK815)))</f>
        <v>0.1228459874145008</v>
      </c>
      <c r="AF815" s="22">
        <f t="shared" ca="1" si="34"/>
        <v>2.7532979988391097E-2</v>
      </c>
      <c r="AG815">
        <f ca="1"/>
        <v>-0.2951906600049517</v>
      </c>
      <c r="AH815">
        <f ca="1"/>
        <v>0.76171135850321459</v>
      </c>
      <c r="AI815">
        <f ca="1"/>
        <v>8.3481605573130183E-2</v>
      </c>
      <c r="AJ815">
        <f ca="1"/>
        <v>-5.0515312048783158E-2</v>
      </c>
      <c r="AK815">
        <f ca="1"/>
        <v>0.50051300797739007</v>
      </c>
      <c r="AN815" s="9">
        <v>0.10036094020747084</v>
      </c>
      <c r="AO815" s="9">
        <v>4.1573070743258868E-2</v>
      </c>
    </row>
    <row r="816" spans="28:41" x14ac:dyDescent="0.2">
      <c r="AB816" s="9"/>
      <c r="AC816" s="20"/>
      <c r="AE816" s="22" cm="1">
        <f t="array" aca="1" ref="AE816" ca="1">SQRT(MMULT(MMULT(AG816:AK816,var_covar),TRANSPOSE(AG816:AK816)))</f>
        <v>0.15045495095383518</v>
      </c>
      <c r="AF816" s="22">
        <f t="shared" ca="1" si="34"/>
        <v>2.4589205890581802E-2</v>
      </c>
      <c r="AG816">
        <f ca="1"/>
        <v>0.57868171460906082</v>
      </c>
      <c r="AH816">
        <f ca="1"/>
        <v>0.30573893399934865</v>
      </c>
      <c r="AI816">
        <f ca="1"/>
        <v>0.8038172826437211</v>
      </c>
      <c r="AJ816">
        <f ca="1"/>
        <v>3.4236142733820495E-2</v>
      </c>
      <c r="AK816">
        <f ca="1"/>
        <v>-0.72247407398595109</v>
      </c>
      <c r="AN816" s="9">
        <v>0.10028871152557911</v>
      </c>
      <c r="AO816" s="9">
        <v>2.7667378965033795E-2</v>
      </c>
    </row>
    <row r="817" spans="28:41" x14ac:dyDescent="0.2">
      <c r="AB817" s="9"/>
      <c r="AC817" s="20"/>
      <c r="AE817" s="22" cm="1">
        <f t="array" aca="1" ref="AE817" ca="1">SQRT(MMULT(MMULT(AG817:AK817,var_covar),TRANSPOSE(AG817:AK817)))</f>
        <v>0.26255678220791845</v>
      </c>
      <c r="AF817" s="22">
        <f t="shared" ca="1" si="34"/>
        <v>8.7255873454054889E-2</v>
      </c>
      <c r="AG817">
        <f ca="1"/>
        <v>1.0459668844780312</v>
      </c>
      <c r="AH817">
        <f ca="1"/>
        <v>-1.9698247511353422</v>
      </c>
      <c r="AI817">
        <f ca="1"/>
        <v>0.46894559475199615</v>
      </c>
      <c r="AJ817">
        <f ca="1"/>
        <v>1.5190085163927924</v>
      </c>
      <c r="AK817">
        <f ca="1"/>
        <v>-6.409624448747743E-2</v>
      </c>
      <c r="AN817" s="9">
        <v>0.10028098190940171</v>
      </c>
      <c r="AO817" s="9">
        <v>4.1887649692186425E-2</v>
      </c>
    </row>
    <row r="818" spans="28:41" x14ac:dyDescent="0.2">
      <c r="AB818" s="9"/>
      <c r="AC818" s="20"/>
      <c r="AE818" s="22" cm="1">
        <f t="array" aca="1" ref="AE818" ca="1">SQRT(MMULT(MMULT(AG818:AK818,var_covar),TRANSPOSE(AG818:AK818)))</f>
        <v>0.58298934909967759</v>
      </c>
      <c r="AF818" s="22">
        <f t="shared" ca="1" si="34"/>
        <v>-3.1860403325049864E-2</v>
      </c>
      <c r="AG818">
        <f ca="1"/>
        <v>2.8219258108482097</v>
      </c>
      <c r="AH818">
        <f ca="1"/>
        <v>-2.7831754746068014</v>
      </c>
      <c r="AI818">
        <f ca="1"/>
        <v>3.8355886513638029</v>
      </c>
      <c r="AJ818">
        <f ca="1"/>
        <v>-3.6727406851641433</v>
      </c>
      <c r="AK818">
        <f ca="1"/>
        <v>0.79840169755893142</v>
      </c>
      <c r="AN818" s="9">
        <v>0.10010833874210072</v>
      </c>
      <c r="AO818" s="9">
        <v>4.0247416603341669E-2</v>
      </c>
    </row>
    <row r="819" spans="28:41" x14ac:dyDescent="0.2">
      <c r="AB819" s="9"/>
      <c r="AC819" s="20"/>
      <c r="AE819" s="22" cm="1">
        <f t="array" aca="1" ref="AE819" ca="1">SQRT(MMULT(MMULT(AG819:AK819,var_covar),TRANSPOSE(AG819:AK819)))</f>
        <v>0.12262488389045845</v>
      </c>
      <c r="AF819" s="22">
        <f t="shared" ca="1" si="34"/>
        <v>3.8873513741460496E-2</v>
      </c>
      <c r="AG819">
        <f ca="1"/>
        <v>9.4229168453584589E-2</v>
      </c>
      <c r="AH819">
        <f ca="1"/>
        <v>-0.14890274057696473</v>
      </c>
      <c r="AI819">
        <f ca="1"/>
        <v>0.47212401139169008</v>
      </c>
      <c r="AJ819">
        <f ca="1"/>
        <v>9.7186791337881703E-2</v>
      </c>
      <c r="AK819">
        <f ca="1"/>
        <v>0.48536276939380846</v>
      </c>
      <c r="AN819" s="9">
        <v>9.9886302577551253E-2</v>
      </c>
      <c r="AO819" s="9">
        <v>4.1513829670846394E-2</v>
      </c>
    </row>
    <row r="820" spans="28:41" x14ac:dyDescent="0.2">
      <c r="AB820" s="9"/>
      <c r="AC820" s="20"/>
      <c r="AE820" s="22" cm="1">
        <f t="array" aca="1" ref="AE820" ca="1">SQRT(MMULT(MMULT(AG820:AK820,var_covar),TRANSPOSE(AG820:AK820)))</f>
        <v>0.11232790376331256</v>
      </c>
      <c r="AF820" s="22">
        <f t="shared" ca="1" si="34"/>
        <v>4.8392769166506505E-2</v>
      </c>
      <c r="AG820">
        <f ca="1"/>
        <v>0.40266150386711369</v>
      </c>
      <c r="AH820">
        <f ca="1"/>
        <v>6.035258007265594E-2</v>
      </c>
      <c r="AI820">
        <f ca="1"/>
        <v>-0.27745341464575579</v>
      </c>
      <c r="AJ820">
        <f ca="1"/>
        <v>0.55675830704668483</v>
      </c>
      <c r="AK820">
        <f ca="1"/>
        <v>0.2576810236593014</v>
      </c>
      <c r="AN820" s="9">
        <v>9.9880466947174298E-2</v>
      </c>
      <c r="AO820" s="9">
        <v>4.219586105110483E-2</v>
      </c>
    </row>
    <row r="821" spans="28:41" x14ac:dyDescent="0.2">
      <c r="AB821" s="9"/>
      <c r="AC821" s="20"/>
      <c r="AE821" s="22" cm="1">
        <f t="array" aca="1" ref="AE821" ca="1">SQRT(MMULT(MMULT(AG821:AK821,var_covar),TRANSPOSE(AG821:AK821)))</f>
        <v>0.27301598524909199</v>
      </c>
      <c r="AF821" s="22">
        <f t="shared" ca="1" si="34"/>
        <v>2.3153568545592973E-2</v>
      </c>
      <c r="AG821">
        <f ca="1"/>
        <v>0.5095065765282657</v>
      </c>
      <c r="AH821">
        <f ca="1"/>
        <v>-0.37728338144293994</v>
      </c>
      <c r="AI821">
        <f ca="1"/>
        <v>0.30763917784519285</v>
      </c>
      <c r="AJ821">
        <f ca="1"/>
        <v>-0.94257474486548332</v>
      </c>
      <c r="AK821">
        <f ca="1"/>
        <v>1.5027123719349647</v>
      </c>
      <c r="AN821" s="9">
        <v>9.9798603927836738E-2</v>
      </c>
      <c r="AO821" s="9">
        <v>4.0668561980244544E-2</v>
      </c>
    </row>
    <row r="822" spans="28:41" x14ac:dyDescent="0.2">
      <c r="AB822" s="9"/>
      <c r="AC822" s="20"/>
      <c r="AE822" s="22" cm="1">
        <f t="array" aca="1" ref="AE822" ca="1">SQRT(MMULT(MMULT(AG822:AK822,var_covar),TRANSPOSE(AG822:AK822)))</f>
        <v>0.19896160733058837</v>
      </c>
      <c r="AF822" s="22">
        <f t="shared" ca="1" si="34"/>
        <v>7.9520377332369233E-2</v>
      </c>
      <c r="AG822">
        <f ca="1"/>
        <v>0.33372859695622636</v>
      </c>
      <c r="AH822">
        <f ca="1"/>
        <v>-0.83717838387769039</v>
      </c>
      <c r="AI822">
        <f ca="1"/>
        <v>-0.15257047645619912</v>
      </c>
      <c r="AJ822">
        <f ca="1"/>
        <v>1.5485089656120907</v>
      </c>
      <c r="AK822">
        <f ca="1"/>
        <v>0.10751129776557251</v>
      </c>
      <c r="AN822" s="9">
        <v>9.9664836378346416E-2</v>
      </c>
      <c r="AO822" s="9">
        <v>3.7676440153155105E-2</v>
      </c>
    </row>
    <row r="823" spans="28:41" x14ac:dyDescent="0.2">
      <c r="AB823" s="9"/>
      <c r="AC823" s="20"/>
      <c r="AE823" s="22" cm="1">
        <f t="array" aca="1" ref="AE823" ca="1">SQRT(MMULT(MMULT(AG823:AK823,var_covar),TRANSPOSE(AG823:AK823)))</f>
        <v>0.11043342902551563</v>
      </c>
      <c r="AF823" s="22">
        <f t="shared" ca="1" si="34"/>
        <v>1.415333996020836E-2</v>
      </c>
      <c r="AG823">
        <f ca="1"/>
        <v>0.40625116038034864</v>
      </c>
      <c r="AH823">
        <f ca="1"/>
        <v>0.80145549435735386</v>
      </c>
      <c r="AI823">
        <f ca="1"/>
        <v>3.9016543733303287E-2</v>
      </c>
      <c r="AJ823">
        <f ca="1"/>
        <v>-0.55384757807607476</v>
      </c>
      <c r="AK823">
        <f ca="1"/>
        <v>0.30712437960506889</v>
      </c>
      <c r="AN823" s="9">
        <v>9.9656804714346403E-2</v>
      </c>
      <c r="AO823" s="9">
        <v>3.067803648987116E-2</v>
      </c>
    </row>
    <row r="824" spans="28:41" x14ac:dyDescent="0.2">
      <c r="AB824" s="9"/>
      <c r="AC824" s="20"/>
      <c r="AE824" s="22" cm="1">
        <f t="array" aca="1" ref="AE824" ca="1">SQRT(MMULT(MMULT(AG824:AK824,var_covar),TRANSPOSE(AG824:AK824)))</f>
        <v>7.9391964554380662E-2</v>
      </c>
      <c r="AF824" s="22">
        <f t="shared" ca="1" si="34"/>
        <v>3.3672465308346021E-2</v>
      </c>
      <c r="AG824">
        <f ca="1"/>
        <v>0.32245379205055025</v>
      </c>
      <c r="AH824">
        <f ca="1"/>
        <v>0.26747372797774627</v>
      </c>
      <c r="AI824">
        <f ca="1"/>
        <v>0.19919917719679181</v>
      </c>
      <c r="AJ824">
        <f ca="1"/>
        <v>0.12151602204746498</v>
      </c>
      <c r="AK824">
        <f ca="1"/>
        <v>8.9357280727446753E-2</v>
      </c>
      <c r="AN824" s="9">
        <v>9.9190340699686089E-2</v>
      </c>
      <c r="AO824" s="9">
        <v>4.4199931252012416E-2</v>
      </c>
    </row>
    <row r="825" spans="28:41" x14ac:dyDescent="0.2">
      <c r="AB825" s="9"/>
      <c r="AC825" s="20"/>
      <c r="AE825" s="22" cm="1">
        <f t="array" aca="1" ref="AE825" ca="1">SQRT(MMULT(MMULT(AG825:AK825,var_covar),TRANSPOSE(AG825:AK825)))</f>
        <v>0.10571844164586938</v>
      </c>
      <c r="AF825" s="22">
        <f t="shared" ca="1" si="34"/>
        <v>2.8710381310831506E-2</v>
      </c>
      <c r="AG825">
        <f ca="1"/>
        <v>0.24827434463073259</v>
      </c>
      <c r="AH825">
        <f ca="1"/>
        <v>0.69518440526292113</v>
      </c>
      <c r="AI825">
        <f ca="1"/>
        <v>0.21254804071666808</v>
      </c>
      <c r="AJ825">
        <f ca="1"/>
        <v>0.20940711467985021</v>
      </c>
      <c r="AK825">
        <f ca="1"/>
        <v>-0.36541390529017204</v>
      </c>
      <c r="AN825" s="9">
        <v>9.909359438590512E-2</v>
      </c>
      <c r="AO825" s="9">
        <v>4.2675877263534771E-2</v>
      </c>
    </row>
    <row r="826" spans="28:41" x14ac:dyDescent="0.2">
      <c r="AB826" s="9"/>
      <c r="AC826" s="20"/>
      <c r="AE826" s="22" cm="1">
        <f t="array" aca="1" ref="AE826" ca="1">SQRT(MMULT(MMULT(AG826:AK826,var_covar),TRANSPOSE(AG826:AK826)))</f>
        <v>0.25154099281639086</v>
      </c>
      <c r="AF826" s="22">
        <f t="shared" ca="1" si="34"/>
        <v>8.0960280478547753E-2</v>
      </c>
      <c r="AG826">
        <f ca="1"/>
        <v>-0.16495108371923323</v>
      </c>
      <c r="AH826">
        <f ca="1"/>
        <v>-1.4437737904626822</v>
      </c>
      <c r="AI826">
        <f ca="1"/>
        <v>0.97360674915845613</v>
      </c>
      <c r="AJ826">
        <f ca="1"/>
        <v>1.4745322157989971</v>
      </c>
      <c r="AK826">
        <f ca="1"/>
        <v>0.16058590922446231</v>
      </c>
      <c r="AN826" s="9">
        <v>9.9081398974287499E-2</v>
      </c>
      <c r="AO826" s="9">
        <v>4.0208240782404717E-2</v>
      </c>
    </row>
    <row r="827" spans="28:41" x14ac:dyDescent="0.2">
      <c r="AB827" s="9"/>
      <c r="AC827" s="20"/>
      <c r="AE827" s="22" cm="1">
        <f t="array" aca="1" ref="AE827" ca="1">SQRT(MMULT(MMULT(AG827:AK827,var_covar),TRANSPOSE(AG827:AK827)))</f>
        <v>0.12897303092790996</v>
      </c>
      <c r="AF827" s="22">
        <f t="shared" ca="1" si="34"/>
        <v>5.127729040054111E-2</v>
      </c>
      <c r="AG827">
        <f ca="1"/>
        <v>9.3267720696283543E-2</v>
      </c>
      <c r="AH827">
        <f ca="1"/>
        <v>-1.8818446614150334E-2</v>
      </c>
      <c r="AI827">
        <f ca="1"/>
        <v>0.30189369119447673</v>
      </c>
      <c r="AJ827">
        <f ca="1"/>
        <v>0.83385665254805119</v>
      </c>
      <c r="AK827">
        <f ca="1"/>
        <v>-0.21019961782466121</v>
      </c>
      <c r="AN827" s="9">
        <v>9.8896794733789289E-2</v>
      </c>
      <c r="AO827" s="9">
        <v>3.057396939884905E-2</v>
      </c>
    </row>
    <row r="828" spans="28:41" x14ac:dyDescent="0.2">
      <c r="AB828" s="9"/>
      <c r="AC828" s="20"/>
      <c r="AE828" s="22" cm="1">
        <f t="array" aca="1" ref="AE828" ca="1">SQRT(MMULT(MMULT(AG828:AK828,var_covar),TRANSPOSE(AG828:AK828)))</f>
        <v>0.80209968698835765</v>
      </c>
      <c r="AF828" s="22">
        <f t="shared" ca="1" si="34"/>
        <v>7.734861905171253E-2</v>
      </c>
      <c r="AG828">
        <f ca="1"/>
        <v>-2.8133812200958337</v>
      </c>
      <c r="AH828">
        <f ca="1"/>
        <v>-2.5810011943998648</v>
      </c>
      <c r="AI828">
        <f ca="1"/>
        <v>2.1982618336860993</v>
      </c>
      <c r="AJ828">
        <f ca="1"/>
        <v>-6.412201492285044E-2</v>
      </c>
      <c r="AK828">
        <f ca="1"/>
        <v>4.2602425957324499</v>
      </c>
      <c r="AN828" s="9">
        <v>9.8771772457454041E-2</v>
      </c>
      <c r="AO828" s="9">
        <v>2.8323889688873082E-2</v>
      </c>
    </row>
    <row r="829" spans="28:41" x14ac:dyDescent="0.2">
      <c r="AB829" s="9"/>
      <c r="AC829" s="20"/>
      <c r="AE829" s="22" cm="1">
        <f t="array" aca="1" ref="AE829" ca="1">SQRT(MMULT(MMULT(AG829:AK829,var_covar),TRANSPOSE(AG829:AK829)))</f>
        <v>0.17641622731946235</v>
      </c>
      <c r="AF829" s="22">
        <f t="shared" ca="1" si="34"/>
        <v>2.5681559794302131E-2</v>
      </c>
      <c r="AG829">
        <f ca="1"/>
        <v>0.79154373034470393</v>
      </c>
      <c r="AH829">
        <f ca="1"/>
        <v>-6.9009139098730563E-2</v>
      </c>
      <c r="AI829">
        <f ca="1"/>
        <v>-2.2641749173976079E-2</v>
      </c>
      <c r="AJ829">
        <f ca="1"/>
        <v>-0.58770191192932419</v>
      </c>
      <c r="AK829">
        <f ca="1"/>
        <v>0.88780906985732688</v>
      </c>
      <c r="AN829" s="9">
        <v>9.8707399363664614E-2</v>
      </c>
      <c r="AO829" s="9">
        <v>4.487509893100218E-2</v>
      </c>
    </row>
    <row r="830" spans="28:41" x14ac:dyDescent="0.2">
      <c r="AB830" s="9"/>
      <c r="AC830" s="20"/>
      <c r="AE830" s="22" cm="1">
        <f t="array" aca="1" ref="AE830" ca="1">SQRT(MMULT(MMULT(AG830:AK830,var_covar),TRANSPOSE(AG830:AK830)))</f>
        <v>9.1229353296556903E-2</v>
      </c>
      <c r="AF830" s="22">
        <f t="shared" ca="1" si="34"/>
        <v>3.9181911457734926E-2</v>
      </c>
      <c r="AG830">
        <f ca="1"/>
        <v>0.73471193430255732</v>
      </c>
      <c r="AH830">
        <f ca="1"/>
        <v>3.0832895763746083E-2</v>
      </c>
      <c r="AI830">
        <f ca="1"/>
        <v>-3.9934705530476476E-2</v>
      </c>
      <c r="AJ830">
        <f ca="1"/>
        <v>0.24160686431906114</v>
      </c>
      <c r="AK830">
        <f ca="1"/>
        <v>3.2783011145112097E-2</v>
      </c>
      <c r="AN830" s="9">
        <v>9.8691848382383596E-2</v>
      </c>
      <c r="AO830" s="9">
        <v>3.9621250354197758E-2</v>
      </c>
    </row>
    <row r="831" spans="28:41" x14ac:dyDescent="0.2">
      <c r="AB831" s="9"/>
      <c r="AC831" s="20"/>
      <c r="AE831" s="22" cm="1">
        <f t="array" aca="1" ref="AE831" ca="1">SQRT(MMULT(MMULT(AG831:AK831,var_covar),TRANSPOSE(AG831:AK831)))</f>
        <v>0.23873402887908557</v>
      </c>
      <c r="AF831" s="22">
        <f t="shared" ca="1" si="34"/>
        <v>-3.1003860729074614E-2</v>
      </c>
      <c r="AG831">
        <f ca="1"/>
        <v>-0.18076869820579558</v>
      </c>
      <c r="AH831">
        <f ca="1"/>
        <v>1.9123858653743222</v>
      </c>
      <c r="AI831">
        <f ca="1"/>
        <v>1.2819788829265564</v>
      </c>
      <c r="AJ831">
        <f ca="1"/>
        <v>-1.6856215907554026</v>
      </c>
      <c r="AK831">
        <f ca="1"/>
        <v>-0.32797445933968045</v>
      </c>
      <c r="AN831" s="9">
        <v>9.8645778288508221E-2</v>
      </c>
      <c r="AO831" s="9">
        <v>4.3556582651965853E-2</v>
      </c>
    </row>
    <row r="832" spans="28:41" x14ac:dyDescent="0.2">
      <c r="AB832" s="9"/>
      <c r="AC832" s="20"/>
      <c r="AE832" s="22" cm="1">
        <f t="array" aca="1" ref="AE832" ca="1">SQRT(MMULT(MMULT(AG832:AK832,var_covar),TRANSPOSE(AG832:AK832)))</f>
        <v>9.2007952676376265E-2</v>
      </c>
      <c r="AF832" s="22">
        <f t="shared" ca="1" si="34"/>
        <v>2.3277404978646905E-2</v>
      </c>
      <c r="AG832">
        <f ca="1"/>
        <v>0.1233758860649358</v>
      </c>
      <c r="AH832">
        <f ca="1"/>
        <v>0.43259610451558872</v>
      </c>
      <c r="AI832">
        <f ca="1"/>
        <v>0.45867898946303204</v>
      </c>
      <c r="AJ832">
        <f ca="1"/>
        <v>-0.25698887484448513</v>
      </c>
      <c r="AK832">
        <f ca="1"/>
        <v>0.24233789480092854</v>
      </c>
      <c r="AN832" s="9">
        <v>9.8541301492265448E-2</v>
      </c>
      <c r="AO832" s="9">
        <v>2.1365536602818584E-2</v>
      </c>
    </row>
    <row r="833" spans="28:41" x14ac:dyDescent="0.2">
      <c r="AB833" s="9"/>
      <c r="AC833" s="20"/>
      <c r="AE833" s="22" cm="1">
        <f t="array" aca="1" ref="AE833" ca="1">SQRT(MMULT(MMULT(AG833:AK833,var_covar),TRANSPOSE(AG833:AK833)))</f>
        <v>0.12350896405391444</v>
      </c>
      <c r="AF833" s="22">
        <f t="shared" ca="1" si="34"/>
        <v>3.6437639441096847E-2</v>
      </c>
      <c r="AG833">
        <f ca="1"/>
        <v>-0.39332968304903759</v>
      </c>
      <c r="AH833">
        <f ca="1"/>
        <v>0.83117178961242444</v>
      </c>
      <c r="AI833">
        <f ca="1"/>
        <v>0.19811911233272822</v>
      </c>
      <c r="AJ833">
        <f ca="1"/>
        <v>0.54236086417887053</v>
      </c>
      <c r="AK833">
        <f ca="1"/>
        <v>-0.17832208307498568</v>
      </c>
      <c r="AN833" s="9">
        <v>9.8402989982095651E-2</v>
      </c>
      <c r="AO833" s="9">
        <v>1.780219675998089E-2</v>
      </c>
    </row>
    <row r="834" spans="28:41" x14ac:dyDescent="0.2">
      <c r="AB834" s="9"/>
      <c r="AC834" s="20"/>
      <c r="AE834" s="22" cm="1">
        <f t="array" aca="1" ref="AE834" ca="1">SQRT(MMULT(MMULT(AG834:AK834,var_covar),TRANSPOSE(AG834:AK834)))</f>
        <v>9.6220415422798383E-2</v>
      </c>
      <c r="AF834" s="22">
        <f t="shared" ca="1" si="34"/>
        <v>3.6152084787132603E-2</v>
      </c>
      <c r="AG834">
        <f ca="1"/>
        <v>0.25513688289784664</v>
      </c>
      <c r="AH834">
        <f ca="1"/>
        <v>-4.8728262917042409E-2</v>
      </c>
      <c r="AI834">
        <f ca="1"/>
        <v>0.48504779375942764</v>
      </c>
      <c r="AJ834">
        <f ca="1"/>
        <v>9.5922252027338839E-2</v>
      </c>
      <c r="AK834">
        <f ca="1"/>
        <v>0.21262133423242935</v>
      </c>
      <c r="AN834" s="9">
        <v>9.8253989087990837E-2</v>
      </c>
      <c r="AO834" s="9">
        <v>2.1514559029521037E-2</v>
      </c>
    </row>
    <row r="835" spans="28:41" x14ac:dyDescent="0.2">
      <c r="AB835" s="9"/>
      <c r="AC835" s="20"/>
      <c r="AE835" s="22" cm="1">
        <f t="array" aca="1" ref="AE835" ca="1">SQRT(MMULT(MMULT(AG835:AK835,var_covar),TRANSPOSE(AG835:AK835)))</f>
        <v>0.14873223977318292</v>
      </c>
      <c r="AF835" s="22">
        <f t="shared" ca="1" si="34"/>
        <v>2.8955448088439823E-2</v>
      </c>
      <c r="AG835">
        <f ca="1"/>
        <v>1.4090655200417153</v>
      </c>
      <c r="AH835">
        <f ca="1"/>
        <v>-0.61932499904487515</v>
      </c>
      <c r="AI835">
        <f ca="1"/>
        <v>0.37726001327683512</v>
      </c>
      <c r="AJ835">
        <f ca="1"/>
        <v>-0.48604810787113828</v>
      </c>
      <c r="AK835">
        <f ca="1"/>
        <v>0.319047573597463</v>
      </c>
      <c r="AN835" s="9">
        <v>9.8241663309595231E-2</v>
      </c>
      <c r="AO835" s="9">
        <v>3.5463889150988262E-2</v>
      </c>
    </row>
    <row r="836" spans="28:41" x14ac:dyDescent="0.2">
      <c r="AB836" s="9"/>
      <c r="AC836" s="20"/>
      <c r="AE836" s="22" cm="1">
        <f t="array" aca="1" ref="AE836" ca="1">SQRT(MMULT(MMULT(AG836:AK836,var_covar),TRANSPOSE(AG836:AK836)))</f>
        <v>8.8349620288225156E-2</v>
      </c>
      <c r="AF836" s="22">
        <f t="shared" ref="AF836:AF899" ca="1" si="35">SUMPRODUCT(AG836:AK836,$S$2:$W$2)</f>
        <v>2.5039859151157615E-2</v>
      </c>
      <c r="AG836">
        <f ca="1"/>
        <v>0.20017189632291141</v>
      </c>
      <c r="AH836">
        <f ca="1"/>
        <v>0.29289366252643145</v>
      </c>
      <c r="AI836">
        <f ca="1"/>
        <v>0.62199016425383202</v>
      </c>
      <c r="AJ836">
        <f ca="1"/>
        <v>-0.17479789233586251</v>
      </c>
      <c r="AK836">
        <f ca="1"/>
        <v>5.9742169232687575E-2</v>
      </c>
      <c r="AN836" s="9">
        <v>9.8194599812644556E-2</v>
      </c>
      <c r="AO836" s="9">
        <v>2.0197303290635397E-2</v>
      </c>
    </row>
    <row r="837" spans="28:41" x14ac:dyDescent="0.2">
      <c r="AB837" s="9"/>
      <c r="AC837" s="20"/>
      <c r="AE837" s="22" cm="1">
        <f t="array" aca="1" ref="AE837" ca="1">SQRT(MMULT(MMULT(AG837:AK837,var_covar),TRANSPOSE(AG837:AK837)))</f>
        <v>0.64120426441428147</v>
      </c>
      <c r="AF837" s="22">
        <f t="shared" ca="1" si="35"/>
        <v>-2.9132165818662181E-2</v>
      </c>
      <c r="AG837">
        <f ca="1"/>
        <v>-0.46728269364909658</v>
      </c>
      <c r="AH837">
        <f ca="1"/>
        <v>-0.28096923210074165</v>
      </c>
      <c r="AI837">
        <f ca="1"/>
        <v>5.5718142368380832</v>
      </c>
      <c r="AJ837">
        <f ca="1"/>
        <v>-1.5070134296238835</v>
      </c>
      <c r="AK837">
        <f ca="1"/>
        <v>-2.3165488814643616</v>
      </c>
      <c r="AN837" s="9">
        <v>9.7899813585855366E-2</v>
      </c>
      <c r="AO837" s="9">
        <v>3.9766426958803752E-2</v>
      </c>
    </row>
    <row r="838" spans="28:41" x14ac:dyDescent="0.2">
      <c r="AB838" s="9"/>
      <c r="AC838" s="20"/>
      <c r="AE838" s="22" cm="1">
        <f t="array" aca="1" ref="AE838" ca="1">SQRT(MMULT(MMULT(AG838:AK838,var_covar),TRANSPOSE(AG838:AK838)))</f>
        <v>9.4366722122511557E-2</v>
      </c>
      <c r="AF838" s="22">
        <f t="shared" ca="1" si="35"/>
        <v>4.0830931458208583E-2</v>
      </c>
      <c r="AG838">
        <f ca="1"/>
        <v>0.27562523471741995</v>
      </c>
      <c r="AH838">
        <f ca="1"/>
        <v>0.2085997174374325</v>
      </c>
      <c r="AI838">
        <f ca="1"/>
        <v>-5.1401691052858994E-2</v>
      </c>
      <c r="AJ838">
        <f ca="1"/>
        <v>0.33197202421589073</v>
      </c>
      <c r="AK838">
        <f ca="1"/>
        <v>0.23520471468211587</v>
      </c>
      <c r="AN838" s="9">
        <v>9.7662198349032558E-2</v>
      </c>
      <c r="AO838" s="9">
        <v>2.5585022381350207E-2</v>
      </c>
    </row>
    <row r="839" spans="28:41" x14ac:dyDescent="0.2">
      <c r="AB839" s="9"/>
      <c r="AC839" s="20"/>
      <c r="AE839" s="22" cm="1">
        <f t="array" aca="1" ref="AE839" ca="1">SQRT(MMULT(MMULT(AG839:AK839,var_covar),TRANSPOSE(AG839:AK839)))</f>
        <v>8.7156608495556426E-2</v>
      </c>
      <c r="AF839" s="22">
        <f t="shared" ca="1" si="35"/>
        <v>3.2830167952245984E-2</v>
      </c>
      <c r="AG839">
        <f ca="1"/>
        <v>-1.2619916752832869E-2</v>
      </c>
      <c r="AH839">
        <f ca="1"/>
        <v>0.4309563246362888</v>
      </c>
      <c r="AI839">
        <f ca="1"/>
        <v>0.31861780036003712</v>
      </c>
      <c r="AJ839">
        <f ca="1"/>
        <v>0.16640446234922179</v>
      </c>
      <c r="AK839">
        <f ca="1"/>
        <v>9.6641329407285148E-2</v>
      </c>
      <c r="AN839" s="9">
        <v>9.750734987783638E-2</v>
      </c>
      <c r="AO839" s="9">
        <v>3.6891279679442647E-2</v>
      </c>
    </row>
    <row r="840" spans="28:41" x14ac:dyDescent="0.2">
      <c r="AB840" s="9"/>
      <c r="AC840" s="20"/>
      <c r="AE840" s="22" cm="1">
        <f t="array" aca="1" ref="AE840" ca="1">SQRT(MMULT(MMULT(AG840:AK840,var_covar),TRANSPOSE(AG840:AK840)))</f>
        <v>0.11165378899697928</v>
      </c>
      <c r="AF840" s="22">
        <f t="shared" ca="1" si="35"/>
        <v>4.5607769718061124E-2</v>
      </c>
      <c r="AG840">
        <f ca="1"/>
        <v>0.39793278567476348</v>
      </c>
      <c r="AH840">
        <f ca="1"/>
        <v>0.36615845061010788</v>
      </c>
      <c r="AI840">
        <f ca="1"/>
        <v>-0.38960003935265286</v>
      </c>
      <c r="AJ840">
        <f ca="1"/>
        <v>0.6182568134414278</v>
      </c>
      <c r="AK840">
        <f ca="1"/>
        <v>7.2519896263537435E-3</v>
      </c>
      <c r="AN840" s="9">
        <v>9.7500388563442397E-2</v>
      </c>
      <c r="AO840" s="9">
        <v>3.221466328784197E-2</v>
      </c>
    </row>
    <row r="841" spans="28:41" x14ac:dyDescent="0.2">
      <c r="AB841" s="9"/>
      <c r="AC841" s="20"/>
      <c r="AE841" s="22" cm="1">
        <f t="array" aca="1" ref="AE841" ca="1">SQRT(MMULT(MMULT(AG841:AK841,var_covar),TRANSPOSE(AG841:AK841)))</f>
        <v>0.16627831706823756</v>
      </c>
      <c r="AF841" s="22">
        <f t="shared" ca="1" si="35"/>
        <v>-1.6496661395396899E-3</v>
      </c>
      <c r="AG841">
        <f ca="1"/>
        <v>1.156820969149265</v>
      </c>
      <c r="AH841">
        <f ca="1"/>
        <v>0.57772974366098095</v>
      </c>
      <c r="AI841">
        <f ca="1"/>
        <v>0.83145747576012163</v>
      </c>
      <c r="AJ841">
        <f ca="1"/>
        <v>-0.99489472061602424</v>
      </c>
      <c r="AK841">
        <f ca="1"/>
        <v>-0.57111346795434359</v>
      </c>
      <c r="AN841" s="9">
        <v>9.7191020170548564E-2</v>
      </c>
      <c r="AO841" s="9">
        <v>2.5154434143534545E-2</v>
      </c>
    </row>
    <row r="842" spans="28:41" x14ac:dyDescent="0.2">
      <c r="AB842" s="9"/>
      <c r="AC842" s="20"/>
      <c r="AE842" s="22" cm="1">
        <f t="array" aca="1" ref="AE842" ca="1">SQRT(MMULT(MMULT(AG842:AK842,var_covar),TRANSPOSE(AG842:AK842)))</f>
        <v>0.13195223281435375</v>
      </c>
      <c r="AF842" s="22">
        <f t="shared" ca="1" si="35"/>
        <v>3.96428056988972E-2</v>
      </c>
      <c r="AG842">
        <f ca="1"/>
        <v>0.39078127470562979</v>
      </c>
      <c r="AH842">
        <f ca="1"/>
        <v>-0.13099091945435373</v>
      </c>
      <c r="AI842">
        <f ca="1"/>
        <v>5.4737083584493772E-2</v>
      </c>
      <c r="AJ842">
        <f ca="1"/>
        <v>4.9283580623408034E-2</v>
      </c>
      <c r="AK842">
        <f ca="1"/>
        <v>0.63618898054082207</v>
      </c>
      <c r="AN842" s="9">
        <v>9.6805936078902644E-2</v>
      </c>
      <c r="AO842" s="9">
        <v>3.8594378115454325E-2</v>
      </c>
    </row>
    <row r="843" spans="28:41" x14ac:dyDescent="0.2">
      <c r="AB843" s="9"/>
      <c r="AC843" s="20"/>
      <c r="AE843" s="22" cm="1">
        <f t="array" aca="1" ref="AE843" ca="1">SQRT(MMULT(MMULT(AG843:AK843,var_covar),TRANSPOSE(AG843:AK843)))</f>
        <v>9.9473686900000011E-2</v>
      </c>
      <c r="AF843" s="22">
        <f t="shared" ca="1" si="35"/>
        <v>4.4385702902562635E-2</v>
      </c>
      <c r="AG843">
        <f ca="1"/>
        <v>0.21933526361629127</v>
      </c>
      <c r="AH843">
        <f ca="1"/>
        <v>0.14018998368507643</v>
      </c>
      <c r="AI843">
        <f ca="1"/>
        <v>-3.2976254943757187E-2</v>
      </c>
      <c r="AJ843">
        <f ca="1"/>
        <v>0.46153522995475516</v>
      </c>
      <c r="AK843">
        <f ca="1"/>
        <v>0.21191577768763448</v>
      </c>
      <c r="AN843" s="9">
        <v>9.6774189442213818E-2</v>
      </c>
      <c r="AO843" s="9">
        <v>3.1556841716433678E-2</v>
      </c>
    </row>
    <row r="844" spans="28:41" x14ac:dyDescent="0.2">
      <c r="AB844" s="9"/>
      <c r="AC844" s="20"/>
      <c r="AE844" s="22" cm="1">
        <f t="array" aca="1" ref="AE844" ca="1">SQRT(MMULT(MMULT(AG844:AK844,var_covar),TRANSPOSE(AG844:AK844)))</f>
        <v>0.12335403097924894</v>
      </c>
      <c r="AF844" s="22">
        <f t="shared" ca="1" si="35"/>
        <v>3.5024392711305398E-2</v>
      </c>
      <c r="AG844">
        <f ca="1"/>
        <v>0.26997823602656956</v>
      </c>
      <c r="AH844">
        <f ca="1"/>
        <v>7.8314780888301891E-2</v>
      </c>
      <c r="AI844">
        <f ca="1"/>
        <v>9.3930487343873562E-2</v>
      </c>
      <c r="AJ844">
        <f ca="1"/>
        <v>-4.4935057839223441E-2</v>
      </c>
      <c r="AK844">
        <f ca="1"/>
        <v>0.60271155358047845</v>
      </c>
      <c r="AN844" s="9">
        <v>9.6734765498746239E-2</v>
      </c>
      <c r="AO844" s="9">
        <v>1.6149413456568937E-2</v>
      </c>
    </row>
    <row r="845" spans="28:41" x14ac:dyDescent="0.2">
      <c r="AB845" s="9"/>
      <c r="AC845" s="20"/>
      <c r="AE845" s="22" cm="1">
        <f t="array" aca="1" ref="AE845" ca="1">SQRT(MMULT(MMULT(AG845:AK845,var_covar),TRANSPOSE(AG845:AK845)))</f>
        <v>0.15771620922407603</v>
      </c>
      <c r="AF845" s="22">
        <f t="shared" ca="1" si="35"/>
        <v>3.3105037442169666E-2</v>
      </c>
      <c r="AG845">
        <f ca="1"/>
        <v>-0.4248144405231018</v>
      </c>
      <c r="AH845">
        <f ca="1"/>
        <v>0.60986552923674897</v>
      </c>
      <c r="AI845">
        <f ca="1"/>
        <v>-1.2855779483774758E-2</v>
      </c>
      <c r="AJ845">
        <f ca="1"/>
        <v>3.4473140228567456E-2</v>
      </c>
      <c r="AK845">
        <f ca="1"/>
        <v>0.79333155054156024</v>
      </c>
      <c r="AN845" s="9">
        <v>9.6716945343263749E-2</v>
      </c>
      <c r="AO845" s="9">
        <v>3.3071461984760679E-2</v>
      </c>
    </row>
    <row r="846" spans="28:41" x14ac:dyDescent="0.2">
      <c r="AB846" s="9"/>
      <c r="AC846" s="20"/>
      <c r="AE846" s="22" cm="1">
        <f t="array" aca="1" ref="AE846" ca="1">SQRT(MMULT(MMULT(AG846:AK846,var_covar),TRANSPOSE(AG846:AK846)))</f>
        <v>0.51070938328067406</v>
      </c>
      <c r="AF846" s="22">
        <f t="shared" ca="1" si="35"/>
        <v>3.7571395362795246E-2</v>
      </c>
      <c r="AG846">
        <f ca="1"/>
        <v>-1.6204551309727047</v>
      </c>
      <c r="AH846">
        <f ca="1"/>
        <v>0.93681310955971331</v>
      </c>
      <c r="AI846">
        <f ca="1"/>
        <v>-0.99314247580046866</v>
      </c>
      <c r="AJ846">
        <f ca="1"/>
        <v>-0.32378172523239745</v>
      </c>
      <c r="AK846">
        <f ca="1"/>
        <v>3.0005662224458574</v>
      </c>
      <c r="AN846" s="9">
        <v>9.6660813815127977E-2</v>
      </c>
      <c r="AO846" s="9">
        <v>2.9664015133990498E-2</v>
      </c>
    </row>
    <row r="847" spans="28:41" x14ac:dyDescent="0.2">
      <c r="AB847" s="9"/>
      <c r="AC847" s="20"/>
      <c r="AE847" s="22" cm="1">
        <f t="array" aca="1" ref="AE847" ca="1">SQRT(MMULT(MMULT(AG847:AK847,var_covar),TRANSPOSE(AG847:AK847)))</f>
        <v>1.5939972585269511</v>
      </c>
      <c r="AF847" s="22">
        <f t="shared" ca="1" si="35"/>
        <v>0.30998536340606586</v>
      </c>
      <c r="AG847">
        <f ca="1"/>
        <v>5.8588286607065232</v>
      </c>
      <c r="AH847">
        <f ca="1"/>
        <v>-6.2038551793147976</v>
      </c>
      <c r="AI847">
        <f ca="1"/>
        <v>-10.716545027223621</v>
      </c>
      <c r="AJ847">
        <f ca="1"/>
        <v>6.3465425140398422</v>
      </c>
      <c r="AK847">
        <f ca="1"/>
        <v>5.715029031792052</v>
      </c>
      <c r="AN847" s="9">
        <v>9.6541566466316966E-2</v>
      </c>
      <c r="AO847" s="9">
        <v>3.6367192004899823E-2</v>
      </c>
    </row>
    <row r="848" spans="28:41" x14ac:dyDescent="0.2">
      <c r="AB848" s="9"/>
      <c r="AC848" s="20"/>
      <c r="AE848" s="22" cm="1">
        <f t="array" aca="1" ref="AE848" ca="1">SQRT(MMULT(MMULT(AG848:AK848,var_covar),TRANSPOSE(AG848:AK848)))</f>
        <v>0.19027240152633301</v>
      </c>
      <c r="AF848" s="22">
        <f t="shared" ca="1" si="35"/>
        <v>-3.5582563349309919E-3</v>
      </c>
      <c r="AG848">
        <f ca="1"/>
        <v>-0.24592838544933651</v>
      </c>
      <c r="AH848">
        <f ca="1"/>
        <v>1.1098842017038302</v>
      </c>
      <c r="AI848">
        <f ca="1"/>
        <v>1.4603979318724254</v>
      </c>
      <c r="AJ848">
        <f ca="1"/>
        <v>-0.78834652897807267</v>
      </c>
      <c r="AK848">
        <f ca="1"/>
        <v>-0.53600721914884675</v>
      </c>
      <c r="AN848" s="9">
        <v>9.6278484305319129E-2</v>
      </c>
      <c r="AO848" s="9">
        <v>2.2121649603808934E-2</v>
      </c>
    </row>
    <row r="849" spans="28:41" x14ac:dyDescent="0.2">
      <c r="AB849" s="9"/>
      <c r="AC849" s="20"/>
      <c r="AE849" s="22" cm="1">
        <f t="array" aca="1" ref="AE849" ca="1">SQRT(MMULT(MMULT(AG849:AK849,var_covar),TRANSPOSE(AG849:AK849)))</f>
        <v>0.13228986840886631</v>
      </c>
      <c r="AF849" s="22">
        <f t="shared" ca="1" si="35"/>
        <v>4.5108643986125727E-2</v>
      </c>
      <c r="AG849">
        <f ca="1"/>
        <v>3.1985719536163831E-2</v>
      </c>
      <c r="AH849">
        <f ca="1"/>
        <v>-0.15763986048832709</v>
      </c>
      <c r="AI849">
        <f ca="1"/>
        <v>0.24940218007488804</v>
      </c>
      <c r="AJ849">
        <f ca="1"/>
        <v>0.30948725860168791</v>
      </c>
      <c r="AK849">
        <f ca="1"/>
        <v>0.5667647022755874</v>
      </c>
      <c r="AN849" s="9">
        <v>9.6016008934812713E-2</v>
      </c>
      <c r="AO849" s="9">
        <v>3.585041125319989E-2</v>
      </c>
    </row>
    <row r="850" spans="28:41" x14ac:dyDescent="0.2">
      <c r="AB850" s="9"/>
      <c r="AC850" s="20"/>
      <c r="AE850" s="22" cm="1">
        <f t="array" aca="1" ref="AE850" ca="1">SQRT(MMULT(MMULT(AG850:AK850,var_covar),TRANSPOSE(AG850:AK850)))</f>
        <v>0.22392049038527748</v>
      </c>
      <c r="AF850" s="22">
        <f t="shared" ca="1" si="35"/>
        <v>5.7591505647982211E-2</v>
      </c>
      <c r="AG850">
        <f ca="1"/>
        <v>-1.5246256135909264</v>
      </c>
      <c r="AH850">
        <f ca="1"/>
        <v>0.34760983355670283</v>
      </c>
      <c r="AI850">
        <f ca="1"/>
        <v>0.48490737056292632</v>
      </c>
      <c r="AJ850">
        <f ca="1"/>
        <v>1.0572807747981288</v>
      </c>
      <c r="AK850">
        <f ca="1"/>
        <v>0.63482763467316849</v>
      </c>
      <c r="AN850" s="9">
        <v>9.5929012760107901E-2</v>
      </c>
      <c r="AO850" s="9">
        <v>3.6503599814942063E-2</v>
      </c>
    </row>
    <row r="851" spans="28:41" x14ac:dyDescent="0.2">
      <c r="AB851" s="9"/>
      <c r="AC851" s="20"/>
      <c r="AE851" s="22" cm="1">
        <f t="array" aca="1" ref="AE851" ca="1">SQRT(MMULT(MMULT(AG851:AK851,var_covar),TRANSPOSE(AG851:AK851)))</f>
        <v>0.16662542763305874</v>
      </c>
      <c r="AF851" s="22">
        <f t="shared" ca="1" si="35"/>
        <v>5.3813406061166504E-2</v>
      </c>
      <c r="AG851">
        <f ca="1"/>
        <v>0.64069880547944413</v>
      </c>
      <c r="AH851">
        <f ca="1"/>
        <v>4.7513542582949316E-3</v>
      </c>
      <c r="AI851">
        <f ca="1"/>
        <v>-4.9161228500764202E-2</v>
      </c>
      <c r="AJ851">
        <f ca="1"/>
        <v>1.0119043937546675</v>
      </c>
      <c r="AK851">
        <f ca="1"/>
        <v>-0.60819332499164236</v>
      </c>
      <c r="AN851" s="9">
        <v>9.5862145572215576E-2</v>
      </c>
      <c r="AO851" s="9">
        <v>3.9078415094455213E-2</v>
      </c>
    </row>
    <row r="852" spans="28:41" x14ac:dyDescent="0.2">
      <c r="AB852" s="9"/>
      <c r="AC852" s="20"/>
      <c r="AE852" s="22" cm="1">
        <f t="array" aca="1" ref="AE852" ca="1">SQRT(MMULT(MMULT(AG852:AK852,var_covar),TRANSPOSE(AG852:AK852)))</f>
        <v>0.16321502838061852</v>
      </c>
      <c r="AF852" s="22">
        <f t="shared" ca="1" si="35"/>
        <v>3.5366785204008162E-2</v>
      </c>
      <c r="AG852">
        <f ca="1"/>
        <v>0.46981412325820882</v>
      </c>
      <c r="AH852">
        <f ca="1"/>
        <v>0.38711173957982964</v>
      </c>
      <c r="AI852">
        <f ca="1"/>
        <v>0.44573088699391405</v>
      </c>
      <c r="AJ852">
        <f ca="1"/>
        <v>0.50202553339704992</v>
      </c>
      <c r="AK852">
        <f ca="1"/>
        <v>-0.80468228322900281</v>
      </c>
      <c r="AN852" s="9">
        <v>9.5781003309050788E-2</v>
      </c>
      <c r="AO852" s="9">
        <v>4.0740489298791496E-2</v>
      </c>
    </row>
    <row r="853" spans="28:41" x14ac:dyDescent="0.2">
      <c r="AB853" s="9"/>
      <c r="AC853" s="20"/>
      <c r="AE853" s="22" cm="1">
        <f t="array" aca="1" ref="AE853" ca="1">SQRT(MMULT(MMULT(AG853:AK853,var_covar),TRANSPOSE(AG853:AK853)))</f>
        <v>0.19316664181312052</v>
      </c>
      <c r="AF853" s="22">
        <f t="shared" ca="1" si="35"/>
        <v>6.8523774837473475E-2</v>
      </c>
      <c r="AG853">
        <f ca="1"/>
        <v>0.9544541321812039</v>
      </c>
      <c r="AH853">
        <f ca="1"/>
        <v>-1.3658668412344384</v>
      </c>
      <c r="AI853">
        <f ca="1"/>
        <v>0.41073990878884548</v>
      </c>
      <c r="AJ853">
        <f ca="1"/>
        <v>0.94267394245797564</v>
      </c>
      <c r="AK853">
        <f ca="1"/>
        <v>5.7998857806413201E-2</v>
      </c>
      <c r="AN853" s="9">
        <v>9.5747019511127726E-2</v>
      </c>
      <c r="AO853" s="9">
        <v>3.7371948822899438E-2</v>
      </c>
    </row>
    <row r="854" spans="28:41" x14ac:dyDescent="0.2">
      <c r="AB854" s="9"/>
      <c r="AC854" s="20"/>
      <c r="AE854" s="22" cm="1">
        <f t="array" aca="1" ref="AE854" ca="1">SQRT(MMULT(MMULT(AG854:AK854,var_covar),TRANSPOSE(AG854:AK854)))</f>
        <v>7.950437676254174E-2</v>
      </c>
      <c r="AF854" s="22">
        <f t="shared" ca="1" si="35"/>
        <v>2.9186993182310255E-2</v>
      </c>
      <c r="AG854">
        <f ca="1"/>
        <v>0.27644664589881263</v>
      </c>
      <c r="AH854">
        <f ca="1"/>
        <v>0.53805558798503994</v>
      </c>
      <c r="AI854">
        <f ca="1"/>
        <v>8.6735192521449608E-2</v>
      </c>
      <c r="AJ854">
        <f ca="1"/>
        <v>3.9923518442905065E-2</v>
      </c>
      <c r="AK854">
        <f ca="1"/>
        <v>5.8839055151792982E-2</v>
      </c>
      <c r="AN854" s="9">
        <v>9.5560169005020498E-2</v>
      </c>
      <c r="AO854" s="9">
        <v>3.6721683851825761E-2</v>
      </c>
    </row>
    <row r="855" spans="28:41" x14ac:dyDescent="0.2">
      <c r="AB855" s="9"/>
      <c r="AC855" s="20"/>
      <c r="AE855" s="22" cm="1">
        <f t="array" aca="1" ref="AE855" ca="1">SQRT(MMULT(MMULT(AG855:AK855,var_covar),TRANSPOSE(AG855:AK855)))</f>
        <v>0.19632300187734641</v>
      </c>
      <c r="AF855" s="22">
        <f t="shared" ca="1" si="35"/>
        <v>-1.88826267890327E-2</v>
      </c>
      <c r="AG855">
        <f ca="1"/>
        <v>0.41092770365342335</v>
      </c>
      <c r="AH855">
        <f ca="1"/>
        <v>1.7173992603953294</v>
      </c>
      <c r="AI855">
        <f ca="1"/>
        <v>0.23557182615089051</v>
      </c>
      <c r="AJ855">
        <f ca="1"/>
        <v>-1.4973086221122296</v>
      </c>
      <c r="AK855">
        <f ca="1"/>
        <v>0.13340983191258607</v>
      </c>
      <c r="AN855" s="9">
        <v>9.5483878168232936E-2</v>
      </c>
      <c r="AO855" s="9">
        <v>3.9147838842061855E-2</v>
      </c>
    </row>
    <row r="856" spans="28:41" x14ac:dyDescent="0.2">
      <c r="AB856" s="9"/>
      <c r="AC856" s="20"/>
      <c r="AE856" s="22" cm="1">
        <f t="array" aca="1" ref="AE856" ca="1">SQRT(MMULT(MMULT(AG856:AK856,var_covar),TRANSPOSE(AG856:AK856)))</f>
        <v>0.41767993791666097</v>
      </c>
      <c r="AF856" s="22">
        <f t="shared" ca="1" si="35"/>
        <v>8.8059539777406812E-2</v>
      </c>
      <c r="AG856">
        <f ca="1"/>
        <v>-2.785282059211069</v>
      </c>
      <c r="AH856">
        <f ca="1"/>
        <v>-0.85390992276099453</v>
      </c>
      <c r="AI856">
        <f ca="1"/>
        <v>1.752376384667409</v>
      </c>
      <c r="AJ856">
        <f ca="1"/>
        <v>1.8989173071547842</v>
      </c>
      <c r="AK856">
        <f ca="1"/>
        <v>0.98789829014987018</v>
      </c>
      <c r="AN856" s="9">
        <v>9.5430490425778933E-2</v>
      </c>
      <c r="AO856" s="9">
        <v>3.4114323919087475E-2</v>
      </c>
    </row>
    <row r="857" spans="28:41" x14ac:dyDescent="0.2">
      <c r="AB857" s="9"/>
      <c r="AC857" s="20"/>
      <c r="AE857" s="22" cm="1">
        <f t="array" aca="1" ref="AE857" ca="1">SQRT(MMULT(MMULT(AG857:AK857,var_covar),TRANSPOSE(AG857:AK857)))</f>
        <v>0.22221098672853343</v>
      </c>
      <c r="AF857" s="22">
        <f t="shared" ca="1" si="35"/>
        <v>6.3689950554632238E-2</v>
      </c>
      <c r="AG857">
        <f ca="1"/>
        <v>-1.023457131358499</v>
      </c>
      <c r="AH857">
        <f ca="1"/>
        <v>0.95743655262906924</v>
      </c>
      <c r="AI857">
        <f ca="1"/>
        <v>-0.45406287579728088</v>
      </c>
      <c r="AJ857">
        <f ca="1"/>
        <v>1.6578161685415886</v>
      </c>
      <c r="AK857">
        <f ca="1"/>
        <v>-0.13773271401487791</v>
      </c>
      <c r="AN857" s="9">
        <v>9.5289593505522352E-2</v>
      </c>
      <c r="AO857" s="9">
        <v>3.2311775925729334E-2</v>
      </c>
    </row>
    <row r="858" spans="28:41" x14ac:dyDescent="0.2">
      <c r="AB858" s="9"/>
      <c r="AC858" s="20"/>
      <c r="AE858" s="22" cm="1">
        <f t="array" aca="1" ref="AE858" ca="1">SQRT(MMULT(MMULT(AG858:AK858,var_covar),TRANSPOSE(AG858:AK858)))</f>
        <v>0.31185995949657414</v>
      </c>
      <c r="AF858" s="22">
        <f t="shared" ca="1" si="35"/>
        <v>4.7795762420329235E-2</v>
      </c>
      <c r="AG858">
        <f ca="1"/>
        <v>0.86261346014215712</v>
      </c>
      <c r="AH858">
        <f ca="1"/>
        <v>0.54541102365343919</v>
      </c>
      <c r="AI858">
        <f ca="1"/>
        <v>2.1708064095149093E-3</v>
      </c>
      <c r="AJ858">
        <f ca="1"/>
        <v>1.2642858851076209</v>
      </c>
      <c r="AK858">
        <f ca="1"/>
        <v>-1.6744811753127318</v>
      </c>
      <c r="AN858" s="9">
        <v>9.522816895980675E-2</v>
      </c>
      <c r="AO858" s="9">
        <v>3.7394144847801715E-2</v>
      </c>
    </row>
    <row r="859" spans="28:41" x14ac:dyDescent="0.2">
      <c r="AB859" s="9"/>
      <c r="AC859" s="20"/>
      <c r="AE859" s="22" cm="1">
        <f t="array" aca="1" ref="AE859" ca="1">SQRT(MMULT(MMULT(AG859:AK859,var_covar),TRANSPOSE(AG859:AK859)))</f>
        <v>0.12712339434071543</v>
      </c>
      <c r="AF859" s="22">
        <f t="shared" ca="1" si="35"/>
        <v>3.9116875914845139E-2</v>
      </c>
      <c r="AG859">
        <f ca="1"/>
        <v>0.90310360983440863</v>
      </c>
      <c r="AH859">
        <f ca="1"/>
        <v>0.31035065190264283</v>
      </c>
      <c r="AI859">
        <f ca="1"/>
        <v>-0.24231075527985796</v>
      </c>
      <c r="AJ859">
        <f ca="1"/>
        <v>0.44819647853039996</v>
      </c>
      <c r="AK859">
        <f ca="1"/>
        <v>-0.41933998498759328</v>
      </c>
      <c r="AN859" s="9">
        <v>9.5204723694187976E-2</v>
      </c>
      <c r="AO859" s="9">
        <v>4.2007090707603154E-2</v>
      </c>
    </row>
    <row r="860" spans="28:41" x14ac:dyDescent="0.2">
      <c r="AB860" s="9"/>
      <c r="AC860" s="20"/>
      <c r="AE860" s="22" cm="1">
        <f t="array" aca="1" ref="AE860" ca="1">SQRT(MMULT(MMULT(AG860:AK860,var_covar),TRANSPOSE(AG860:AK860)))</f>
        <v>0.84516098311663168</v>
      </c>
      <c r="AF860" s="22">
        <f t="shared" ca="1" si="35"/>
        <v>0.12577429236286369</v>
      </c>
      <c r="AG860">
        <f ca="1"/>
        <v>-3.2095377005769254</v>
      </c>
      <c r="AH860">
        <f ca="1"/>
        <v>-3.6745963321858635</v>
      </c>
      <c r="AI860">
        <f ca="1"/>
        <v>2.2285164942559375</v>
      </c>
      <c r="AJ860">
        <f ca="1"/>
        <v>1.5709804040681741</v>
      </c>
      <c r="AK860">
        <f ca="1"/>
        <v>4.0846371344386769</v>
      </c>
      <c r="AN860" s="9">
        <v>9.511281490146721E-2</v>
      </c>
      <c r="AO860" s="9">
        <v>2.2787046436065921E-2</v>
      </c>
    </row>
    <row r="861" spans="28:41" x14ac:dyDescent="0.2">
      <c r="AB861" s="9"/>
      <c r="AC861" s="20"/>
      <c r="AE861" s="22" cm="1">
        <f t="array" aca="1" ref="AE861" ca="1">SQRT(MMULT(MMULT(AG861:AK861,var_covar),TRANSPOSE(AG861:AK861)))</f>
        <v>0.10549667645841719</v>
      </c>
      <c r="AF861" s="22">
        <f t="shared" ca="1" si="35"/>
        <v>3.7641054218528598E-2</v>
      </c>
      <c r="AG861">
        <f ca="1"/>
        <v>-0.14149341657989625</v>
      </c>
      <c r="AH861">
        <f ca="1"/>
        <v>0.19776445836401454</v>
      </c>
      <c r="AI861">
        <f ca="1"/>
        <v>0.41481945741666243</v>
      </c>
      <c r="AJ861">
        <f ca="1"/>
        <v>0.23165082001567819</v>
      </c>
      <c r="AK861">
        <f ca="1"/>
        <v>0.29725868078354106</v>
      </c>
      <c r="AN861" s="9">
        <v>9.4956536937311126E-2</v>
      </c>
      <c r="AO861" s="9">
        <v>3.9179762196417334E-2</v>
      </c>
    </row>
    <row r="862" spans="28:41" x14ac:dyDescent="0.2">
      <c r="AB862" s="9"/>
      <c r="AC862" s="20"/>
      <c r="AE862" s="22" cm="1">
        <f t="array" aca="1" ref="AE862" ca="1">SQRT(MMULT(MMULT(AG862:AK862,var_covar),TRANSPOSE(AG862:AK862)))</f>
        <v>0.14524069752319924</v>
      </c>
      <c r="AF862" s="22">
        <f t="shared" ca="1" si="35"/>
        <v>5.7928794926036063E-3</v>
      </c>
      <c r="AG862">
        <f ca="1"/>
        <v>1.1318083453891143</v>
      </c>
      <c r="AH862">
        <f ca="1"/>
        <v>0.17005399400744084</v>
      </c>
      <c r="AI862">
        <f ca="1"/>
        <v>0.55395924960081666</v>
      </c>
      <c r="AJ862">
        <f ca="1"/>
        <v>-1.0913590926788366</v>
      </c>
      <c r="AK862">
        <f ca="1"/>
        <v>0.23553750368146498</v>
      </c>
      <c r="AN862" s="9">
        <v>9.4853814976517195E-2</v>
      </c>
      <c r="AO862" s="9">
        <v>2.7284658872395343E-2</v>
      </c>
    </row>
    <row r="863" spans="28:41" x14ac:dyDescent="0.2">
      <c r="AB863" s="9"/>
      <c r="AC863" s="20"/>
      <c r="AE863" s="22" cm="1">
        <f t="array" aca="1" ref="AE863" ca="1">SQRT(MMULT(MMULT(AG863:AK863,var_covar),TRANSPOSE(AG863:AK863)))</f>
        <v>8.9031023560948566E-2</v>
      </c>
      <c r="AF863" s="22">
        <f t="shared" ca="1" si="35"/>
        <v>2.9989498574841324E-2</v>
      </c>
      <c r="AG863">
        <f ca="1"/>
        <v>0.24485550327556366</v>
      </c>
      <c r="AH863">
        <f ca="1"/>
        <v>0.39973469214295115</v>
      </c>
      <c r="AI863">
        <f ca="1"/>
        <v>0.10361223413502436</v>
      </c>
      <c r="AJ863">
        <f ca="1"/>
        <v>-4.2642374209917962E-2</v>
      </c>
      <c r="AK863">
        <f ca="1"/>
        <v>0.29443994465637885</v>
      </c>
      <c r="AN863" s="9">
        <v>9.4775254105075687E-2</v>
      </c>
      <c r="AO863" s="9">
        <v>3.3301683533346643E-2</v>
      </c>
    </row>
    <row r="864" spans="28:41" x14ac:dyDescent="0.2">
      <c r="AB864" s="9"/>
      <c r="AC864" s="20"/>
      <c r="AE864" s="22" cm="1">
        <f t="array" aca="1" ref="AE864" ca="1">SQRT(MMULT(MMULT(AG864:AK864,var_covar),TRANSPOSE(AG864:AK864)))</f>
        <v>1.198777190548139</v>
      </c>
      <c r="AF864" s="22">
        <f t="shared" ca="1" si="35"/>
        <v>4.6696444014293625E-3</v>
      </c>
      <c r="AG864">
        <f ca="1"/>
        <v>1.9513324021967065</v>
      </c>
      <c r="AH864">
        <f ca="1"/>
        <v>3.9402350943375199</v>
      </c>
      <c r="AI864">
        <f ca="1"/>
        <v>-9.1297208322723963E-2</v>
      </c>
      <c r="AJ864">
        <f ca="1"/>
        <v>2.2300983957922997</v>
      </c>
      <c r="AK864">
        <f ca="1"/>
        <v>-7.0303686840038013</v>
      </c>
      <c r="AN864" s="9">
        <v>9.4744740591001408E-2</v>
      </c>
      <c r="AO864" s="9">
        <v>4.0853569337544388E-2</v>
      </c>
    </row>
    <row r="865" spans="28:41" x14ac:dyDescent="0.2">
      <c r="AB865" s="9"/>
      <c r="AC865" s="20"/>
      <c r="AE865" s="22" cm="1">
        <f t="array" aca="1" ref="AE865" ca="1">SQRT(MMULT(MMULT(AG865:AK865,var_covar),TRANSPOSE(AG865:AK865)))</f>
        <v>0.14037630800119758</v>
      </c>
      <c r="AF865" s="22">
        <f t="shared" ca="1" si="35"/>
        <v>5.657659410306471E-2</v>
      </c>
      <c r="AG865">
        <f ca="1"/>
        <v>0.98037978792091274</v>
      </c>
      <c r="AH865">
        <f ca="1"/>
        <v>-0.68764548924527158</v>
      </c>
      <c r="AI865">
        <f ca="1"/>
        <v>5.9651525730466271E-3</v>
      </c>
      <c r="AJ865">
        <f ca="1"/>
        <v>0.68508313106320129</v>
      </c>
      <c r="AK865">
        <f ca="1"/>
        <v>1.6217417688110924E-2</v>
      </c>
      <c r="AN865" s="9">
        <v>9.4732392593289819E-2</v>
      </c>
      <c r="AO865" s="9">
        <v>3.7042750097396465E-2</v>
      </c>
    </row>
    <row r="866" spans="28:41" x14ac:dyDescent="0.2">
      <c r="AB866" s="9"/>
      <c r="AC866" s="20"/>
      <c r="AE866" s="22" cm="1">
        <f t="array" aca="1" ref="AE866" ca="1">SQRT(MMULT(MMULT(AG866:AK866,var_covar),TRANSPOSE(AG866:AK866)))</f>
        <v>0.10995249193103532</v>
      </c>
      <c r="AF866" s="22">
        <f t="shared" ca="1" si="35"/>
        <v>4.0944250405761121E-2</v>
      </c>
      <c r="AG866">
        <f ca="1"/>
        <v>0.38708090938383544</v>
      </c>
      <c r="AH866">
        <f ca="1"/>
        <v>2.5977864276125136E-2</v>
      </c>
      <c r="AI866">
        <f ca="1"/>
        <v>0.42680465276207874</v>
      </c>
      <c r="AJ866">
        <f ca="1"/>
        <v>0.45241189460546744</v>
      </c>
      <c r="AK866">
        <f ca="1"/>
        <v>-0.29227532102750681</v>
      </c>
      <c r="AN866" s="9">
        <v>9.4706121407561392E-2</v>
      </c>
      <c r="AO866" s="9">
        <v>2.3547667519916868E-2</v>
      </c>
    </row>
    <row r="867" spans="28:41" x14ac:dyDescent="0.2">
      <c r="AB867" s="9"/>
      <c r="AC867" s="20"/>
      <c r="AE867" s="22" cm="1">
        <f t="array" aca="1" ref="AE867" ca="1">SQRT(MMULT(MMULT(AG867:AK867,var_covar),TRANSPOSE(AG867:AK867)))</f>
        <v>0.10643330436428165</v>
      </c>
      <c r="AF867" s="22">
        <f t="shared" ca="1" si="35"/>
        <v>2.4812956294102281E-2</v>
      </c>
      <c r="AG867">
        <f ca="1"/>
        <v>-0.13277056756556296</v>
      </c>
      <c r="AH867">
        <f ca="1"/>
        <v>0.37375172544211449</v>
      </c>
      <c r="AI867">
        <f ca="1"/>
        <v>0.69868825770311016</v>
      </c>
      <c r="AJ867">
        <f ca="1"/>
        <v>-0.19087340727369997</v>
      </c>
      <c r="AK867">
        <f ca="1"/>
        <v>0.25120399169403829</v>
      </c>
      <c r="AN867" s="9">
        <v>9.4681144966689224E-2</v>
      </c>
      <c r="AO867" s="9">
        <v>3.1318191641297795E-2</v>
      </c>
    </row>
    <row r="868" spans="28:41" x14ac:dyDescent="0.2">
      <c r="AB868" s="9"/>
      <c r="AC868" s="20"/>
      <c r="AE868" s="22" cm="1">
        <f t="array" aca="1" ref="AE868" ca="1">SQRT(MMULT(MMULT(AG868:AK868,var_covar),TRANSPOSE(AG868:AK868)))</f>
        <v>0.13610100410211071</v>
      </c>
      <c r="AF868" s="22">
        <f t="shared" ca="1" si="35"/>
        <v>3.289052531319861E-2</v>
      </c>
      <c r="AG868">
        <f ca="1"/>
        <v>1.119525374508296</v>
      </c>
      <c r="AH868">
        <f ca="1"/>
        <v>5.1504923442857987E-2</v>
      </c>
      <c r="AI868">
        <f ca="1"/>
        <v>-0.44480212782212419</v>
      </c>
      <c r="AJ868">
        <f ca="1"/>
        <v>-0.16800977807759185</v>
      </c>
      <c r="AK868">
        <f ca="1"/>
        <v>0.44178160794856192</v>
      </c>
      <c r="AN868" s="9">
        <v>9.4147355577687414E-2</v>
      </c>
      <c r="AO868" s="9">
        <v>3.1504347648414179E-2</v>
      </c>
    </row>
    <row r="869" spans="28:41" x14ac:dyDescent="0.2">
      <c r="AB869" s="9"/>
      <c r="AC869" s="20"/>
      <c r="AE869" s="22" cm="1">
        <f t="array" aca="1" ref="AE869" ca="1">SQRT(MMULT(MMULT(AG869:AK869,var_covar),TRANSPOSE(AG869:AK869)))</f>
        <v>1.472317472976338</v>
      </c>
      <c r="AF869" s="22">
        <f t="shared" ca="1" si="35"/>
        <v>-0.14495763908636913</v>
      </c>
      <c r="AG869">
        <f ca="1"/>
        <v>9.6900687422510661</v>
      </c>
      <c r="AH869">
        <f ca="1"/>
        <v>-4.7159221441975907</v>
      </c>
      <c r="AI869">
        <f ca="1"/>
        <v>2.1281611989194835</v>
      </c>
      <c r="AJ869">
        <f ca="1"/>
        <v>-10.336199543558376</v>
      </c>
      <c r="AK869">
        <f ca="1"/>
        <v>4.2338917465854182</v>
      </c>
      <c r="AN869" s="9">
        <v>9.4031090326412284E-2</v>
      </c>
      <c r="AO869" s="9">
        <v>4.1830501378802017E-2</v>
      </c>
    </row>
    <row r="870" spans="28:41" x14ac:dyDescent="0.2">
      <c r="AB870" s="9"/>
      <c r="AC870" s="20"/>
      <c r="AE870" s="22" cm="1">
        <f t="array" aca="1" ref="AE870" ca="1">SQRT(MMULT(MMULT(AG870:AK870,var_covar),TRANSPOSE(AG870:AK870)))</f>
        <v>0.30426856251825313</v>
      </c>
      <c r="AF870" s="22">
        <f t="shared" ca="1" si="35"/>
        <v>-2.0263141317565861E-3</v>
      </c>
      <c r="AG870">
        <f ca="1"/>
        <v>-1.1867347899253389</v>
      </c>
      <c r="AH870">
        <f ca="1"/>
        <v>2.1778371344730441</v>
      </c>
      <c r="AI870">
        <f ca="1"/>
        <v>1.3488257325844781</v>
      </c>
      <c r="AJ870">
        <f ca="1"/>
        <v>-0.11297899678112377</v>
      </c>
      <c r="AK870">
        <f ca="1"/>
        <v>-1.2269490803510592</v>
      </c>
      <c r="AN870" s="9">
        <v>9.4014308043333453E-2</v>
      </c>
      <c r="AO870" s="9">
        <v>3.8371544385181124E-2</v>
      </c>
    </row>
    <row r="871" spans="28:41" x14ac:dyDescent="0.2">
      <c r="AB871" s="9"/>
      <c r="AC871" s="20"/>
      <c r="AE871" s="22" cm="1">
        <f t="array" aca="1" ref="AE871" ca="1">SQRT(MMULT(MMULT(AG871:AK871,var_covar),TRANSPOSE(AG871:AK871)))</f>
        <v>8.9250808134440834E-2</v>
      </c>
      <c r="AF871" s="22">
        <f t="shared" ca="1" si="35"/>
        <v>3.0618017021190193E-2</v>
      </c>
      <c r="AG871">
        <f ca="1"/>
        <v>0.68197012525970335</v>
      </c>
      <c r="AH871">
        <f ca="1"/>
        <v>0.13289028297807942</v>
      </c>
      <c r="AI871">
        <f ca="1"/>
        <v>7.2992779454967793E-2</v>
      </c>
      <c r="AJ871">
        <f ca="1"/>
        <v>-0.11344105577130728</v>
      </c>
      <c r="AK871">
        <f ca="1"/>
        <v>0.22558786807855671</v>
      </c>
      <c r="AN871" s="9">
        <v>9.4012253455828074E-2</v>
      </c>
      <c r="AO871" s="9">
        <v>3.5282601070185549E-2</v>
      </c>
    </row>
    <row r="872" spans="28:41" x14ac:dyDescent="0.2">
      <c r="AB872" s="9"/>
      <c r="AC872" s="20"/>
      <c r="AE872" s="22" cm="1">
        <f t="array" aca="1" ref="AE872" ca="1">SQRT(MMULT(MMULT(AG872:AK872,var_covar),TRANSPOSE(AG872:AK872)))</f>
        <v>0.10207458532611514</v>
      </c>
      <c r="AF872" s="22">
        <f t="shared" ca="1" si="35"/>
        <v>3.8322609873111702E-2</v>
      </c>
      <c r="AG872">
        <f ca="1"/>
        <v>0.15914226148036933</v>
      </c>
      <c r="AH872">
        <f ca="1"/>
        <v>1.2804605141478348E-2</v>
      </c>
      <c r="AI872">
        <f ca="1"/>
        <v>0.32309593795543712</v>
      </c>
      <c r="AJ872">
        <f ca="1"/>
        <v>0.16015145779761536</v>
      </c>
      <c r="AK872">
        <f ca="1"/>
        <v>0.34480573762509986</v>
      </c>
      <c r="AN872" s="9">
        <v>9.3913609025307834E-2</v>
      </c>
      <c r="AO872" s="9">
        <v>3.294145977513907E-2</v>
      </c>
    </row>
    <row r="873" spans="28:41" x14ac:dyDescent="0.2">
      <c r="AB873" s="9"/>
      <c r="AC873" s="20"/>
      <c r="AE873" s="22" cm="1">
        <f t="array" aca="1" ref="AE873" ca="1">SQRT(MMULT(MMULT(AG873:AK873,var_covar),TRANSPOSE(AG873:AK873)))</f>
        <v>0.1232884196968579</v>
      </c>
      <c r="AF873" s="22">
        <f t="shared" ca="1" si="35"/>
        <v>4.5646952458469156E-2</v>
      </c>
      <c r="AG873">
        <f ca="1"/>
        <v>1.2064143662344644</v>
      </c>
      <c r="AH873">
        <f ca="1"/>
        <v>-0.42674718303825537</v>
      </c>
      <c r="AI873">
        <f ca="1"/>
        <v>-8.3195455139909627E-2</v>
      </c>
      <c r="AJ873">
        <f ca="1"/>
        <v>0.3346302104420168</v>
      </c>
      <c r="AK873">
        <f ca="1"/>
        <v>-3.1101938498315985E-2</v>
      </c>
      <c r="AN873" s="9">
        <v>9.3713476818101049E-2</v>
      </c>
      <c r="AO873" s="9">
        <v>3.5415771480776688E-2</v>
      </c>
    </row>
    <row r="874" spans="28:41" x14ac:dyDescent="0.2">
      <c r="AB874" s="9"/>
      <c r="AC874" s="20"/>
      <c r="AE874" s="22" cm="1">
        <f t="array" aca="1" ref="AE874" ca="1">SQRT(MMULT(MMULT(AG874:AK874,var_covar),TRANSPOSE(AG874:AK874)))</f>
        <v>8.7122762670746354E-2</v>
      </c>
      <c r="AF874" s="22">
        <f t="shared" ca="1" si="35"/>
        <v>2.1294145331236337E-2</v>
      </c>
      <c r="AG874">
        <f ca="1"/>
        <v>8.7377550593462736E-2</v>
      </c>
      <c r="AH874">
        <f ca="1"/>
        <v>0.71932599381670403</v>
      </c>
      <c r="AI874">
        <f ca="1"/>
        <v>0.38995949087410542</v>
      </c>
      <c r="AJ874">
        <f ca="1"/>
        <v>-0.15619946754088196</v>
      </c>
      <c r="AK874">
        <f ca="1"/>
        <v>-4.0463567743390202E-2</v>
      </c>
      <c r="AN874" s="9">
        <v>9.3686580431436961E-2</v>
      </c>
      <c r="AO874" s="9">
        <v>4.0299357805220599E-2</v>
      </c>
    </row>
    <row r="875" spans="28:41" x14ac:dyDescent="0.2">
      <c r="AB875" s="9"/>
      <c r="AC875" s="20"/>
      <c r="AE875" s="22" cm="1">
        <f t="array" aca="1" ref="AE875" ca="1">SQRT(MMULT(MMULT(AG875:AK875,var_covar),TRANSPOSE(AG875:AK875)))</f>
        <v>0.12556670915467003</v>
      </c>
      <c r="AF875" s="22">
        <f t="shared" ca="1" si="35"/>
        <v>3.7931218471278082E-2</v>
      </c>
      <c r="AG875">
        <f ca="1"/>
        <v>-8.8130193021863784E-2</v>
      </c>
      <c r="AH875">
        <f ca="1"/>
        <v>0.14807581863250313</v>
      </c>
      <c r="AI875">
        <f ca="1"/>
        <v>0.23199062858247108</v>
      </c>
      <c r="AJ875">
        <f ca="1"/>
        <v>0.12918569837880947</v>
      </c>
      <c r="AK875">
        <f ca="1"/>
        <v>0.57887804742808013</v>
      </c>
      <c r="AN875" s="9">
        <v>9.3612210745018215E-2</v>
      </c>
      <c r="AO875" s="9">
        <v>2.3501393417978973E-2</v>
      </c>
    </row>
    <row r="876" spans="28:41" x14ac:dyDescent="0.2">
      <c r="AB876" s="9"/>
      <c r="AC876" s="20"/>
      <c r="AE876" s="22" cm="1">
        <f t="array" aca="1" ref="AE876" ca="1">SQRT(MMULT(MMULT(AG876:AK876,var_covar),TRANSPOSE(AG876:AK876)))</f>
        <v>0.10781783219193122</v>
      </c>
      <c r="AF876" s="22">
        <f t="shared" ca="1" si="35"/>
        <v>4.2862934525824931E-2</v>
      </c>
      <c r="AG876">
        <f ca="1"/>
        <v>-5.2264835383274338E-2</v>
      </c>
      <c r="AH876">
        <f ca="1"/>
        <v>6.6435717659469457E-2</v>
      </c>
      <c r="AI876">
        <f ca="1"/>
        <v>0.48796897438674758</v>
      </c>
      <c r="AJ876">
        <f ca="1"/>
        <v>0.47679130706095202</v>
      </c>
      <c r="AK876">
        <f ca="1"/>
        <v>2.1068836276105181E-2</v>
      </c>
      <c r="AN876" s="9">
        <v>9.3418003418038756E-2</v>
      </c>
      <c r="AO876" s="9">
        <v>2.3836947718135399E-2</v>
      </c>
    </row>
    <row r="877" spans="28:41" x14ac:dyDescent="0.2">
      <c r="AB877" s="9"/>
      <c r="AC877" s="20"/>
      <c r="AE877" s="22" cm="1">
        <f t="array" aca="1" ref="AE877" ca="1">SQRT(MMULT(MMULT(AG877:AK877,var_covar),TRANSPOSE(AG877:AK877)))</f>
        <v>1.0031017812529863</v>
      </c>
      <c r="AF877" s="22">
        <f t="shared" ca="1" si="35"/>
        <v>4.3233755684395136E-2</v>
      </c>
      <c r="AG877">
        <f ca="1"/>
        <v>-1.0234647657282407</v>
      </c>
      <c r="AH877">
        <f ca="1"/>
        <v>9.9563679779446634E-2</v>
      </c>
      <c r="AI877">
        <f ca="1"/>
        <v>4.8298837510048429</v>
      </c>
      <c r="AJ877">
        <f ca="1"/>
        <v>2.3828850809790576</v>
      </c>
      <c r="AK877">
        <f ca="1"/>
        <v>-5.2888677460351063</v>
      </c>
      <c r="AN877" s="9">
        <v>9.3343554718598107E-2</v>
      </c>
      <c r="AO877" s="9">
        <v>2.5792580114461831E-2</v>
      </c>
    </row>
    <row r="878" spans="28:41" x14ac:dyDescent="0.2">
      <c r="AB878" s="9"/>
      <c r="AC878" s="20"/>
      <c r="AE878" s="22" cm="1">
        <f t="array" aca="1" ref="AE878" ca="1">SQRT(MMULT(MMULT(AG878:AK878,var_covar),TRANSPOSE(AG878:AK878)))</f>
        <v>0.25666875205846501</v>
      </c>
      <c r="AF878" s="22">
        <f t="shared" ca="1" si="35"/>
        <v>3.5947398050961935E-2</v>
      </c>
      <c r="AG878">
        <f ca="1"/>
        <v>-2.2107403687654781</v>
      </c>
      <c r="AH878">
        <f ca="1"/>
        <v>1.561704339585966</v>
      </c>
      <c r="AI878">
        <f ca="1"/>
        <v>0.78536147538670475</v>
      </c>
      <c r="AJ878">
        <f ca="1"/>
        <v>0.84504249155920697</v>
      </c>
      <c r="AK878">
        <f ca="1"/>
        <v>1.8632062233600439E-2</v>
      </c>
      <c r="AN878" s="9">
        <v>9.3192157431953637E-2</v>
      </c>
      <c r="AO878" s="9">
        <v>2.8122668341982186E-2</v>
      </c>
    </row>
    <row r="879" spans="28:41" x14ac:dyDescent="0.2">
      <c r="AB879" s="9"/>
      <c r="AC879" s="20"/>
      <c r="AE879" s="22" cm="1">
        <f t="array" aca="1" ref="AE879" ca="1">SQRT(MMULT(MMULT(AG879:AK879,var_covar),TRANSPOSE(AG879:AK879)))</f>
        <v>0.35756397493816294</v>
      </c>
      <c r="AF879" s="22">
        <f t="shared" ca="1" si="35"/>
        <v>2.3434525804477101E-2</v>
      </c>
      <c r="AG879">
        <f ca="1"/>
        <v>1.7026413461028429</v>
      </c>
      <c r="AH879">
        <f ca="1"/>
        <v>-1.1549641088059872</v>
      </c>
      <c r="AI879">
        <f ca="1"/>
        <v>4.450654940252733E-2</v>
      </c>
      <c r="AJ879">
        <f ca="1"/>
        <v>-1.3527772541184737</v>
      </c>
      <c r="AK879">
        <f ca="1"/>
        <v>1.7605934674190908</v>
      </c>
      <c r="AN879" s="9">
        <v>9.29564085288061E-2</v>
      </c>
      <c r="AO879" s="9">
        <v>3.3994528402909729E-2</v>
      </c>
    </row>
    <row r="880" spans="28:41" x14ac:dyDescent="0.2">
      <c r="AB880" s="9"/>
      <c r="AC880" s="20"/>
      <c r="AE880" s="22" cm="1">
        <f t="array" aca="1" ref="AE880" ca="1">SQRT(MMULT(MMULT(AG880:AK880,var_covar),TRANSPOSE(AG880:AK880)))</f>
        <v>0.16298617249059952</v>
      </c>
      <c r="AF880" s="22">
        <f t="shared" ca="1" si="35"/>
        <v>5.3317494928859184E-2</v>
      </c>
      <c r="AG880">
        <f ca="1"/>
        <v>-0.39765580652782528</v>
      </c>
      <c r="AH880">
        <f ca="1"/>
        <v>0.15792626788084077</v>
      </c>
      <c r="AI880">
        <f ca="1"/>
        <v>-0.16155152033635287</v>
      </c>
      <c r="AJ880">
        <f ca="1"/>
        <v>0.70635303779679337</v>
      </c>
      <c r="AK880">
        <f ca="1"/>
        <v>0.69492802118654395</v>
      </c>
      <c r="AN880" s="9">
        <v>9.2905863982288825E-2</v>
      </c>
      <c r="AO880" s="9">
        <v>3.1710885983762392E-2</v>
      </c>
    </row>
    <row r="881" spans="28:41" x14ac:dyDescent="0.2">
      <c r="AB881" s="9"/>
      <c r="AC881" s="20"/>
      <c r="AE881" s="22" cm="1">
        <f t="array" aca="1" ref="AE881" ca="1">SQRT(MMULT(MMULT(AG881:AK881,var_covar),TRANSPOSE(AG881:AK881)))</f>
        <v>0.30229865586264593</v>
      </c>
      <c r="AF881" s="22">
        <f t="shared" ca="1" si="35"/>
        <v>-2.402010787861928E-3</v>
      </c>
      <c r="AG881">
        <f ca="1"/>
        <v>2.1500212557330487</v>
      </c>
      <c r="AH881">
        <f ca="1"/>
        <v>-1.3082907131533978</v>
      </c>
      <c r="AI881">
        <f ca="1"/>
        <v>2.0026208316113459</v>
      </c>
      <c r="AJ881">
        <f ca="1"/>
        <v>-1.8165846322197869</v>
      </c>
      <c r="AK881">
        <f ca="1"/>
        <v>-2.7766741971209583E-2</v>
      </c>
      <c r="AN881" s="9">
        <v>9.2687722487899082E-2</v>
      </c>
      <c r="AO881" s="9">
        <v>4.0586400651124864E-2</v>
      </c>
    </row>
    <row r="882" spans="28:41" x14ac:dyDescent="0.2">
      <c r="AB882" s="9"/>
      <c r="AC882" s="20"/>
      <c r="AE882" s="22" cm="1">
        <f t="array" aca="1" ref="AE882" ca="1">SQRT(MMULT(MMULT(AG882:AK882,var_covar),TRANSPOSE(AG882:AK882)))</f>
        <v>8.8220746128066199E-2</v>
      </c>
      <c r="AF882" s="22">
        <f t="shared" ca="1" si="35"/>
        <v>3.7720397356178062E-2</v>
      </c>
      <c r="AG882">
        <f ca="1"/>
        <v>0.24285939365110312</v>
      </c>
      <c r="AH882">
        <f ca="1"/>
        <v>0.20746627320187075</v>
      </c>
      <c r="AI882">
        <f ca="1"/>
        <v>0.11085138401884326</v>
      </c>
      <c r="AJ882">
        <f ca="1"/>
        <v>0.22476472573203915</v>
      </c>
      <c r="AK882">
        <f ca="1"/>
        <v>0.21405822339614361</v>
      </c>
      <c r="AN882" s="9">
        <v>9.2629476270149877E-2</v>
      </c>
      <c r="AO882" s="9">
        <v>3.4952934857293817E-2</v>
      </c>
    </row>
    <row r="883" spans="28:41" x14ac:dyDescent="0.2">
      <c r="AB883" s="9"/>
      <c r="AC883" s="20"/>
      <c r="AE883" s="22" cm="1">
        <f t="array" aca="1" ref="AE883" ca="1">SQRT(MMULT(MMULT(AG883:AK883,var_covar),TRANSPOSE(AG883:AK883)))</f>
        <v>0.93875308904895749</v>
      </c>
      <c r="AF883" s="22">
        <f t="shared" ca="1" si="35"/>
        <v>-1.9363451689875799E-2</v>
      </c>
      <c r="AG883">
        <f ca="1"/>
        <v>-4.5224788692324207</v>
      </c>
      <c r="AH883">
        <f ca="1"/>
        <v>4.9102722179609204</v>
      </c>
      <c r="AI883">
        <f ca="1"/>
        <v>3.5354370723624964</v>
      </c>
      <c r="AJ883">
        <f ca="1"/>
        <v>1.3332578856114954</v>
      </c>
      <c r="AK883">
        <f ca="1"/>
        <v>-4.256488306702491</v>
      </c>
      <c r="AN883" s="9">
        <v>9.2319262915547137E-2</v>
      </c>
      <c r="AO883" s="9">
        <v>3.7388153362576275E-2</v>
      </c>
    </row>
    <row r="884" spans="28:41" x14ac:dyDescent="0.2">
      <c r="AB884" s="9"/>
      <c r="AC884" s="20"/>
      <c r="AE884" s="22" cm="1">
        <f t="array" aca="1" ref="AE884" ca="1">SQRT(MMULT(MMULT(AG884:AK884,var_covar),TRANSPOSE(AG884:AK884)))</f>
        <v>0.27468733900468278</v>
      </c>
      <c r="AF884" s="22">
        <f t="shared" ca="1" si="35"/>
        <v>1.619203304841995E-2</v>
      </c>
      <c r="AG884">
        <f ca="1"/>
        <v>2.4612066465289719</v>
      </c>
      <c r="AH884">
        <f ca="1"/>
        <v>-0.76712800320971519</v>
      </c>
      <c r="AI884">
        <f ca="1"/>
        <v>1.0760771872755353</v>
      </c>
      <c r="AJ884">
        <f ca="1"/>
        <v>-0.62813451223919636</v>
      </c>
      <c r="AK884">
        <f ca="1"/>
        <v>-1.1420213183555958</v>
      </c>
      <c r="AN884" s="9">
        <v>9.2070191965822334E-2</v>
      </c>
      <c r="AO884" s="9">
        <v>3.911177274498448E-2</v>
      </c>
    </row>
    <row r="885" spans="28:41" x14ac:dyDescent="0.2">
      <c r="AB885" s="9"/>
      <c r="AC885" s="20"/>
      <c r="AE885" s="22" cm="1">
        <f t="array" aca="1" ref="AE885" ca="1">SQRT(MMULT(MMULT(AG885:AK885,var_covar),TRANSPOSE(AG885:AK885)))</f>
        <v>0.11157647673156437</v>
      </c>
      <c r="AF885" s="22">
        <f t="shared" ca="1" si="35"/>
        <v>4.9371071917339054E-2</v>
      </c>
      <c r="AG885">
        <f ca="1"/>
        <v>5.5701320485296579E-2</v>
      </c>
      <c r="AH885">
        <f ca="1"/>
        <v>0.15220714822027076</v>
      </c>
      <c r="AI885">
        <f ca="1"/>
        <v>-5.3616493546758414E-4</v>
      </c>
      <c r="AJ885">
        <f ca="1"/>
        <v>0.71534768960413209</v>
      </c>
      <c r="AK885">
        <f ca="1"/>
        <v>7.7280006625768102E-2</v>
      </c>
      <c r="AN885" s="9">
        <v>9.2041557489920961E-2</v>
      </c>
      <c r="AO885" s="9">
        <v>2.6100410555209782E-2</v>
      </c>
    </row>
    <row r="886" spans="28:41" x14ac:dyDescent="0.2">
      <c r="AB886" s="9"/>
      <c r="AC886" s="20"/>
      <c r="AE886" s="22" cm="1">
        <f t="array" aca="1" ref="AE886" ca="1">SQRT(MMULT(MMULT(AG886:AK886,var_covar),TRANSPOSE(AG886:AK886)))</f>
        <v>0.15092227645017472</v>
      </c>
      <c r="AF886" s="22">
        <f t="shared" ca="1" si="35"/>
        <v>1.0121431491836468E-2</v>
      </c>
      <c r="AG886">
        <f ca="1"/>
        <v>0.87650500440356338</v>
      </c>
      <c r="AH886">
        <f ca="1"/>
        <v>0.30549279751068797</v>
      </c>
      <c r="AI886">
        <f ca="1"/>
        <v>0.99786763105357279</v>
      </c>
      <c r="AJ886">
        <f ca="1"/>
        <v>-0.58676583268373672</v>
      </c>
      <c r="AK886">
        <f ca="1"/>
        <v>-0.59309960028408748</v>
      </c>
      <c r="AN886" s="9">
        <v>9.2033814238715164E-2</v>
      </c>
      <c r="AO886" s="9">
        <v>3.4443755390899868E-2</v>
      </c>
    </row>
    <row r="887" spans="28:41" x14ac:dyDescent="0.2">
      <c r="AB887" s="9"/>
      <c r="AC887" s="20"/>
      <c r="AE887" s="22" cm="1">
        <f t="array" aca="1" ref="AE887" ca="1">SQRT(MMULT(MMULT(AG887:AK887,var_covar),TRANSPOSE(AG887:AK887)))</f>
        <v>0.16665920281810512</v>
      </c>
      <c r="AF887" s="22">
        <f t="shared" ca="1" si="35"/>
        <v>3.3362032266792796E-2</v>
      </c>
      <c r="AG887">
        <f ca="1"/>
        <v>9.7221968043034762E-2</v>
      </c>
      <c r="AH887">
        <f ca="1"/>
        <v>-0.25290132918460489</v>
      </c>
      <c r="AI887">
        <f ca="1"/>
        <v>0.58536209661131111</v>
      </c>
      <c r="AJ887">
        <f ca="1"/>
        <v>-0.25226901888271719</v>
      </c>
      <c r="AK887">
        <f ca="1"/>
        <v>0.82258628341297613</v>
      </c>
      <c r="AN887" s="9">
        <v>9.1977310166063336E-2</v>
      </c>
      <c r="AO887" s="9">
        <v>3.6289345540829618E-2</v>
      </c>
    </row>
    <row r="888" spans="28:41" x14ac:dyDescent="0.2">
      <c r="AB888" s="9"/>
      <c r="AC888" s="20"/>
      <c r="AE888" s="22" cm="1">
        <f t="array" aca="1" ref="AE888" ca="1">SQRT(MMULT(MMULT(AG888:AK888,var_covar),TRANSPOSE(AG888:AK888)))</f>
        <v>0.23989946683989</v>
      </c>
      <c r="AF888" s="22">
        <f t="shared" ca="1" si="35"/>
        <v>5.6262693050449897E-2</v>
      </c>
      <c r="AG888">
        <f ca="1"/>
        <v>-1.3539615575188269</v>
      </c>
      <c r="AH888">
        <f ca="1"/>
        <v>1.5045248949125574</v>
      </c>
      <c r="AI888">
        <f ca="1"/>
        <v>-0.75025963237880322</v>
      </c>
      <c r="AJ888">
        <f ca="1"/>
        <v>1.4690871308800586</v>
      </c>
      <c r="AK888">
        <f ca="1"/>
        <v>0.13060916410501405</v>
      </c>
      <c r="AN888" s="9">
        <v>9.1948700091569108E-2</v>
      </c>
      <c r="AO888" s="9">
        <v>2.4921878315966723E-2</v>
      </c>
    </row>
    <row r="889" spans="28:41" x14ac:dyDescent="0.2">
      <c r="AB889" s="9"/>
      <c r="AC889" s="20"/>
      <c r="AE889" s="22" cm="1">
        <f t="array" aca="1" ref="AE889" ca="1">SQRT(MMULT(MMULT(AG889:AK889,var_covar),TRANSPOSE(AG889:AK889)))</f>
        <v>0.13355714202212399</v>
      </c>
      <c r="AF889" s="22">
        <f t="shared" ca="1" si="35"/>
        <v>1.7400484248077046E-2</v>
      </c>
      <c r="AG889">
        <f ca="1"/>
        <v>0.86693445812753034</v>
      </c>
      <c r="AH889">
        <f ca="1"/>
        <v>1.0291259721023331</v>
      </c>
      <c r="AI889">
        <f ca="1"/>
        <v>-0.55285342495959078</v>
      </c>
      <c r="AJ889">
        <f ca="1"/>
        <v>-0.30150033653724601</v>
      </c>
      <c r="AK889">
        <f ca="1"/>
        <v>-4.1706668733026898E-2</v>
      </c>
      <c r="AN889" s="9">
        <v>9.1767148832204604E-2</v>
      </c>
      <c r="AO889" s="9">
        <v>3.9147507844104833E-2</v>
      </c>
    </row>
    <row r="890" spans="28:41" x14ac:dyDescent="0.2">
      <c r="AB890" s="9"/>
      <c r="AC890" s="20"/>
      <c r="AE890" s="22" cm="1">
        <f t="array" aca="1" ref="AE890" ca="1">SQRT(MMULT(MMULT(AG890:AK890,var_covar),TRANSPOSE(AG890:AK890)))</f>
        <v>8.2651037744046862E-2</v>
      </c>
      <c r="AF890" s="22">
        <f t="shared" ca="1" si="35"/>
        <v>3.0540762931807991E-2</v>
      </c>
      <c r="AG890">
        <f ca="1"/>
        <v>0.22687772043438181</v>
      </c>
      <c r="AH890">
        <f ca="1"/>
        <v>0.36720694501014589</v>
      </c>
      <c r="AI890">
        <f ca="1"/>
        <v>0.2021596918653065</v>
      </c>
      <c r="AJ890">
        <f ca="1"/>
        <v>2.619436099601346E-3</v>
      </c>
      <c r="AK890">
        <f ca="1"/>
        <v>0.20113620659056439</v>
      </c>
      <c r="AN890" s="9">
        <v>9.1740382446811014E-2</v>
      </c>
      <c r="AO890" s="9">
        <v>2.7931057662558042E-2</v>
      </c>
    </row>
    <row r="891" spans="28:41" x14ac:dyDescent="0.2">
      <c r="AB891" s="9"/>
      <c r="AC891" s="20"/>
      <c r="AE891" s="22" cm="1">
        <f t="array" aca="1" ref="AE891" ca="1">SQRT(MMULT(MMULT(AG891:AK891,var_covar),TRANSPOSE(AG891:AK891)))</f>
        <v>0.14829684566679632</v>
      </c>
      <c r="AF891" s="22">
        <f t="shared" ca="1" si="35"/>
        <v>4.7790822109386427E-2</v>
      </c>
      <c r="AG891">
        <f ca="1"/>
        <v>6.9647166653049E-2</v>
      </c>
      <c r="AH891">
        <f ca="1"/>
        <v>-0.22506060023020805</v>
      </c>
      <c r="AI891">
        <f ca="1"/>
        <v>0.11211366350974666</v>
      </c>
      <c r="AJ891">
        <f ca="1"/>
        <v>0.34434346878937366</v>
      </c>
      <c r="AK891">
        <f ca="1"/>
        <v>0.69895630127803865</v>
      </c>
      <c r="AN891" s="9">
        <v>9.1639834234016851E-2</v>
      </c>
      <c r="AO891" s="9">
        <v>3.5959480779722997E-2</v>
      </c>
    </row>
    <row r="892" spans="28:41" x14ac:dyDescent="0.2">
      <c r="AB892" s="9"/>
      <c r="AC892" s="20"/>
      <c r="AE892" s="22" cm="1">
        <f t="array" aca="1" ref="AE892" ca="1">SQRT(MMULT(MMULT(AG892:AK892,var_covar),TRANSPOSE(AG892:AK892)))</f>
        <v>0.14814088716944812</v>
      </c>
      <c r="AF892" s="22">
        <f t="shared" ca="1" si="35"/>
        <v>9.2902663545635956E-3</v>
      </c>
      <c r="AG892">
        <f ca="1"/>
        <v>0.9771656194084134</v>
      </c>
      <c r="AH892">
        <f ca="1"/>
        <v>0.59760575111081105</v>
      </c>
      <c r="AI892">
        <f ca="1"/>
        <v>0.60880136177959432</v>
      </c>
      <c r="AJ892">
        <f ca="1"/>
        <v>-0.52995699486205872</v>
      </c>
      <c r="AK892">
        <f ca="1"/>
        <v>-0.65361573743676005</v>
      </c>
      <c r="AN892" s="9">
        <v>9.156063572809181E-2</v>
      </c>
      <c r="AO892" s="9">
        <v>3.0360396161678856E-2</v>
      </c>
    </row>
    <row r="893" spans="28:41" x14ac:dyDescent="0.2">
      <c r="AB893" s="9"/>
      <c r="AC893" s="20"/>
      <c r="AE893" s="22" cm="1">
        <f t="array" aca="1" ref="AE893" ca="1">SQRT(MMULT(MMULT(AG893:AK893,var_covar),TRANSPOSE(AG893:AK893)))</f>
        <v>0.22047598422247233</v>
      </c>
      <c r="AF893" s="22">
        <f t="shared" ca="1" si="35"/>
        <v>4.7832114429658887E-2</v>
      </c>
      <c r="AG893">
        <f ca="1"/>
        <v>1.869567474348206</v>
      </c>
      <c r="AH893">
        <f ca="1"/>
        <v>-9.6288017755644453E-3</v>
      </c>
      <c r="AI893">
        <f ca="1"/>
        <v>-0.8003715840553155</v>
      </c>
      <c r="AJ893">
        <f ca="1"/>
        <v>0.70577010677349417</v>
      </c>
      <c r="AK893">
        <f ca="1"/>
        <v>-0.76533719529082023</v>
      </c>
      <c r="AN893" s="9">
        <v>9.1537349999892784E-2</v>
      </c>
      <c r="AO893" s="9">
        <v>3.7862567141545247E-2</v>
      </c>
    </row>
    <row r="894" spans="28:41" x14ac:dyDescent="0.2">
      <c r="AB894" s="9"/>
      <c r="AC894" s="20"/>
      <c r="AE894" s="22" cm="1">
        <f t="array" aca="1" ref="AE894" ca="1">SQRT(MMULT(MMULT(AG894:AK894,var_covar),TRANSPOSE(AG894:AK894)))</f>
        <v>9.678957954938272E-2</v>
      </c>
      <c r="AF894" s="22">
        <f t="shared" ca="1" si="35"/>
        <v>3.4662669673558029E-2</v>
      </c>
      <c r="AG894">
        <f ca="1"/>
        <v>-7.55515787944816E-2</v>
      </c>
      <c r="AH894">
        <f ca="1"/>
        <v>0.40222262476041559</v>
      </c>
      <c r="AI894">
        <f ca="1"/>
        <v>0.45698709730691256</v>
      </c>
      <c r="AJ894">
        <f ca="1"/>
        <v>0.29242370911562066</v>
      </c>
      <c r="AK894">
        <f ca="1"/>
        <v>-7.6081852388467083E-2</v>
      </c>
      <c r="AN894" s="9">
        <v>9.1518007642763508E-2</v>
      </c>
      <c r="AO894" s="9">
        <v>2.973638675224613E-2</v>
      </c>
    </row>
    <row r="895" spans="28:41" x14ac:dyDescent="0.2">
      <c r="AB895" s="9"/>
      <c r="AC895" s="20"/>
      <c r="AE895" s="22" cm="1">
        <f t="array" aca="1" ref="AE895" ca="1">SQRT(MMULT(MMULT(AG895:AK895,var_covar),TRANSPOSE(AG895:AK895)))</f>
        <v>1.4835076814658015</v>
      </c>
      <c r="AF895" s="22">
        <f t="shared" ca="1" si="35"/>
        <v>0.12480676156615844</v>
      </c>
      <c r="AG895">
        <f ca="1"/>
        <v>5.8214598459617433</v>
      </c>
      <c r="AH895">
        <f ca="1"/>
        <v>-2.1673148421134849</v>
      </c>
      <c r="AI895">
        <f ca="1"/>
        <v>0.51297347755216882</v>
      </c>
      <c r="AJ895">
        <f ca="1"/>
        <v>5.1501828723029552</v>
      </c>
      <c r="AK895">
        <f ca="1"/>
        <v>-8.3173013537033835</v>
      </c>
      <c r="AN895" s="9">
        <v>9.1516669327960681E-2</v>
      </c>
      <c r="AO895" s="9">
        <v>3.1052991700475607E-2</v>
      </c>
    </row>
    <row r="896" spans="28:41" x14ac:dyDescent="0.2">
      <c r="AB896" s="9"/>
      <c r="AC896" s="20"/>
      <c r="AE896" s="22" cm="1">
        <f t="array" aca="1" ref="AE896" ca="1">SQRT(MMULT(MMULT(AG896:AK896,var_covar),TRANSPOSE(AG896:AK896)))</f>
        <v>0.19908282773751981</v>
      </c>
      <c r="AF896" s="22">
        <f t="shared" ca="1" si="35"/>
        <v>4.2886503910450367E-2</v>
      </c>
      <c r="AG896">
        <f ca="1"/>
        <v>-3.6776654872190284E-2</v>
      </c>
      <c r="AH896">
        <f ca="1"/>
        <v>6.8869872752931301E-3</v>
      </c>
      <c r="AI896">
        <f ca="1"/>
        <v>-0.18546000128507167</v>
      </c>
      <c r="AJ896">
        <f ca="1"/>
        <v>8.9467686726471318E-2</v>
      </c>
      <c r="AK896">
        <f ca="1"/>
        <v>1.1258819821554975</v>
      </c>
      <c r="AN896" s="9">
        <v>9.1513558412591692E-2</v>
      </c>
      <c r="AO896" s="9">
        <v>3.5131279006541165E-2</v>
      </c>
    </row>
    <row r="897" spans="28:41" x14ac:dyDescent="0.2">
      <c r="AB897" s="9"/>
      <c r="AC897" s="20"/>
      <c r="AE897" s="22" cm="1">
        <f t="array" aca="1" ref="AE897" ca="1">SQRT(MMULT(MMULT(AG897:AK897,var_covar),TRANSPOSE(AG897:AK897)))</f>
        <v>0.50255118377821828</v>
      </c>
      <c r="AF897" s="22">
        <f t="shared" ca="1" si="35"/>
        <v>-3.9402586110605389E-2</v>
      </c>
      <c r="AG897">
        <f ca="1"/>
        <v>2.3455705118263062</v>
      </c>
      <c r="AH897">
        <f ca="1"/>
        <v>2.1802879017813863</v>
      </c>
      <c r="AI897">
        <f ca="1"/>
        <v>0.57030394681671448</v>
      </c>
      <c r="AJ897">
        <f ca="1"/>
        <v>-1.4028738465086128</v>
      </c>
      <c r="AK897">
        <f ca="1"/>
        <v>-2.6932885139157943</v>
      </c>
      <c r="AN897" s="9">
        <v>9.1273178855569098E-2</v>
      </c>
      <c r="AO897" s="9">
        <v>4.1188340337067052E-2</v>
      </c>
    </row>
    <row r="898" spans="28:41" x14ac:dyDescent="0.2">
      <c r="AB898" s="9"/>
      <c r="AC898" s="20"/>
      <c r="AE898" s="22" cm="1">
        <f t="array" aca="1" ref="AE898" ca="1">SQRT(MMULT(MMULT(AG898:AK898,var_covar),TRANSPOSE(AG898:AK898)))</f>
        <v>0.10399590074064016</v>
      </c>
      <c r="AF898" s="22">
        <f t="shared" ca="1" si="35"/>
        <v>2.0325966716263483E-2</v>
      </c>
      <c r="AG898">
        <f ca="1"/>
        <v>-0.20671963578864422</v>
      </c>
      <c r="AH898">
        <f ca="1"/>
        <v>0.68333808212320868</v>
      </c>
      <c r="AI898">
        <f ca="1"/>
        <v>0.69650906712853988</v>
      </c>
      <c r="AJ898">
        <f ca="1"/>
        <v>-0.19111845924524662</v>
      </c>
      <c r="AK898">
        <f ca="1"/>
        <v>1.7990945782142397E-2</v>
      </c>
      <c r="AN898" s="9">
        <v>9.1232891399340627E-2</v>
      </c>
      <c r="AO898" s="9">
        <v>3.7898407510699124E-2</v>
      </c>
    </row>
    <row r="899" spans="28:41" x14ac:dyDescent="0.2">
      <c r="AB899" s="9"/>
      <c r="AC899" s="20"/>
      <c r="AE899" s="22" cm="1">
        <f t="array" aca="1" ref="AE899" ca="1">SQRT(MMULT(MMULT(AG899:AK899,var_covar),TRANSPOSE(AG899:AK899)))</f>
        <v>0.50785933678528217</v>
      </c>
      <c r="AF899" s="22">
        <f t="shared" ca="1" si="35"/>
        <v>-3.4114884735467407E-2</v>
      </c>
      <c r="AG899">
        <f ca="1"/>
        <v>2.3780996987247209</v>
      </c>
      <c r="AH899">
        <f ca="1"/>
        <v>1.3199619782514558</v>
      </c>
      <c r="AI899">
        <f ca="1"/>
        <v>1.5175721471724506</v>
      </c>
      <c r="AJ899">
        <f ca="1"/>
        <v>-1.3950708044503699</v>
      </c>
      <c r="AK899">
        <f ca="1"/>
        <v>-2.8205630196982572</v>
      </c>
      <c r="AN899" s="9">
        <v>9.1177439746247799E-2</v>
      </c>
      <c r="AO899" s="9">
        <v>3.5890070660811429E-2</v>
      </c>
    </row>
    <row r="900" spans="28:41" x14ac:dyDescent="0.2">
      <c r="AB900" s="9"/>
      <c r="AC900" s="20"/>
      <c r="AE900" s="22" cm="1">
        <f t="array" aca="1" ref="AE900" ca="1">SQRT(MMULT(MMULT(AG900:AK900,var_covar),TRANSPOSE(AG900:AK900)))</f>
        <v>0.13018370783693331</v>
      </c>
      <c r="AF900" s="22">
        <f t="shared" ref="AF900:AF963" ca="1" si="36">SUMPRODUCT(AG900:AK900,$S$2:$W$2)</f>
        <v>4.9169302192661128E-2</v>
      </c>
      <c r="AG900">
        <f ca="1"/>
        <v>0.84761222630997612</v>
      </c>
      <c r="AH900">
        <f ca="1"/>
        <v>-0.13609719618109964</v>
      </c>
      <c r="AI900">
        <f ca="1"/>
        <v>-0.49720071099440011</v>
      </c>
      <c r="AJ900">
        <f ca="1"/>
        <v>0.46561040065088033</v>
      </c>
      <c r="AK900">
        <f ca="1"/>
        <v>0.32007528021464332</v>
      </c>
      <c r="AN900" s="9">
        <v>9.1176620218976379E-2</v>
      </c>
      <c r="AO900" s="9">
        <v>2.4543066292193622E-2</v>
      </c>
    </row>
    <row r="901" spans="28:41" x14ac:dyDescent="0.2">
      <c r="AB901" s="9"/>
      <c r="AC901" s="20"/>
      <c r="AE901" s="22" cm="1">
        <f t="array" aca="1" ref="AE901" ca="1">SQRT(MMULT(MMULT(AG901:AK901,var_covar),TRANSPOSE(AG901:AK901)))</f>
        <v>0.49519823908727773</v>
      </c>
      <c r="AF901" s="22">
        <f t="shared" ca="1" si="36"/>
        <v>6.7731718292173643E-2</v>
      </c>
      <c r="AG901">
        <f ca="1"/>
        <v>-3.6903726572742848</v>
      </c>
      <c r="AH901">
        <f ca="1"/>
        <v>3.4357977903954056</v>
      </c>
      <c r="AI901">
        <f ca="1"/>
        <v>-1.3710918835301615</v>
      </c>
      <c r="AJ901">
        <f ca="1"/>
        <v>2.7529795954795095</v>
      </c>
      <c r="AK901">
        <f ca="1"/>
        <v>-0.12731284507046869</v>
      </c>
      <c r="AN901" s="9">
        <v>9.110987020976577E-2</v>
      </c>
      <c r="AO901" s="9">
        <v>3.7324880541887075E-2</v>
      </c>
    </row>
    <row r="902" spans="28:41" x14ac:dyDescent="0.2">
      <c r="AB902" s="9"/>
      <c r="AC902" s="20"/>
      <c r="AE902" s="22" cm="1">
        <f t="array" aca="1" ref="AE902" ca="1">SQRT(MMULT(MMULT(AG902:AK902,var_covar),TRANSPOSE(AG902:AK902)))</f>
        <v>0.14846360545154388</v>
      </c>
      <c r="AF902" s="22">
        <f t="shared" ca="1" si="36"/>
        <v>3.8324633575068642E-2</v>
      </c>
      <c r="AG902">
        <f ca="1"/>
        <v>0.66249513819425587</v>
      </c>
      <c r="AH902">
        <f ca="1"/>
        <v>-0.13268728404261793</v>
      </c>
      <c r="AI902">
        <f ca="1"/>
        <v>-0.19676571160016168</v>
      </c>
      <c r="AJ902">
        <f ca="1"/>
        <v>-5.9916598057229577E-2</v>
      </c>
      <c r="AK902">
        <f ca="1"/>
        <v>0.72687445550575325</v>
      </c>
      <c r="AN902" s="9">
        <v>9.1090932939849101E-2</v>
      </c>
      <c r="AO902" s="9">
        <v>2.6537589573254795E-2</v>
      </c>
    </row>
    <row r="903" spans="28:41" x14ac:dyDescent="0.2">
      <c r="AB903" s="9"/>
      <c r="AC903" s="20"/>
      <c r="AE903" s="22" cm="1">
        <f t="array" aca="1" ref="AE903" ca="1">SQRT(MMULT(MMULT(AG903:AK903,var_covar),TRANSPOSE(AG903:AK903)))</f>
        <v>0.10987283352154217</v>
      </c>
      <c r="AF903" s="22">
        <f t="shared" ca="1" si="36"/>
        <v>3.6975782692941606E-2</v>
      </c>
      <c r="AG903">
        <f ca="1"/>
        <v>0.2605290315530569</v>
      </c>
      <c r="AH903">
        <f ca="1"/>
        <v>0.16450461111138268</v>
      </c>
      <c r="AI903">
        <f ca="1"/>
        <v>-1.5777035566520671E-3</v>
      </c>
      <c r="AJ903">
        <f ca="1"/>
        <v>9.2788578447530717E-2</v>
      </c>
      <c r="AK903">
        <f ca="1"/>
        <v>0.48375548244468169</v>
      </c>
      <c r="AN903" s="9">
        <v>9.1077585819614809E-2</v>
      </c>
      <c r="AO903" s="9">
        <v>2.2780806597070762E-2</v>
      </c>
    </row>
    <row r="904" spans="28:41" x14ac:dyDescent="0.2">
      <c r="AB904" s="9"/>
      <c r="AC904" s="20"/>
      <c r="AE904" s="22" cm="1">
        <f t="array" aca="1" ref="AE904" ca="1">SQRT(MMULT(MMULT(AG904:AK904,var_covar),TRANSPOSE(AG904:AK904)))</f>
        <v>7.8629124370264076</v>
      </c>
      <c r="AF904" s="22">
        <f t="shared" ca="1" si="36"/>
        <v>-1.6189605854331179</v>
      </c>
      <c r="AG904">
        <f ca="1"/>
        <v>-15.582439619248253</v>
      </c>
      <c r="AH904">
        <f ca="1"/>
        <v>78.559878999473966</v>
      </c>
      <c r="AI904">
        <f ca="1"/>
        <v>-15.742632515763908</v>
      </c>
      <c r="AJ904">
        <f ca="1"/>
        <v>-36.162605118166589</v>
      </c>
      <c r="AK904">
        <f ca="1"/>
        <v>-10.072201746295217</v>
      </c>
      <c r="AN904" s="9">
        <v>9.1071097511662771E-2</v>
      </c>
      <c r="AO904" s="9">
        <v>3.5800969779429488E-2</v>
      </c>
    </row>
    <row r="905" spans="28:41" x14ac:dyDescent="0.2">
      <c r="AB905" s="9"/>
      <c r="AC905" s="20"/>
      <c r="AE905" s="22" cm="1">
        <f t="array" aca="1" ref="AE905" ca="1">SQRT(MMULT(MMULT(AG905:AK905,var_covar),TRANSPOSE(AG905:AK905)))</f>
        <v>0.13080821547294263</v>
      </c>
      <c r="AF905" s="22">
        <f t="shared" ca="1" si="36"/>
        <v>2.137887590340895E-2</v>
      </c>
      <c r="AG905">
        <f ca="1"/>
        <v>-0.35568364559142507</v>
      </c>
      <c r="AH905">
        <f ca="1"/>
        <v>0.60199916907296736</v>
      </c>
      <c r="AI905">
        <f ca="1"/>
        <v>0.57010634775126889</v>
      </c>
      <c r="AJ905">
        <f ca="1"/>
        <v>-0.32066261981463923</v>
      </c>
      <c r="AK905">
        <f ca="1"/>
        <v>0.5042407485818281</v>
      </c>
      <c r="AN905" s="9">
        <v>9.0988369015103945E-2</v>
      </c>
      <c r="AO905" s="9">
        <v>3.9127703601676861E-2</v>
      </c>
    </row>
    <row r="906" spans="28:41" x14ac:dyDescent="0.2">
      <c r="AB906" s="9"/>
      <c r="AC906" s="20"/>
      <c r="AE906" s="22" cm="1">
        <f t="array" aca="1" ref="AE906" ca="1">SQRT(MMULT(MMULT(AG906:AK906,var_covar),TRANSPOSE(AG906:AK906)))</f>
        <v>0.11324746063706446</v>
      </c>
      <c r="AF906" s="22">
        <f t="shared" ca="1" si="36"/>
        <v>3.6975138109819491E-2</v>
      </c>
      <c r="AG906">
        <f ca="1"/>
        <v>0.27864571356107942</v>
      </c>
      <c r="AH906">
        <f ca="1"/>
        <v>3.0947507806402569E-2</v>
      </c>
      <c r="AI906">
        <f ca="1"/>
        <v>0.13620821245003542</v>
      </c>
      <c r="AJ906">
        <f ca="1"/>
        <v>4.7179216674142176E-2</v>
      </c>
      <c r="AK906">
        <f ca="1"/>
        <v>0.50701934950834038</v>
      </c>
      <c r="AN906" s="9">
        <v>9.0897735840965749E-2</v>
      </c>
      <c r="AO906" s="9">
        <v>3.6357559834405459E-2</v>
      </c>
    </row>
    <row r="907" spans="28:41" x14ac:dyDescent="0.2">
      <c r="AB907" s="9"/>
      <c r="AC907" s="20"/>
      <c r="AE907" s="22" cm="1">
        <f t="array" aca="1" ref="AE907" ca="1">SQRT(MMULT(MMULT(AG907:AK907,var_covar),TRANSPOSE(AG907:AK907)))</f>
        <v>0.1690232030551474</v>
      </c>
      <c r="AF907" s="22">
        <f t="shared" ca="1" si="36"/>
        <v>2.4911452722627375E-2</v>
      </c>
      <c r="AG907">
        <f ca="1"/>
        <v>0.14593559798970249</v>
      </c>
      <c r="AH907">
        <f ca="1"/>
        <v>-0.15406986832940164</v>
      </c>
      <c r="AI907">
        <f ca="1"/>
        <v>0.75888021438719455</v>
      </c>
      <c r="AJ907">
        <f ca="1"/>
        <v>-0.53806622468740073</v>
      </c>
      <c r="AK907">
        <f ca="1"/>
        <v>0.78732028063990533</v>
      </c>
      <c r="AN907" s="9">
        <v>9.0818419737805384E-2</v>
      </c>
      <c r="AO907" s="9">
        <v>3.9566634671787129E-2</v>
      </c>
    </row>
    <row r="908" spans="28:41" x14ac:dyDescent="0.2">
      <c r="AB908" s="9"/>
      <c r="AC908" s="20"/>
      <c r="AE908" s="22" cm="1">
        <f t="array" aca="1" ref="AE908" ca="1">SQRT(MMULT(MMULT(AG908:AK908,var_covar),TRANSPOSE(AG908:AK908)))</f>
        <v>0.553362753664982</v>
      </c>
      <c r="AF908" s="22">
        <f t="shared" ca="1" si="36"/>
        <v>0.10084686272338299</v>
      </c>
      <c r="AG908">
        <f ca="1"/>
        <v>-1.545167473753335</v>
      </c>
      <c r="AH908">
        <f ca="1"/>
        <v>0.11832989733521876</v>
      </c>
      <c r="AI908">
        <f ca="1"/>
        <v>-2.3532783298093349</v>
      </c>
      <c r="AJ908">
        <f ca="1"/>
        <v>1.8666479538718359</v>
      </c>
      <c r="AK908">
        <f ca="1"/>
        <v>2.9134679523556151</v>
      </c>
      <c r="AN908" s="9">
        <v>9.0727234293212125E-2</v>
      </c>
      <c r="AO908" s="9">
        <v>3.5382340941208006E-2</v>
      </c>
    </row>
    <row r="909" spans="28:41" x14ac:dyDescent="0.2">
      <c r="AB909" s="9"/>
      <c r="AC909" s="20"/>
      <c r="AE909" s="22" cm="1">
        <f t="array" aca="1" ref="AE909" ca="1">SQRT(MMULT(MMULT(AG909:AK909,var_covar),TRANSPOSE(AG909:AK909)))</f>
        <v>0.13844337993350764</v>
      </c>
      <c r="AF909" s="22">
        <f t="shared" ca="1" si="36"/>
        <v>3.4283892497762883E-2</v>
      </c>
      <c r="AG909">
        <f ca="1"/>
        <v>0.5661139780458031</v>
      </c>
      <c r="AH909">
        <f ca="1"/>
        <v>0.38147213093833482</v>
      </c>
      <c r="AI909">
        <f ca="1"/>
        <v>-0.52297745385778693</v>
      </c>
      <c r="AJ909">
        <f ca="1"/>
        <v>-2.0187398974409514E-2</v>
      </c>
      <c r="AK909">
        <f ca="1"/>
        <v>0.59557874384805853</v>
      </c>
      <c r="AN909" s="9">
        <v>9.061725336609204E-2</v>
      </c>
      <c r="AO909" s="9">
        <v>2.7194365208038841E-2</v>
      </c>
    </row>
    <row r="910" spans="28:41" x14ac:dyDescent="0.2">
      <c r="AB910" s="9"/>
      <c r="AC910" s="20"/>
      <c r="AE910" s="22" cm="1">
        <f t="array" aca="1" ref="AE910" ca="1">SQRT(MMULT(MMULT(AG910:AK910,var_covar),TRANSPOSE(AG910:AK910)))</f>
        <v>9.2662196572703096E-2</v>
      </c>
      <c r="AF910" s="22">
        <f t="shared" ca="1" si="36"/>
        <v>3.3308705513613313E-2</v>
      </c>
      <c r="AG910">
        <f ca="1"/>
        <v>0.11525799540495804</v>
      </c>
      <c r="AH910">
        <f ca="1"/>
        <v>0.43757848775376551</v>
      </c>
      <c r="AI910">
        <f ca="1"/>
        <v>4.2690506589658228E-2</v>
      </c>
      <c r="AJ910">
        <f ca="1"/>
        <v>0.10466074204027136</v>
      </c>
      <c r="AK910">
        <f ca="1"/>
        <v>0.29981226821134682</v>
      </c>
      <c r="AN910" s="9">
        <v>9.0542805242242425E-2</v>
      </c>
      <c r="AO910" s="9">
        <v>2.9642200501144925E-2</v>
      </c>
    </row>
    <row r="911" spans="28:41" x14ac:dyDescent="0.2">
      <c r="AB911" s="9"/>
      <c r="AC911" s="20"/>
      <c r="AE911" s="22" cm="1">
        <f t="array" aca="1" ref="AE911" ca="1">SQRT(MMULT(MMULT(AG911:AK911,var_covar),TRANSPOSE(AG911:AK911)))</f>
        <v>0.18999044713210339</v>
      </c>
      <c r="AF911" s="22">
        <f t="shared" ca="1" si="36"/>
        <v>2.9754480049877231E-2</v>
      </c>
      <c r="AG911">
        <f ca="1"/>
        <v>0.20923955438538808</v>
      </c>
      <c r="AH911">
        <f ca="1"/>
        <v>5.7139609510681467E-3</v>
      </c>
      <c r="AI911">
        <f ca="1"/>
        <v>0.13412073848839204</v>
      </c>
      <c r="AJ911">
        <f ca="1"/>
        <v>-0.41108602210992956</v>
      </c>
      <c r="AK911">
        <f ca="1"/>
        <v>1.0620117682850811</v>
      </c>
      <c r="AN911" s="9">
        <v>9.0459703261681609E-2</v>
      </c>
      <c r="AO911" s="9">
        <v>4.1455904063553949E-2</v>
      </c>
    </row>
    <row r="912" spans="28:41" x14ac:dyDescent="0.2">
      <c r="AB912" s="9"/>
      <c r="AC912" s="20"/>
      <c r="AE912" s="22" cm="1">
        <f t="array" aca="1" ref="AE912" ca="1">SQRT(MMULT(MMULT(AG912:AK912,var_covar),TRANSPOSE(AG912:AK912)))</f>
        <v>0.1056728058587429</v>
      </c>
      <c r="AF912" s="22">
        <f t="shared" ca="1" si="36"/>
        <v>4.3418050381592861E-2</v>
      </c>
      <c r="AG912">
        <f ca="1"/>
        <v>0.1451742234914784</v>
      </c>
      <c r="AH912">
        <f ca="1"/>
        <v>9.2373843083171675E-2</v>
      </c>
      <c r="AI912">
        <f ca="1"/>
        <v>3.7810100479280274E-2</v>
      </c>
      <c r="AJ912">
        <f ca="1"/>
        <v>0.37312349409664797</v>
      </c>
      <c r="AK912">
        <f ca="1"/>
        <v>0.35151833884942157</v>
      </c>
      <c r="AN912" s="9">
        <v>9.0418950324270692E-2</v>
      </c>
      <c r="AO912" s="9">
        <v>3.4608551075739041E-2</v>
      </c>
    </row>
    <row r="913" spans="28:41" x14ac:dyDescent="0.2">
      <c r="AB913" s="9"/>
      <c r="AC913" s="20"/>
      <c r="AE913" s="22" cm="1">
        <f t="array" aca="1" ref="AE913" ca="1">SQRT(MMULT(MMULT(AG913:AK913,var_covar),TRANSPOSE(AG913:AK913)))</f>
        <v>0.10801667715885954</v>
      </c>
      <c r="AF913" s="22">
        <f t="shared" ca="1" si="36"/>
        <v>4.7946790279842687E-2</v>
      </c>
      <c r="AG913">
        <f ca="1"/>
        <v>0.579583076674963</v>
      </c>
      <c r="AH913">
        <f ca="1"/>
        <v>-0.23924490731901751</v>
      </c>
      <c r="AI913">
        <f ca="1"/>
        <v>4.8524723941308504E-3</v>
      </c>
      <c r="AJ913">
        <f ca="1"/>
        <v>0.46290953743460761</v>
      </c>
      <c r="AK913">
        <f ca="1"/>
        <v>0.19189982081531595</v>
      </c>
      <c r="AN913" s="9">
        <v>9.0388341148829224E-2</v>
      </c>
      <c r="AO913" s="9">
        <v>4.0820521844363751E-2</v>
      </c>
    </row>
    <row r="914" spans="28:41" x14ac:dyDescent="0.2">
      <c r="AB914" s="9"/>
      <c r="AC914" s="20"/>
      <c r="AE914" s="22" cm="1">
        <f t="array" aca="1" ref="AE914" ca="1">SQRT(MMULT(MMULT(AG914:AK914,var_covar),TRANSPOSE(AG914:AK914)))</f>
        <v>0.10677459385498055</v>
      </c>
      <c r="AF914" s="22">
        <f t="shared" ca="1" si="36"/>
        <v>3.834130198834404E-2</v>
      </c>
      <c r="AG914">
        <f ca="1"/>
        <v>0.58223097890608078</v>
      </c>
      <c r="AH914">
        <f ca="1"/>
        <v>5.8143532306990688E-2</v>
      </c>
      <c r="AI914">
        <f ca="1"/>
        <v>-0.14696356650394826</v>
      </c>
      <c r="AJ914">
        <f ca="1"/>
        <v>0.11180518814979382</v>
      </c>
      <c r="AK914">
        <f ca="1"/>
        <v>0.39478386714108282</v>
      </c>
      <c r="AN914" s="9">
        <v>9.0359960736109995E-2</v>
      </c>
      <c r="AO914" s="9">
        <v>3.6894499138735812E-2</v>
      </c>
    </row>
    <row r="915" spans="28:41" x14ac:dyDescent="0.2">
      <c r="AB915" s="9"/>
      <c r="AC915" s="20"/>
      <c r="AE915" s="22" cm="1">
        <f t="array" aca="1" ref="AE915" ca="1">SQRT(MMULT(MMULT(AG915:AK915,var_covar),TRANSPOSE(AG915:AK915)))</f>
        <v>0.24615712451059829</v>
      </c>
      <c r="AF915" s="22">
        <f t="shared" ca="1" si="36"/>
        <v>9.0106147134903378E-2</v>
      </c>
      <c r="AG915">
        <f ca="1"/>
        <v>-0.2876817092927148</v>
      </c>
      <c r="AH915">
        <f ca="1"/>
        <v>-0.83655889747397161</v>
      </c>
      <c r="AI915">
        <f ca="1"/>
        <v>-0.31923237532196169</v>
      </c>
      <c r="AJ915">
        <f ca="1"/>
        <v>1.8509789218651975</v>
      </c>
      <c r="AK915">
        <f ca="1"/>
        <v>0.59249406022345041</v>
      </c>
      <c r="AN915" s="9">
        <v>9.0272668104413575E-2</v>
      </c>
      <c r="AO915" s="9">
        <v>3.9450615574369449E-2</v>
      </c>
    </row>
    <row r="916" spans="28:41" x14ac:dyDescent="0.2">
      <c r="AB916" s="9"/>
      <c r="AC916" s="20"/>
      <c r="AE916" s="22" cm="1">
        <f t="array" aca="1" ref="AE916" ca="1">SQRT(MMULT(MMULT(AG916:AK916,var_covar),TRANSPOSE(AG916:AK916)))</f>
        <v>0.16129390872287749</v>
      </c>
      <c r="AF916" s="22">
        <f t="shared" ca="1" si="36"/>
        <v>4.8330223478647523E-2</v>
      </c>
      <c r="AG916">
        <f ca="1"/>
        <v>0.41782802252972578</v>
      </c>
      <c r="AH916">
        <f ca="1"/>
        <v>-0.29410355262841853</v>
      </c>
      <c r="AI916">
        <f ca="1"/>
        <v>-0.19801499667263026</v>
      </c>
      <c r="AJ916">
        <f ca="1"/>
        <v>0.27637273226822889</v>
      </c>
      <c r="AK916">
        <f ca="1"/>
        <v>0.79791779450309419</v>
      </c>
      <c r="AN916" s="9">
        <v>9.0209879985442651E-2</v>
      </c>
      <c r="AO916" s="9">
        <v>3.0961657551904394E-2</v>
      </c>
    </row>
    <row r="917" spans="28:41" x14ac:dyDescent="0.2">
      <c r="AB917" s="9"/>
      <c r="AC917" s="20"/>
      <c r="AE917" s="22" cm="1">
        <f t="array" aca="1" ref="AE917" ca="1">SQRT(MMULT(MMULT(AG917:AK917,var_covar),TRANSPOSE(AG917:AK917)))</f>
        <v>0.16053189854078995</v>
      </c>
      <c r="AF917" s="22">
        <f t="shared" ca="1" si="36"/>
        <v>5.5723670915047138E-2</v>
      </c>
      <c r="AG917">
        <f ca="1"/>
        <v>0.25925787310525822</v>
      </c>
      <c r="AH917">
        <f ca="1"/>
        <v>-0.8261315379633668</v>
      </c>
      <c r="AI917">
        <f ca="1"/>
        <v>0.59206886806194003</v>
      </c>
      <c r="AJ917">
        <f ca="1"/>
        <v>0.55664616614791829</v>
      </c>
      <c r="AK917">
        <f ca="1"/>
        <v>0.41815863064825004</v>
      </c>
      <c r="AN917" s="9">
        <v>9.0180821340053063E-2</v>
      </c>
      <c r="AO917" s="9">
        <v>3.3042290870137651E-2</v>
      </c>
    </row>
    <row r="918" spans="28:41" x14ac:dyDescent="0.2">
      <c r="AB918" s="9"/>
      <c r="AC918" s="20"/>
      <c r="AE918" s="22" cm="1">
        <f t="array" aca="1" ref="AE918" ca="1">SQRT(MMULT(MMULT(AG918:AK918,var_covar),TRANSPOSE(AG918:AK918)))</f>
        <v>0.43872999734000845</v>
      </c>
      <c r="AF918" s="22">
        <f t="shared" ca="1" si="36"/>
        <v>4.8392560948682981E-2</v>
      </c>
      <c r="AG918">
        <f ca="1"/>
        <v>-1.0806789194479784</v>
      </c>
      <c r="AH918">
        <f ca="1"/>
        <v>1.2128184380010194</v>
      </c>
      <c r="AI918">
        <f ca="1"/>
        <v>1.186302890747527</v>
      </c>
      <c r="AJ918">
        <f ca="1"/>
        <v>1.8289893447240992</v>
      </c>
      <c r="AK918">
        <f ca="1"/>
        <v>-2.1474317540246672</v>
      </c>
      <c r="AN918" s="9">
        <v>9.0174458324471907E-2</v>
      </c>
      <c r="AO918" s="9">
        <v>3.0122524939682017E-2</v>
      </c>
    </row>
    <row r="919" spans="28:41" x14ac:dyDescent="0.2">
      <c r="AB919" s="9"/>
      <c r="AC919" s="20"/>
      <c r="AE919" s="22" cm="1">
        <f t="array" aca="1" ref="AE919" ca="1">SQRT(MMULT(MMULT(AG919:AK919,var_covar),TRANSPOSE(AG919:AK919)))</f>
        <v>0.17528563952976797</v>
      </c>
      <c r="AF919" s="22">
        <f t="shared" ca="1" si="36"/>
        <v>6.7856487807314653E-2</v>
      </c>
      <c r="AG919">
        <f ca="1"/>
        <v>0.81186259946779804</v>
      </c>
      <c r="AH919">
        <f ca="1"/>
        <v>-0.39761706855765122</v>
      </c>
      <c r="AI919">
        <f ca="1"/>
        <v>-0.78025756320121786</v>
      </c>
      <c r="AJ919">
        <f ca="1"/>
        <v>1.1342988977847772</v>
      </c>
      <c r="AK919">
        <f ca="1"/>
        <v>0.23171313450629369</v>
      </c>
      <c r="AN919" s="9">
        <v>8.9992995252857214E-2</v>
      </c>
      <c r="AO919" s="9">
        <v>2.9411344022808504E-2</v>
      </c>
    </row>
    <row r="920" spans="28:41" x14ac:dyDescent="0.2">
      <c r="AB920" s="9"/>
      <c r="AC920" s="20"/>
      <c r="AE920" s="22" cm="1">
        <f t="array" aca="1" ref="AE920" ca="1">SQRT(MMULT(MMULT(AG920:AK920,var_covar),TRANSPOSE(AG920:AK920)))</f>
        <v>0.25163481164857321</v>
      </c>
      <c r="AF920" s="22">
        <f t="shared" ca="1" si="36"/>
        <v>6.1148136008348446E-2</v>
      </c>
      <c r="AG920">
        <f ca="1"/>
        <v>-0.42600654194473875</v>
      </c>
      <c r="AH920">
        <f ca="1"/>
        <v>0.56223630806005753</v>
      </c>
      <c r="AI920">
        <f ca="1"/>
        <v>-1.2358922592039039</v>
      </c>
      <c r="AJ920">
        <f ca="1"/>
        <v>0.96664269642869793</v>
      </c>
      <c r="AK920">
        <f ca="1"/>
        <v>1.1330197966598874</v>
      </c>
      <c r="AN920" s="9">
        <v>8.9902856043815843E-2</v>
      </c>
      <c r="AO920" s="9">
        <v>3.3260230986640701E-2</v>
      </c>
    </row>
    <row r="921" spans="28:41" x14ac:dyDescent="0.2">
      <c r="AB921" s="9"/>
      <c r="AC921" s="20"/>
      <c r="AE921" s="22" cm="1">
        <f t="array" aca="1" ref="AE921" ca="1">SQRT(MMULT(MMULT(AG921:AK921,var_covar),TRANSPOSE(AG921:AK921)))</f>
        <v>0.15131818025482063</v>
      </c>
      <c r="AF921" s="22">
        <f t="shared" ca="1" si="36"/>
        <v>3.0213265600696912E-2</v>
      </c>
      <c r="AG921">
        <f ca="1"/>
        <v>1.0373080818585927</v>
      </c>
      <c r="AH921">
        <f ca="1"/>
        <v>-0.24627198561393571</v>
      </c>
      <c r="AI921">
        <f ca="1"/>
        <v>0.81009443355425104</v>
      </c>
      <c r="AJ921">
        <f ca="1"/>
        <v>1.4119951979814725E-2</v>
      </c>
      <c r="AK921">
        <f ca="1"/>
        <v>-0.61525048177872266</v>
      </c>
      <c r="AN921" s="9">
        <v>8.9584927323395472E-2</v>
      </c>
      <c r="AO921" s="9">
        <v>3.3755265545352929E-2</v>
      </c>
    </row>
    <row r="922" spans="28:41" x14ac:dyDescent="0.2">
      <c r="AB922" s="9"/>
      <c r="AC922" s="20"/>
      <c r="AE922" s="22" cm="1">
        <f t="array" aca="1" ref="AE922" ca="1">SQRT(MMULT(MMULT(AG922:AK922,var_covar),TRANSPOSE(AG922:AK922)))</f>
        <v>2.0104875644757216</v>
      </c>
      <c r="AF922" s="22">
        <f t="shared" ca="1" si="36"/>
        <v>-8.8599136861001293E-2</v>
      </c>
      <c r="AG922">
        <f ca="1"/>
        <v>1.2541631196025467</v>
      </c>
      <c r="AH922">
        <f ca="1"/>
        <v>-6.6406551706706007E-2</v>
      </c>
      <c r="AI922">
        <f ca="1"/>
        <v>11.668848992044841</v>
      </c>
      <c r="AJ922">
        <f ca="1"/>
        <v>-1.0164060559089378</v>
      </c>
      <c r="AK922">
        <f ca="1"/>
        <v>-10.840199504031743</v>
      </c>
      <c r="AN922" s="9">
        <v>8.9421669116717756E-2</v>
      </c>
      <c r="AO922" s="9">
        <v>4.0169501548221326E-2</v>
      </c>
    </row>
    <row r="923" spans="28:41" x14ac:dyDescent="0.2">
      <c r="AB923" s="9"/>
      <c r="AC923" s="20"/>
      <c r="AE923" s="22" cm="1">
        <f t="array" aca="1" ref="AE923" ca="1">SQRT(MMULT(MMULT(AG923:AK923,var_covar),TRANSPOSE(AG923:AK923)))</f>
        <v>0.19095973149816012</v>
      </c>
      <c r="AF923" s="22">
        <f t="shared" ca="1" si="36"/>
        <v>2.6024645429454221E-2</v>
      </c>
      <c r="AG923">
        <f ca="1"/>
        <v>0.7570549720769415</v>
      </c>
      <c r="AH923">
        <f ca="1"/>
        <v>-0.91951268106723083</v>
      </c>
      <c r="AI923">
        <f ca="1"/>
        <v>1.5048827164194112</v>
      </c>
      <c r="AJ923">
        <f ca="1"/>
        <v>-0.58223593708999011</v>
      </c>
      <c r="AK923">
        <f ca="1"/>
        <v>0.23981092966086831</v>
      </c>
      <c r="AN923" s="9">
        <v>8.935341872552123E-2</v>
      </c>
      <c r="AO923" s="9">
        <v>2.8394313499912241E-2</v>
      </c>
    </row>
    <row r="924" spans="28:41" x14ac:dyDescent="0.2">
      <c r="AB924" s="9"/>
      <c r="AC924" s="20"/>
      <c r="AE924" s="22" cm="1">
        <f t="array" aca="1" ref="AE924" ca="1">SQRT(MMULT(MMULT(AG924:AK924,var_covar),TRANSPOSE(AG924:AK924)))</f>
        <v>0.29262520177316764</v>
      </c>
      <c r="AF924" s="22">
        <f t="shared" ca="1" si="36"/>
        <v>-5.5286566930419154E-3</v>
      </c>
      <c r="AG924">
        <f ca="1"/>
        <v>1.7708069986544683</v>
      </c>
      <c r="AH924">
        <f ca="1"/>
        <v>-0.26985973407464225</v>
      </c>
      <c r="AI924">
        <f ca="1"/>
        <v>1.9205604704905384</v>
      </c>
      <c r="AJ924">
        <f ca="1"/>
        <v>-1.2231794420100019</v>
      </c>
      <c r="AK924">
        <f ca="1"/>
        <v>-1.1983282930603623</v>
      </c>
      <c r="AN924" s="9">
        <v>8.9147745413665685E-2</v>
      </c>
      <c r="AO924" s="9">
        <v>3.8293856334151437E-2</v>
      </c>
    </row>
    <row r="925" spans="28:41" x14ac:dyDescent="0.2">
      <c r="AB925" s="9"/>
      <c r="AC925" s="20"/>
      <c r="AE925" s="22" cm="1">
        <f t="array" aca="1" ref="AE925" ca="1">SQRT(MMULT(MMULT(AG925:AK925,var_covar),TRANSPOSE(AG925:AK925)))</f>
        <v>0.26484150020485003</v>
      </c>
      <c r="AF925" s="22">
        <f t="shared" ca="1" si="36"/>
        <v>8.796312392829779E-2</v>
      </c>
      <c r="AG925">
        <f ca="1"/>
        <v>1.196404887112609</v>
      </c>
      <c r="AH925">
        <f ca="1"/>
        <v>-0.61683854364378055</v>
      </c>
      <c r="AI925">
        <f ca="1"/>
        <v>-1.5844914554516463</v>
      </c>
      <c r="AJ925">
        <f ca="1"/>
        <v>1.8046871887503746</v>
      </c>
      <c r="AK925">
        <f ca="1"/>
        <v>0.20023792323244324</v>
      </c>
      <c r="AN925" s="9">
        <v>8.9108817673356169E-2</v>
      </c>
      <c r="AO925" s="9">
        <v>3.8704872934184717E-2</v>
      </c>
    </row>
    <row r="926" spans="28:41" x14ac:dyDescent="0.2">
      <c r="AB926" s="9"/>
      <c r="AC926" s="20"/>
      <c r="AE926" s="22" cm="1">
        <f t="array" aca="1" ref="AE926" ca="1">SQRT(MMULT(MMULT(AG926:AK926,var_covar),TRANSPOSE(AG926:AK926)))</f>
        <v>0.10164377087233684</v>
      </c>
      <c r="AF926" s="22">
        <f t="shared" ca="1" si="36"/>
        <v>3.4298221627723821E-2</v>
      </c>
      <c r="AG926">
        <f ca="1"/>
        <v>0.32046257414892421</v>
      </c>
      <c r="AH926">
        <f ca="1"/>
        <v>0.36891871838811885</v>
      </c>
      <c r="AI926">
        <f ca="1"/>
        <v>-0.14856466608581914</v>
      </c>
      <c r="AJ926">
        <f ca="1"/>
        <v>7.305635443003422E-2</v>
      </c>
      <c r="AK926">
        <f ca="1"/>
        <v>0.38612701911874187</v>
      </c>
      <c r="AN926" s="9">
        <v>8.902201452851527E-2</v>
      </c>
      <c r="AO926" s="9">
        <v>3.3049399689993111E-2</v>
      </c>
    </row>
    <row r="927" spans="28:41" x14ac:dyDescent="0.2">
      <c r="AB927" s="9"/>
      <c r="AC927" s="20"/>
      <c r="AE927" s="22" cm="1">
        <f t="array" aca="1" ref="AE927" ca="1">SQRT(MMULT(MMULT(AG927:AK927,var_covar),TRANSPOSE(AG927:AK927)))</f>
        <v>0.30432236130224372</v>
      </c>
      <c r="AF927" s="22">
        <f t="shared" ca="1" si="36"/>
        <v>-3.2550584156786175E-2</v>
      </c>
      <c r="AG927">
        <f ca="1"/>
        <v>2.0645395205175685</v>
      </c>
      <c r="AH927">
        <f ca="1"/>
        <v>0.76595460190191589</v>
      </c>
      <c r="AI927">
        <f ca="1"/>
        <v>1.2891779593188766</v>
      </c>
      <c r="AJ927">
        <f ca="1"/>
        <v>-2.0337208635800215</v>
      </c>
      <c r="AK927">
        <f ca="1"/>
        <v>-1.0859512181583397</v>
      </c>
      <c r="AN927" s="9">
        <v>8.8885871969347524E-2</v>
      </c>
      <c r="AO927" s="9">
        <v>3.7660417324399877E-2</v>
      </c>
    </row>
    <row r="928" spans="28:41" x14ac:dyDescent="0.2">
      <c r="AB928" s="9"/>
      <c r="AC928" s="20"/>
      <c r="AE928" s="22" cm="1">
        <f t="array" aca="1" ref="AE928" ca="1">SQRT(MMULT(MMULT(AG928:AK928,var_covar),TRANSPOSE(AG928:AK928)))</f>
        <v>0.11796185168951187</v>
      </c>
      <c r="AF928" s="22">
        <f t="shared" ca="1" si="36"/>
        <v>4.2183386029776525E-2</v>
      </c>
      <c r="AG928">
        <f ca="1"/>
        <v>-0.37571653102890279</v>
      </c>
      <c r="AH928">
        <f ca="1"/>
        <v>0.28756569337264232</v>
      </c>
      <c r="AI928">
        <f ca="1"/>
        <v>0.47624726736810608</v>
      </c>
      <c r="AJ928">
        <f ca="1"/>
        <v>0.521161454397713</v>
      </c>
      <c r="AK928">
        <f ca="1"/>
        <v>9.0742115890441524E-2</v>
      </c>
      <c r="AN928" s="9">
        <v>8.8563654955590543E-2</v>
      </c>
      <c r="AO928" s="9">
        <v>3.3014667523752886E-2</v>
      </c>
    </row>
    <row r="929" spans="28:41" x14ac:dyDescent="0.2">
      <c r="AB929" s="9"/>
      <c r="AC929" s="20"/>
      <c r="AE929" s="22" cm="1">
        <f t="array" aca="1" ref="AE929" ca="1">SQRT(MMULT(MMULT(AG929:AK929,var_covar),TRANSPOSE(AG929:AK929)))</f>
        <v>0.60734094037655173</v>
      </c>
      <c r="AF929" s="22">
        <f t="shared" ca="1" si="36"/>
        <v>-2.5968244625273681E-2</v>
      </c>
      <c r="AG929">
        <f ca="1"/>
        <v>3.2351943327137151</v>
      </c>
      <c r="AH929">
        <f ca="1"/>
        <v>-1.9875926560939032</v>
      </c>
      <c r="AI929">
        <f ca="1"/>
        <v>1.2187728844613761</v>
      </c>
      <c r="AJ929">
        <f ca="1"/>
        <v>-3.7924145070566952</v>
      </c>
      <c r="AK929">
        <f ca="1"/>
        <v>2.326039945975507</v>
      </c>
      <c r="AN929" s="9">
        <v>8.8515185510612535E-2</v>
      </c>
      <c r="AO929" s="9">
        <v>2.74586072670817E-2</v>
      </c>
    </row>
    <row r="930" spans="28:41" x14ac:dyDescent="0.2">
      <c r="AB930" s="9"/>
      <c r="AC930" s="20"/>
      <c r="AE930" s="22" cm="1">
        <f t="array" aca="1" ref="AE930" ca="1">SQRT(MMULT(MMULT(AG930:AK930,var_covar),TRANSPOSE(AG930:AK930)))</f>
        <v>0.12504540438535383</v>
      </c>
      <c r="AF930" s="22">
        <f t="shared" ca="1" si="36"/>
        <v>4.3684344639248286E-2</v>
      </c>
      <c r="AG930">
        <f ca="1"/>
        <v>0.38647144957434326</v>
      </c>
      <c r="AH930">
        <f ca="1"/>
        <v>-0.12189398122722228</v>
      </c>
      <c r="AI930">
        <f ca="1"/>
        <v>-4.8884477341887105E-2</v>
      </c>
      <c r="AJ930">
        <f ca="1"/>
        <v>0.23336511644464242</v>
      </c>
      <c r="AK930">
        <f ca="1"/>
        <v>0.55094189255012371</v>
      </c>
      <c r="AN930" s="9">
        <v>8.8504250949627244E-2</v>
      </c>
      <c r="AO930" s="9">
        <v>3.9968048867206826E-2</v>
      </c>
    </row>
    <row r="931" spans="28:41" x14ac:dyDescent="0.2">
      <c r="AB931" s="9"/>
      <c r="AC931" s="20"/>
      <c r="AE931" s="22" cm="1">
        <f t="array" aca="1" ref="AE931" ca="1">SQRT(MMULT(MMULT(AG931:AK931,var_covar),TRANSPOSE(AG931:AK931)))</f>
        <v>0.14908925320597671</v>
      </c>
      <c r="AF931" s="22">
        <f t="shared" ca="1" si="36"/>
        <v>3.3403558098399316E-2</v>
      </c>
      <c r="AG931">
        <f ca="1"/>
        <v>0.46966499037459281</v>
      </c>
      <c r="AH931">
        <f ca="1"/>
        <v>-0.41119896464695327</v>
      </c>
      <c r="AI931">
        <f ca="1"/>
        <v>0.56589808378696393</v>
      </c>
      <c r="AJ931">
        <f ca="1"/>
        <v>-0.27453569939966388</v>
      </c>
      <c r="AK931">
        <f ca="1"/>
        <v>0.65017158988506041</v>
      </c>
      <c r="AN931" s="9">
        <v>8.8423657170376979E-2</v>
      </c>
      <c r="AO931" s="9">
        <v>3.2361892574883824E-2</v>
      </c>
    </row>
    <row r="932" spans="28:41" x14ac:dyDescent="0.2">
      <c r="AB932" s="9"/>
      <c r="AC932" s="20"/>
      <c r="AE932" s="22" cm="1">
        <f t="array" aca="1" ref="AE932" ca="1">SQRT(MMULT(MMULT(AG932:AK932,var_covar),TRANSPOSE(AG932:AK932)))</f>
        <v>0.35276915745211918</v>
      </c>
      <c r="AF932" s="22">
        <f t="shared" ca="1" si="36"/>
        <v>1.7824807789872603E-2</v>
      </c>
      <c r="AG932">
        <f ca="1"/>
        <v>0.56242800939302307</v>
      </c>
      <c r="AH932">
        <f ca="1"/>
        <v>-1.0673190731551938</v>
      </c>
      <c r="AI932">
        <f ca="1"/>
        <v>1.172469486111162</v>
      </c>
      <c r="AJ932">
        <f ca="1"/>
        <v>-1.417670328575992</v>
      </c>
      <c r="AK932">
        <f ca="1"/>
        <v>1.7500919062270006</v>
      </c>
      <c r="AN932" s="9">
        <v>8.8421007627139198E-2</v>
      </c>
      <c r="AO932" s="9">
        <v>2.4035149793749822E-2</v>
      </c>
    </row>
    <row r="933" spans="28:41" x14ac:dyDescent="0.2">
      <c r="AB933" s="9"/>
      <c r="AC933" s="20"/>
      <c r="AE933" s="22" cm="1">
        <f t="array" aca="1" ref="AE933" ca="1">SQRT(MMULT(MMULT(AG933:AK933,var_covar),TRANSPOSE(AG933:AK933)))</f>
        <v>0.1210249862188281</v>
      </c>
      <c r="AF933" s="22">
        <f t="shared" ca="1" si="36"/>
        <v>4.0663824688444636E-2</v>
      </c>
      <c r="AG933">
        <f ca="1"/>
        <v>-0.34132093950990611</v>
      </c>
      <c r="AH933">
        <f ca="1"/>
        <v>0.14880116280910427</v>
      </c>
      <c r="AI933">
        <f ca="1"/>
        <v>0.66981401174808142</v>
      </c>
      <c r="AJ933">
        <f ca="1"/>
        <v>0.4183226410896036</v>
      </c>
      <c r="AK933">
        <f ca="1"/>
        <v>0.10438312386311691</v>
      </c>
      <c r="AN933" s="9">
        <v>8.8335093611732113E-2</v>
      </c>
      <c r="AO933" s="9">
        <v>3.9879067402003393E-2</v>
      </c>
    </row>
    <row r="934" spans="28:41" x14ac:dyDescent="0.2">
      <c r="AB934" s="9"/>
      <c r="AC934" s="20"/>
      <c r="AE934" s="22" cm="1">
        <f t="array" aca="1" ref="AE934" ca="1">SQRT(MMULT(MMULT(AG934:AK934,var_covar),TRANSPOSE(AG934:AK934)))</f>
        <v>9.1628498691424407E-2</v>
      </c>
      <c r="AF934" s="22">
        <f t="shared" ca="1" si="36"/>
        <v>2.2470708593782661E-2</v>
      </c>
      <c r="AG934">
        <f ca="1"/>
        <v>3.408482349982702E-2</v>
      </c>
      <c r="AH934">
        <f ca="1"/>
        <v>0.80733667446015134</v>
      </c>
      <c r="AI934">
        <f ca="1"/>
        <v>0.14740385698531369</v>
      </c>
      <c r="AJ934">
        <f ca="1"/>
        <v>-0.15025588190209238</v>
      </c>
      <c r="AK934">
        <f ca="1"/>
        <v>0.16143052695680041</v>
      </c>
      <c r="AN934" s="9">
        <v>8.7892890851345065E-2</v>
      </c>
      <c r="AO934" s="9">
        <v>3.3966914185138496E-2</v>
      </c>
    </row>
    <row r="935" spans="28:41" x14ac:dyDescent="0.2">
      <c r="AB935" s="9"/>
      <c r="AC935" s="20"/>
      <c r="AE935" s="22" cm="1">
        <f t="array" aca="1" ref="AE935" ca="1">SQRT(MMULT(MMULT(AG935:AK935,var_covar),TRANSPOSE(AG935:AK935)))</f>
        <v>0.36288734548413182</v>
      </c>
      <c r="AF935" s="22">
        <f t="shared" ca="1" si="36"/>
        <v>-5.7215899102627095E-2</v>
      </c>
      <c r="AG935">
        <f ca="1"/>
        <v>-1.2961522525141969</v>
      </c>
      <c r="AH935">
        <f ca="1"/>
        <v>3.4476835209316969</v>
      </c>
      <c r="AI935">
        <f ca="1"/>
        <v>1.3152945020133933</v>
      </c>
      <c r="AJ935">
        <f ca="1"/>
        <v>-2.1490274614904954</v>
      </c>
      <c r="AK935">
        <f ca="1"/>
        <v>-0.31779830894039729</v>
      </c>
      <c r="AN935" s="9">
        <v>8.7867775057322087E-2</v>
      </c>
      <c r="AO935" s="9">
        <v>2.4221348495705654E-2</v>
      </c>
    </row>
    <row r="936" spans="28:41" x14ac:dyDescent="0.2">
      <c r="AB936" s="9"/>
      <c r="AC936" s="20"/>
      <c r="AE936" s="22" cm="1">
        <f t="array" aca="1" ref="AE936" ca="1">SQRT(MMULT(MMULT(AG936:AK936,var_covar),TRANSPOSE(AG936:AK936)))</f>
        <v>0.40591401966389318</v>
      </c>
      <c r="AF936" s="22">
        <f t="shared" ca="1" si="36"/>
        <v>4.624180216703077E-2</v>
      </c>
      <c r="AG936">
        <f ca="1"/>
        <v>1.4800073509343361</v>
      </c>
      <c r="AH936">
        <f ca="1"/>
        <v>2.0831987439689486</v>
      </c>
      <c r="AI936">
        <f ca="1"/>
        <v>-3.1924375152696651</v>
      </c>
      <c r="AJ936">
        <f ca="1"/>
        <v>1.1753270789647299</v>
      </c>
      <c r="AK936">
        <f ca="1"/>
        <v>-0.54609565859834941</v>
      </c>
      <c r="AN936" s="9">
        <v>8.7684138708466239E-2</v>
      </c>
      <c r="AO936" s="9">
        <v>3.7975558822634314E-2</v>
      </c>
    </row>
    <row r="937" spans="28:41" x14ac:dyDescent="0.2">
      <c r="AB937" s="9"/>
      <c r="AC937" s="20"/>
      <c r="AE937" s="22" cm="1">
        <f t="array" aca="1" ref="AE937" ca="1">SQRT(MMULT(MMULT(AG937:AK937,var_covar),TRANSPOSE(AG937:AK937)))</f>
        <v>0.10538317107717975</v>
      </c>
      <c r="AF937" s="22">
        <f t="shared" ca="1" si="36"/>
        <v>1.9548728262889732E-2</v>
      </c>
      <c r="AG937">
        <f ca="1"/>
        <v>0.3320757417804775</v>
      </c>
      <c r="AH937">
        <f ca="1"/>
        <v>0.48973509330217468</v>
      </c>
      <c r="AI937">
        <f ca="1"/>
        <v>0.71714396038066131</v>
      </c>
      <c r="AJ937">
        <f ca="1"/>
        <v>-0.21409699469716886</v>
      </c>
      <c r="AK937">
        <f ca="1"/>
        <v>-0.32485780076614468</v>
      </c>
      <c r="AN937" s="9">
        <v>8.7293181994388125E-2</v>
      </c>
      <c r="AO937" s="9">
        <v>3.2265648133884384E-2</v>
      </c>
    </row>
    <row r="938" spans="28:41" x14ac:dyDescent="0.2">
      <c r="AB938" s="9"/>
      <c r="AC938" s="20"/>
      <c r="AE938" s="22" cm="1">
        <f t="array" aca="1" ref="AE938" ca="1">SQRT(MMULT(MMULT(AG938:AK938,var_covar),TRANSPOSE(AG938:AK938)))</f>
        <v>0.11990396248084988</v>
      </c>
      <c r="AF938" s="22">
        <f t="shared" ca="1" si="36"/>
        <v>4.0729829303659378E-2</v>
      </c>
      <c r="AG938">
        <f ca="1"/>
        <v>-0.17051096241662206</v>
      </c>
      <c r="AH938">
        <f ca="1"/>
        <v>1.7606244567283467E-2</v>
      </c>
      <c r="AI938">
        <f ca="1"/>
        <v>0.48961610544758161</v>
      </c>
      <c r="AJ938">
        <f ca="1"/>
        <v>0.27107045411976644</v>
      </c>
      <c r="AK938">
        <f ca="1"/>
        <v>0.39221815828199064</v>
      </c>
      <c r="AN938" s="9">
        <v>8.7027830251826199E-2</v>
      </c>
      <c r="AO938" s="9">
        <v>3.8413194808090814E-2</v>
      </c>
    </row>
    <row r="939" spans="28:41" x14ac:dyDescent="0.2">
      <c r="AB939" s="9"/>
      <c r="AC939" s="20"/>
      <c r="AE939" s="22" cm="1">
        <f t="array" aca="1" ref="AE939" ca="1">SQRT(MMULT(MMULT(AG939:AK939,var_covar),TRANSPOSE(AG939:AK939)))</f>
        <v>0.22576918692906606</v>
      </c>
      <c r="AF939" s="22">
        <f t="shared" ca="1" si="36"/>
        <v>6.5489336744309137E-2</v>
      </c>
      <c r="AG939">
        <f ca="1"/>
        <v>0.20750694092492414</v>
      </c>
      <c r="AH939">
        <f ca="1"/>
        <v>-0.53389333850810161</v>
      </c>
      <c r="AI939">
        <f ca="1"/>
        <v>-0.56364971349547066</v>
      </c>
      <c r="AJ939">
        <f ca="1"/>
        <v>0.77581595867392839</v>
      </c>
      <c r="AK939">
        <f ca="1"/>
        <v>1.1142201524047197</v>
      </c>
      <c r="AN939" s="9">
        <v>8.6850613445245986E-2</v>
      </c>
      <c r="AO939" s="9">
        <v>3.3666762304129835E-2</v>
      </c>
    </row>
    <row r="940" spans="28:41" x14ac:dyDescent="0.2">
      <c r="AB940" s="9"/>
      <c r="AC940" s="20"/>
      <c r="AE940" s="22" cm="1">
        <f t="array" aca="1" ref="AE940" ca="1">SQRT(MMULT(MMULT(AG940:AK940,var_covar),TRANSPOSE(AG940:AK940)))</f>
        <v>8.9954590608052082E-2</v>
      </c>
      <c r="AF940" s="22">
        <f t="shared" ca="1" si="36"/>
        <v>3.5634772376054669E-2</v>
      </c>
      <c r="AG940">
        <f ca="1"/>
        <v>0.32321192908096374</v>
      </c>
      <c r="AH940">
        <f ca="1"/>
        <v>0.24155510655062218</v>
      </c>
      <c r="AI940">
        <f ca="1"/>
        <v>0.3300983583132619</v>
      </c>
      <c r="AJ940">
        <f ca="1"/>
        <v>0.27577210595728952</v>
      </c>
      <c r="AK940">
        <f ca="1"/>
        <v>-0.17063749990213725</v>
      </c>
      <c r="AN940" s="9">
        <v>8.6732040850409114E-2</v>
      </c>
      <c r="AO940" s="9">
        <v>3.10093752274226E-2</v>
      </c>
    </row>
    <row r="941" spans="28:41" x14ac:dyDescent="0.2">
      <c r="AB941" s="9"/>
      <c r="AC941" s="20"/>
      <c r="AE941" s="22" cm="1">
        <f t="array" aca="1" ref="AE941" ca="1">SQRT(MMULT(MMULT(AG941:AK941,var_covar),TRANSPOSE(AG941:AK941)))</f>
        <v>9.2390026461527053E-2</v>
      </c>
      <c r="AF941" s="22">
        <f t="shared" ca="1" si="36"/>
        <v>3.4444060795141354E-2</v>
      </c>
      <c r="AG941">
        <f ca="1"/>
        <v>0.70866831513362449</v>
      </c>
      <c r="AH941">
        <f ca="1"/>
        <v>8.4367062072250171E-3</v>
      </c>
      <c r="AI941">
        <f ca="1"/>
        <v>5.8760700570374885E-2</v>
      </c>
      <c r="AJ941">
        <f ca="1"/>
        <v>-7.1284429567007443E-3</v>
      </c>
      <c r="AK941">
        <f ca="1"/>
        <v>0.23126272104547649</v>
      </c>
      <c r="AN941" s="9">
        <v>8.6665832264181911E-2</v>
      </c>
      <c r="AO941" s="9">
        <v>2.3608951656622273E-2</v>
      </c>
    </row>
    <row r="942" spans="28:41" x14ac:dyDescent="0.2">
      <c r="AB942" s="9"/>
      <c r="AC942" s="20"/>
      <c r="AE942" s="22" cm="1">
        <f t="array" aca="1" ref="AE942" ca="1">SQRT(MMULT(MMULT(AG942:AK942,var_covar),TRANSPOSE(AG942:AK942)))</f>
        <v>8.7172441140822718E-2</v>
      </c>
      <c r="AF942" s="22">
        <f t="shared" ca="1" si="36"/>
        <v>3.8337917616134184E-2</v>
      </c>
      <c r="AG942">
        <f ca="1"/>
        <v>0.16797102283062582</v>
      </c>
      <c r="AH942">
        <f ca="1"/>
        <v>0.26351350970492071</v>
      </c>
      <c r="AI942">
        <f ca="1"/>
        <v>0.14492949176645059</v>
      </c>
      <c r="AJ942">
        <f ca="1"/>
        <v>0.30203681840748575</v>
      </c>
      <c r="AK942">
        <f ca="1"/>
        <v>0.12154915729051707</v>
      </c>
      <c r="AN942" s="9">
        <v>8.6564850321498382E-2</v>
      </c>
      <c r="AO942" s="9">
        <v>3.2677003376284562E-2</v>
      </c>
    </row>
    <row r="943" spans="28:41" x14ac:dyDescent="0.2">
      <c r="AB943" s="9"/>
      <c r="AC943" s="20"/>
      <c r="AE943" s="22" cm="1">
        <f t="array" aca="1" ref="AE943" ca="1">SQRT(MMULT(MMULT(AG943:AK943,var_covar),TRANSPOSE(AG943:AK943)))</f>
        <v>9.35562400176881E-2</v>
      </c>
      <c r="AF943" s="22">
        <f t="shared" ca="1" si="36"/>
        <v>3.3079033937515802E-2</v>
      </c>
      <c r="AG943">
        <f ca="1"/>
        <v>0.45926198264944412</v>
      </c>
      <c r="AH943">
        <f ca="1"/>
        <v>0.40585345946302082</v>
      </c>
      <c r="AI943">
        <f ca="1"/>
        <v>0.16100681258323968</v>
      </c>
      <c r="AJ943">
        <f ca="1"/>
        <v>0.24172146171978268</v>
      </c>
      <c r="AK943">
        <f ca="1"/>
        <v>-0.26784371641548727</v>
      </c>
      <c r="AN943" s="9">
        <v>8.6433230574053915E-2</v>
      </c>
      <c r="AO943" s="9">
        <v>1.9625955368725783E-2</v>
      </c>
    </row>
    <row r="944" spans="28:41" x14ac:dyDescent="0.2">
      <c r="AB944" s="9"/>
      <c r="AC944" s="20"/>
      <c r="AE944" s="22" cm="1">
        <f t="array" aca="1" ref="AE944" ca="1">SQRT(MMULT(MMULT(AG944:AK944,var_covar),TRANSPOSE(AG944:AK944)))</f>
        <v>0.7063845365226612</v>
      </c>
      <c r="AF944" s="22">
        <f t="shared" ca="1" si="36"/>
        <v>9.4441034179294378E-2</v>
      </c>
      <c r="AG944">
        <f ca="1"/>
        <v>4.57251642810267</v>
      </c>
      <c r="AH944">
        <f ca="1"/>
        <v>-5.1087969266008066</v>
      </c>
      <c r="AI944">
        <f ca="1"/>
        <v>-0.81975788933416238</v>
      </c>
      <c r="AJ944">
        <f ca="1"/>
        <v>-0.35416956354151635</v>
      </c>
      <c r="AK944">
        <f ca="1"/>
        <v>2.7102079513738153</v>
      </c>
      <c r="AN944" s="9">
        <v>8.6348040048154953E-2</v>
      </c>
      <c r="AO944" s="9">
        <v>3.8713962185567663E-2</v>
      </c>
    </row>
    <row r="945" spans="28:41" x14ac:dyDescent="0.2">
      <c r="AB945" s="9"/>
      <c r="AC945" s="20"/>
      <c r="AE945" s="22" cm="1">
        <f t="array" aca="1" ref="AE945" ca="1">SQRT(MMULT(MMULT(AG945:AK945,var_covar),TRANSPOSE(AG945:AK945)))</f>
        <v>0.20527849689581226</v>
      </c>
      <c r="AF945" s="22">
        <f t="shared" ca="1" si="36"/>
        <v>7.0766345359979305E-2</v>
      </c>
      <c r="AG945">
        <f ca="1"/>
        <v>0.2570149535854247</v>
      </c>
      <c r="AH945">
        <f ca="1"/>
        <v>-0.83721367127974067</v>
      </c>
      <c r="AI945">
        <f ca="1"/>
        <v>-0.22470641787378676</v>
      </c>
      <c r="AJ945">
        <f ca="1"/>
        <v>0.98814504624436228</v>
      </c>
      <c r="AK945">
        <f ca="1"/>
        <v>0.81676008932374045</v>
      </c>
      <c r="AN945" s="9">
        <v>8.6032570784432605E-2</v>
      </c>
      <c r="AO945" s="9">
        <v>3.4465253589828902E-2</v>
      </c>
    </row>
    <row r="946" spans="28:41" x14ac:dyDescent="0.2">
      <c r="AB946" s="9"/>
      <c r="AC946" s="20"/>
      <c r="AE946" s="22" cm="1">
        <f t="array" aca="1" ref="AE946" ca="1">SQRT(MMULT(MMULT(AG946:AK946,var_covar),TRANSPOSE(AG946:AK946)))</f>
        <v>0.16759252462832078</v>
      </c>
      <c r="AF946" s="22">
        <f t="shared" ca="1" si="36"/>
        <v>5.4936595524571516E-2</v>
      </c>
      <c r="AG946">
        <f ca="1"/>
        <v>0.5069038698516255</v>
      </c>
      <c r="AH946">
        <f ca="1"/>
        <v>-0.33207395789649746</v>
      </c>
      <c r="AI946">
        <f ca="1"/>
        <v>-0.44518067446820248</v>
      </c>
      <c r="AJ946">
        <f ca="1"/>
        <v>0.52329996773305809</v>
      </c>
      <c r="AK946">
        <f ca="1"/>
        <v>0.74705079478001635</v>
      </c>
      <c r="AN946" s="9">
        <v>8.5892160007362675E-2</v>
      </c>
      <c r="AO946" s="9">
        <v>3.6063328169425542E-2</v>
      </c>
    </row>
    <row r="947" spans="28:41" x14ac:dyDescent="0.2">
      <c r="AB947" s="9"/>
      <c r="AC947" s="20"/>
      <c r="AE947" s="22" cm="1">
        <f t="array" aca="1" ref="AE947" ca="1">SQRT(MMULT(MMULT(AG947:AK947,var_covar),TRANSPOSE(AG947:AK947)))</f>
        <v>1.3675122658119556</v>
      </c>
      <c r="AF947" s="22">
        <f t="shared" ca="1" si="36"/>
        <v>-0.21861143075394501</v>
      </c>
      <c r="AG947">
        <f ca="1"/>
        <v>0.42757406768738998</v>
      </c>
      <c r="AH947">
        <f ca="1"/>
        <v>3.895142188717351</v>
      </c>
      <c r="AI947">
        <f ca="1"/>
        <v>9.0339588559711483</v>
      </c>
      <c r="AJ947">
        <f ca="1"/>
        <v>-6.4182130412400999</v>
      </c>
      <c r="AK947">
        <f ca="1"/>
        <v>-5.9384620711357883</v>
      </c>
      <c r="AN947" s="9">
        <v>8.5666226542493715E-2</v>
      </c>
      <c r="AO947" s="9">
        <v>3.3874823927103469E-2</v>
      </c>
    </row>
    <row r="948" spans="28:41" x14ac:dyDescent="0.2">
      <c r="AB948" s="9"/>
      <c r="AC948" s="20"/>
      <c r="AE948" s="22" cm="1">
        <f t="array" aca="1" ref="AE948" ca="1">SQRT(MMULT(MMULT(AG948:AK948,var_covar),TRANSPOSE(AG948:AK948)))</f>
        <v>0.32104438213851905</v>
      </c>
      <c r="AF948" s="22">
        <f t="shared" ca="1" si="36"/>
        <v>7.8432928425405779E-2</v>
      </c>
      <c r="AG948">
        <f ca="1"/>
        <v>2.4006161194195412</v>
      </c>
      <c r="AH948">
        <f ca="1"/>
        <v>-2.1298811219063918</v>
      </c>
      <c r="AI948">
        <f ca="1"/>
        <v>0.34956736139963324</v>
      </c>
      <c r="AJ948">
        <f ca="1"/>
        <v>1.2815231778163112</v>
      </c>
      <c r="AK948">
        <f ca="1"/>
        <v>-0.9018255367290936</v>
      </c>
      <c r="AN948" s="9">
        <v>8.5361626219395664E-2</v>
      </c>
      <c r="AO948" s="9">
        <v>3.0757174383678684E-2</v>
      </c>
    </row>
    <row r="949" spans="28:41" x14ac:dyDescent="0.2">
      <c r="AB949" s="9"/>
      <c r="AC949" s="20"/>
      <c r="AE949" s="22" cm="1">
        <f t="array" aca="1" ref="AE949" ca="1">SQRT(MMULT(MMULT(AG949:AK949,var_covar),TRANSPOSE(AG949:AK949)))</f>
        <v>9.0200531998382266E-2</v>
      </c>
      <c r="AF949" s="22">
        <f t="shared" ca="1" si="36"/>
        <v>1.7265930098698166E-2</v>
      </c>
      <c r="AG949">
        <f ca="1"/>
        <v>0.54858704038013018</v>
      </c>
      <c r="AH949">
        <f ca="1"/>
        <v>0.62893996815102549</v>
      </c>
      <c r="AI949">
        <f ca="1"/>
        <v>0.15039052188856844</v>
      </c>
      <c r="AJ949">
        <f ca="1"/>
        <v>-0.42827754336170565</v>
      </c>
      <c r="AK949">
        <f ca="1"/>
        <v>0.10036001294198163</v>
      </c>
      <c r="AN949" s="9">
        <v>8.4938640972096718E-2</v>
      </c>
      <c r="AO949" s="9">
        <v>2.705395301008174E-2</v>
      </c>
    </row>
    <row r="950" spans="28:41" x14ac:dyDescent="0.2">
      <c r="AB950" s="9"/>
      <c r="AC950" s="20"/>
      <c r="AE950" s="22" cm="1">
        <f t="array" aca="1" ref="AE950" ca="1">SQRT(MMULT(MMULT(AG950:AK950,var_covar),TRANSPOSE(AG950:AK950)))</f>
        <v>9.0263868097712974E-2</v>
      </c>
      <c r="AF950" s="22">
        <f t="shared" ca="1" si="36"/>
        <v>3.1109778379160603E-2</v>
      </c>
      <c r="AG950">
        <f ca="1"/>
        <v>0.2668708022942915</v>
      </c>
      <c r="AH950">
        <f ca="1"/>
        <v>0.27235593854821794</v>
      </c>
      <c r="AI950">
        <f ca="1"/>
        <v>0.19175258617762475</v>
      </c>
      <c r="AJ950">
        <f ca="1"/>
        <v>-4.2660584892049262E-2</v>
      </c>
      <c r="AK950">
        <f ca="1"/>
        <v>0.31168125787191497</v>
      </c>
      <c r="AN950" s="9">
        <v>8.4769858575413096E-2</v>
      </c>
      <c r="AO950" s="9">
        <v>3.5165581524743798E-2</v>
      </c>
    </row>
    <row r="951" spans="28:41" x14ac:dyDescent="0.2">
      <c r="AB951" s="9"/>
      <c r="AC951" s="20"/>
      <c r="AE951" s="22" cm="1">
        <f t="array" aca="1" ref="AE951" ca="1">SQRT(MMULT(MMULT(AG951:AK951,var_covar),TRANSPOSE(AG951:AK951)))</f>
        <v>0.36171069484732432</v>
      </c>
      <c r="AF951" s="22">
        <f t="shared" ca="1" si="36"/>
        <v>-2.3522934007299642E-2</v>
      </c>
      <c r="AG951">
        <f ca="1"/>
        <v>0.85768860750897058</v>
      </c>
      <c r="AH951">
        <f ca="1"/>
        <v>2.3965138449846353</v>
      </c>
      <c r="AI951">
        <f ca="1"/>
        <v>0.46899109034929987</v>
      </c>
      <c r="AJ951">
        <f ca="1"/>
        <v>-0.87099430262765076</v>
      </c>
      <c r="AK951">
        <f ca="1"/>
        <v>-1.8521992402152547</v>
      </c>
      <c r="AN951" s="9">
        <v>8.4469091088006085E-2</v>
      </c>
      <c r="AO951" s="9">
        <v>2.9318684182709227E-2</v>
      </c>
    </row>
    <row r="952" spans="28:41" x14ac:dyDescent="0.2">
      <c r="AB952" s="9"/>
      <c r="AC952" s="20"/>
      <c r="AE952" s="22" cm="1">
        <f t="array" aca="1" ref="AE952" ca="1">SQRT(MMULT(MMULT(AG952:AK952,var_covar),TRANSPOSE(AG952:AK952)))</f>
        <v>0.49194743614953718</v>
      </c>
      <c r="AF952" s="22">
        <f t="shared" ca="1" si="36"/>
        <v>1.6271083672072389E-3</v>
      </c>
      <c r="AG952">
        <f ca="1"/>
        <v>-0.53825408632152216</v>
      </c>
      <c r="AH952">
        <f ca="1"/>
        <v>1.0465881962422017</v>
      </c>
      <c r="AI952">
        <f ca="1"/>
        <v>-0.61161556311295695</v>
      </c>
      <c r="AJ952">
        <f ca="1"/>
        <v>-1.6984235584782144</v>
      </c>
      <c r="AK952">
        <f ca="1"/>
        <v>2.8017050116704918</v>
      </c>
      <c r="AN952" s="9">
        <v>8.4465855602743306E-2</v>
      </c>
      <c r="AO952" s="9">
        <v>3.2848748720762516E-2</v>
      </c>
    </row>
    <row r="953" spans="28:41" x14ac:dyDescent="0.2">
      <c r="AB953" s="9"/>
      <c r="AC953" s="20"/>
      <c r="AE953" s="22" cm="1">
        <f t="array" aca="1" ref="AE953" ca="1">SQRT(MMULT(MMULT(AG953:AK953,var_covar),TRANSPOSE(AG953:AK953)))</f>
        <v>0.23155274023815645</v>
      </c>
      <c r="AF953" s="22">
        <f t="shared" ca="1" si="36"/>
        <v>7.8522809011522254E-3</v>
      </c>
      <c r="AG953">
        <f ca="1"/>
        <v>0.86078471106951382</v>
      </c>
      <c r="AH953">
        <f ca="1"/>
        <v>0.56724960141112057</v>
      </c>
      <c r="AI953">
        <f ca="1"/>
        <v>-0.3529938623687926</v>
      </c>
      <c r="AJ953">
        <f ca="1"/>
        <v>-1.1650325226505613</v>
      </c>
      <c r="AK953">
        <f ca="1"/>
        <v>1.0899920725387198</v>
      </c>
      <c r="AN953" s="9">
        <v>8.428742501187797E-2</v>
      </c>
      <c r="AO953" s="9">
        <v>3.4770004178441311E-2</v>
      </c>
    </row>
    <row r="954" spans="28:41" x14ac:dyDescent="0.2">
      <c r="AB954" s="9"/>
      <c r="AC954" s="20"/>
      <c r="AE954" s="22" cm="1">
        <f t="array" aca="1" ref="AE954" ca="1">SQRT(MMULT(MMULT(AG954:AK954,var_covar),TRANSPOSE(AG954:AK954)))</f>
        <v>0.14811008606292719</v>
      </c>
      <c r="AF954" s="22">
        <f t="shared" ca="1" si="36"/>
        <v>1.3574851717270884E-2</v>
      </c>
      <c r="AG954">
        <f ca="1"/>
        <v>-0.18531904287969883</v>
      </c>
      <c r="AH954">
        <f ca="1"/>
        <v>0.38611638807384435</v>
      </c>
      <c r="AI954">
        <f ca="1"/>
        <v>1.3866835815823497</v>
      </c>
      <c r="AJ954">
        <f ca="1"/>
        <v>-0.48905092581209664</v>
      </c>
      <c r="AK954">
        <f ca="1"/>
        <v>-9.8430000964398703E-2</v>
      </c>
      <c r="AN954" s="9">
        <v>8.4234153084320515E-2</v>
      </c>
      <c r="AO954" s="9">
        <v>3.5204952557343634E-2</v>
      </c>
    </row>
    <row r="955" spans="28:41" x14ac:dyDescent="0.2">
      <c r="AB955" s="9"/>
      <c r="AC955" s="20"/>
      <c r="AE955" s="22" cm="1">
        <f t="array" aca="1" ref="AE955" ca="1">SQRT(MMULT(MMULT(AG955:AK955,var_covar),TRANSPOSE(AG955:AK955)))</f>
        <v>0.10770999619863762</v>
      </c>
      <c r="AF955" s="22">
        <f t="shared" ca="1" si="36"/>
        <v>4.2597603398184761E-2</v>
      </c>
      <c r="AG955">
        <f ca="1"/>
        <v>0.53974810310384413</v>
      </c>
      <c r="AH955">
        <f ca="1"/>
        <v>0.11165259615398344</v>
      </c>
      <c r="AI955">
        <f ca="1"/>
        <v>-0.28774260452039496</v>
      </c>
      <c r="AJ955">
        <f ca="1"/>
        <v>0.31647142696505826</v>
      </c>
      <c r="AK955">
        <f ca="1"/>
        <v>0.31987047829750909</v>
      </c>
      <c r="AN955" s="9">
        <v>8.4209177957511983E-2</v>
      </c>
      <c r="AO955" s="9">
        <v>3.1739691788735203E-2</v>
      </c>
    </row>
    <row r="956" spans="28:41" x14ac:dyDescent="0.2">
      <c r="AB956" s="9"/>
      <c r="AC956" s="20"/>
      <c r="AE956" s="22" cm="1">
        <f t="array" aca="1" ref="AE956" ca="1">SQRT(MMULT(MMULT(AG956:AK956,var_covar),TRANSPOSE(AG956:AK956)))</f>
        <v>0.13229292654483013</v>
      </c>
      <c r="AF956" s="22">
        <f t="shared" ca="1" si="36"/>
        <v>3.6661814712072333E-2</v>
      </c>
      <c r="AG956">
        <f ca="1"/>
        <v>0.86860889165416988</v>
      </c>
      <c r="AH956">
        <f ca="1"/>
        <v>-9.4167940840448883E-2</v>
      </c>
      <c r="AI956">
        <f ca="1"/>
        <v>-0.24740007065986983</v>
      </c>
      <c r="AJ956">
        <f ca="1"/>
        <v>-7.3493270602829328E-2</v>
      </c>
      <c r="AK956">
        <f ca="1"/>
        <v>0.5464523904489782</v>
      </c>
      <c r="AN956" s="9">
        <v>8.404569686599514E-2</v>
      </c>
      <c r="AO956" s="9">
        <v>3.4696269724900454E-2</v>
      </c>
    </row>
    <row r="957" spans="28:41" x14ac:dyDescent="0.2">
      <c r="AB957" s="9"/>
      <c r="AC957" s="20"/>
      <c r="AE957" s="22" cm="1">
        <f t="array" aca="1" ref="AE957" ca="1">SQRT(MMULT(MMULT(AG957:AK957,var_covar),TRANSPOSE(AG957:AK957)))</f>
        <v>0.19437926545325826</v>
      </c>
      <c r="AF957" s="22">
        <f t="shared" ca="1" si="36"/>
        <v>5.9880632651632862E-2</v>
      </c>
      <c r="AG957">
        <f ca="1"/>
        <v>0.80839395335378972</v>
      </c>
      <c r="AH957">
        <f ca="1"/>
        <v>-0.25379177789684543</v>
      </c>
      <c r="AI957">
        <f ca="1"/>
        <v>-0.99074626507373287</v>
      </c>
      <c r="AJ957">
        <f ca="1"/>
        <v>0.70446147726824149</v>
      </c>
      <c r="AK957">
        <f ca="1"/>
        <v>0.73168261234854715</v>
      </c>
      <c r="AN957" s="9">
        <v>8.398944927375171E-2</v>
      </c>
      <c r="AO957" s="9">
        <v>3.3361910620647584E-2</v>
      </c>
    </row>
    <row r="958" spans="28:41" x14ac:dyDescent="0.2">
      <c r="AB958" s="9"/>
      <c r="AC958" s="20"/>
      <c r="AE958" s="22" cm="1">
        <f t="array" aca="1" ref="AE958" ca="1">SQRT(MMULT(MMULT(AG958:AK958,var_covar),TRANSPOSE(AG958:AK958)))</f>
        <v>0.10895247571764322</v>
      </c>
      <c r="AF958" s="22">
        <f t="shared" ca="1" si="36"/>
        <v>1.2908864280315005E-2</v>
      </c>
      <c r="AG958">
        <f ca="1"/>
        <v>-5.7991380720765165E-2</v>
      </c>
      <c r="AH958">
        <f ca="1"/>
        <v>1.1494080851979878</v>
      </c>
      <c r="AI958">
        <f ca="1"/>
        <v>0.30339702498289994</v>
      </c>
      <c r="AJ958">
        <f ca="1"/>
        <v>-0.33573375310866138</v>
      </c>
      <c r="AK958">
        <f ca="1"/>
        <v>-5.9079976351461082E-2</v>
      </c>
      <c r="AN958" s="9">
        <v>8.394201156672168E-2</v>
      </c>
      <c r="AO958" s="9">
        <v>3.6073792380387791E-2</v>
      </c>
    </row>
    <row r="959" spans="28:41" x14ac:dyDescent="0.2">
      <c r="AB959" s="9"/>
      <c r="AC959" s="20"/>
      <c r="AE959" s="22" cm="1">
        <f t="array" aca="1" ref="AE959" ca="1">SQRT(MMULT(MMULT(AG959:AK959,var_covar),TRANSPOSE(AG959:AK959)))</f>
        <v>0.10979570297704051</v>
      </c>
      <c r="AF959" s="22">
        <f t="shared" ca="1" si="36"/>
        <v>3.1150100881346315E-2</v>
      </c>
      <c r="AG959">
        <f ca="1"/>
        <v>1.0428094688182987</v>
      </c>
      <c r="AH959">
        <f ca="1"/>
        <v>0.23516269702652681</v>
      </c>
      <c r="AI959">
        <f ca="1"/>
        <v>-0.3528441521146774</v>
      </c>
      <c r="AJ959">
        <f ca="1"/>
        <v>-8.0124653650922487E-2</v>
      </c>
      <c r="AK959">
        <f ca="1"/>
        <v>0.15499663992077453</v>
      </c>
      <c r="AN959" s="9">
        <v>8.3924578459288204E-2</v>
      </c>
      <c r="AO959" s="9">
        <v>3.6854017799824418E-2</v>
      </c>
    </row>
    <row r="960" spans="28:41" x14ac:dyDescent="0.2">
      <c r="AB960" s="9"/>
      <c r="AC960" s="20"/>
      <c r="AE960" s="22" cm="1">
        <f t="array" aca="1" ref="AE960" ca="1">SQRT(MMULT(MMULT(AG960:AK960,var_covar),TRANSPOSE(AG960:AK960)))</f>
        <v>0.40874677950215366</v>
      </c>
      <c r="AF960" s="22">
        <f t="shared" ca="1" si="36"/>
        <v>0.11757136111267057</v>
      </c>
      <c r="AG960">
        <f ca="1"/>
        <v>-1.8641164926002984</v>
      </c>
      <c r="AH960">
        <f ca="1"/>
        <v>-1.5539820881704196</v>
      </c>
      <c r="AI960">
        <f ca="1"/>
        <v>0.84403106656418814</v>
      </c>
      <c r="AJ960">
        <f ca="1"/>
        <v>2.7999997729574964</v>
      </c>
      <c r="AK960">
        <f ca="1"/>
        <v>0.77406774124903355</v>
      </c>
      <c r="AN960" s="9">
        <v>8.2974117752487406E-2</v>
      </c>
      <c r="AO960" s="9">
        <v>2.8866420714566087E-2</v>
      </c>
    </row>
    <row r="961" spans="28:41" x14ac:dyDescent="0.2">
      <c r="AB961" s="9"/>
      <c r="AC961" s="20"/>
      <c r="AE961" s="22" cm="1">
        <f t="array" aca="1" ref="AE961" ca="1">SQRT(MMULT(MMULT(AG961:AK961,var_covar),TRANSPOSE(AG961:AK961)))</f>
        <v>0.24593094702315976</v>
      </c>
      <c r="AF961" s="22">
        <f t="shared" ca="1" si="36"/>
        <v>-7.8897705573869395E-3</v>
      </c>
      <c r="AG961">
        <f ca="1"/>
        <v>0.84957008083073005</v>
      </c>
      <c r="AH961">
        <f ca="1"/>
        <v>0.10604456590026044</v>
      </c>
      <c r="AI961">
        <f ca="1"/>
        <v>2.0698689608907883</v>
      </c>
      <c r="AJ961">
        <f ca="1"/>
        <v>-1.259566068597324</v>
      </c>
      <c r="AK961">
        <f ca="1"/>
        <v>-0.76591753902445436</v>
      </c>
      <c r="AN961" s="9">
        <v>8.2919257671641045E-2</v>
      </c>
      <c r="AO961" s="9">
        <v>1.9521536957877835E-2</v>
      </c>
    </row>
    <row r="962" spans="28:41" x14ac:dyDescent="0.2">
      <c r="AB962" s="9"/>
      <c r="AC962" s="20"/>
      <c r="AE962" s="22" cm="1">
        <f t="array" aca="1" ref="AE962" ca="1">SQRT(MMULT(MMULT(AG962:AK962,var_covar),TRANSPOSE(AG962:AK962)))</f>
        <v>0.85533839847002557</v>
      </c>
      <c r="AF962" s="22">
        <f t="shared" ca="1" si="36"/>
        <v>1.1160937355079642E-2</v>
      </c>
      <c r="AG962">
        <f ca="1"/>
        <v>1.6537715286378747</v>
      </c>
      <c r="AH962">
        <f ca="1"/>
        <v>-0.41070703971550532</v>
      </c>
      <c r="AI962">
        <f ca="1"/>
        <v>-2.3858889212656638</v>
      </c>
      <c r="AJ962">
        <f ca="1"/>
        <v>-2.6172145895887953</v>
      </c>
      <c r="AK962">
        <f ca="1"/>
        <v>4.7600390219320898</v>
      </c>
      <c r="AN962" s="9">
        <v>8.2872164181448549E-2</v>
      </c>
      <c r="AO962" s="9">
        <v>3.1687988885278684E-2</v>
      </c>
    </row>
    <row r="963" spans="28:41" x14ac:dyDescent="0.2">
      <c r="AB963" s="9"/>
      <c r="AC963" s="20"/>
      <c r="AE963" s="22" cm="1">
        <f t="array" aca="1" ref="AE963" ca="1">SQRT(MMULT(MMULT(AG963:AK963,var_covar),TRANSPOSE(AG963:AK963)))</f>
        <v>8.568531773199653E-2</v>
      </c>
      <c r="AF963" s="22">
        <f t="shared" ca="1" si="36"/>
        <v>3.4980087845761683E-2</v>
      </c>
      <c r="AG963">
        <f ca="1"/>
        <v>0.11610812853409912</v>
      </c>
      <c r="AH963">
        <f ca="1"/>
        <v>0.46769724508895349</v>
      </c>
      <c r="AI963">
        <f ca="1"/>
        <v>0.13767806585497266</v>
      </c>
      <c r="AJ963">
        <f ca="1"/>
        <v>0.27523017758294926</v>
      </c>
      <c r="AK963">
        <f ca="1"/>
        <v>3.2863829390254546E-3</v>
      </c>
      <c r="AN963" s="9">
        <v>8.2777887855833621E-2</v>
      </c>
      <c r="AO963" s="9">
        <v>3.2656579692453822E-2</v>
      </c>
    </row>
    <row r="964" spans="28:41" x14ac:dyDescent="0.2">
      <c r="AB964" s="9"/>
      <c r="AC964" s="20"/>
      <c r="AE964" s="22" cm="1">
        <f t="array" aca="1" ref="AE964" ca="1">SQRT(MMULT(MMULT(AG964:AK964,var_covar),TRANSPOSE(AG964:AK964)))</f>
        <v>0.16324318143398217</v>
      </c>
      <c r="AF964" s="22">
        <f t="shared" ref="AF964:AF1002" ca="1" si="37">SUMPRODUCT(AG964:AK964,$S$2:$W$2)</f>
        <v>3.8791939363707666E-2</v>
      </c>
      <c r="AG964">
        <f ca="1"/>
        <v>-0.84280992717393188</v>
      </c>
      <c r="AH964">
        <f ca="1"/>
        <v>0.39456094168292377</v>
      </c>
      <c r="AI964">
        <f ca="1"/>
        <v>1.0147686413836967</v>
      </c>
      <c r="AJ964">
        <f ca="1"/>
        <v>0.53566308475355151</v>
      </c>
      <c r="AK964">
        <f ca="1"/>
        <v>-0.10218274064624014</v>
      </c>
      <c r="AN964" s="9">
        <v>8.2756965036229244E-2</v>
      </c>
      <c r="AO964" s="9">
        <v>2.5868378879358146E-2</v>
      </c>
    </row>
    <row r="965" spans="28:41" x14ac:dyDescent="0.2">
      <c r="AB965" s="9"/>
      <c r="AC965" s="20"/>
      <c r="AE965" s="22" cm="1">
        <f t="array" aca="1" ref="AE965" ca="1">SQRT(MMULT(MMULT(AG965:AK965,var_covar),TRANSPOSE(AG965:AK965)))</f>
        <v>0.10649101322134724</v>
      </c>
      <c r="AF965" s="22">
        <f t="shared" ca="1" si="37"/>
        <v>3.9881560142080566E-2</v>
      </c>
      <c r="AG965">
        <f ca="1"/>
        <v>0.22529908568721718</v>
      </c>
      <c r="AH965">
        <f ca="1"/>
        <v>-2.3759912405140356E-2</v>
      </c>
      <c r="AI965">
        <f ca="1"/>
        <v>0.21213966725151429</v>
      </c>
      <c r="AJ965">
        <f ca="1"/>
        <v>0.18240859524877942</v>
      </c>
      <c r="AK965">
        <f ca="1"/>
        <v>0.40391256421762933</v>
      </c>
      <c r="AN965" s="9">
        <v>8.2717890442717865E-2</v>
      </c>
      <c r="AO965" s="9">
        <v>3.5305983276465606E-2</v>
      </c>
    </row>
    <row r="966" spans="28:41" x14ac:dyDescent="0.2">
      <c r="AB966" s="9"/>
      <c r="AC966" s="20"/>
      <c r="AE966" s="22" cm="1">
        <f t="array" aca="1" ref="AE966" ca="1">SQRT(MMULT(MMULT(AG966:AK966,var_covar),TRANSPOSE(AG966:AK966)))</f>
        <v>0.27233071217350557</v>
      </c>
      <c r="AF966" s="22">
        <f t="shared" ca="1" si="37"/>
        <v>3.3420421652962669E-2</v>
      </c>
      <c r="AG966">
        <f ca="1"/>
        <v>1.4505515065548509</v>
      </c>
      <c r="AH966">
        <f ca="1"/>
        <v>-0.67934131404727294</v>
      </c>
      <c r="AI966">
        <f ca="1"/>
        <v>-0.43930879527024608</v>
      </c>
      <c r="AJ966">
        <f ca="1"/>
        <v>-0.68470882085288309</v>
      </c>
      <c r="AK966">
        <f ca="1"/>
        <v>1.3528074236155512</v>
      </c>
      <c r="AN966" s="9">
        <v>8.2587999715200727E-2</v>
      </c>
      <c r="AO966" s="9">
        <v>2.6256239198629509E-2</v>
      </c>
    </row>
    <row r="967" spans="28:41" x14ac:dyDescent="0.2">
      <c r="AB967" s="9"/>
      <c r="AC967" s="20"/>
      <c r="AE967" s="22" cm="1">
        <f t="array" aca="1" ref="AE967" ca="1">SQRT(MMULT(MMULT(AG967:AK967,var_covar),TRANSPOSE(AG967:AK967)))</f>
        <v>0.10969122711812329</v>
      </c>
      <c r="AF967" s="22">
        <f t="shared" ca="1" si="37"/>
        <v>3.7306990178483726E-2</v>
      </c>
      <c r="AG967">
        <f ca="1"/>
        <v>0.1114149154062568</v>
      </c>
      <c r="AH967">
        <f ca="1"/>
        <v>7.7413829101223866E-2</v>
      </c>
      <c r="AI967">
        <f ca="1"/>
        <v>0.24825731290662667</v>
      </c>
      <c r="AJ967">
        <f ca="1"/>
        <v>0.10686346265662981</v>
      </c>
      <c r="AK967">
        <f ca="1"/>
        <v>0.4560504799292629</v>
      </c>
      <c r="AN967" s="9">
        <v>8.2482979933582765E-2</v>
      </c>
      <c r="AO967" s="9">
        <v>3.1013146950212098E-2</v>
      </c>
    </row>
    <row r="968" spans="28:41" x14ac:dyDescent="0.2">
      <c r="AB968" s="9"/>
      <c r="AC968" s="20"/>
      <c r="AE968" s="22" cm="1">
        <f t="array" aca="1" ref="AE968" ca="1">SQRT(MMULT(MMULT(AG968:AK968,var_covar),TRANSPOSE(AG968:AK968)))</f>
        <v>0.98938772542189724</v>
      </c>
      <c r="AF968" s="22">
        <f t="shared" ca="1" si="37"/>
        <v>7.5466339337170771E-2</v>
      </c>
      <c r="AG968">
        <f ca="1"/>
        <v>-2.2291837067283566</v>
      </c>
      <c r="AH968">
        <f ca="1"/>
        <v>4.2570099553851595</v>
      </c>
      <c r="AI968">
        <f ca="1"/>
        <v>-6.8342496895730473</v>
      </c>
      <c r="AJ968">
        <f ca="1"/>
        <v>1.6878199160353711</v>
      </c>
      <c r="AK968">
        <f ca="1"/>
        <v>4.1186035248808741</v>
      </c>
      <c r="AN968" s="9">
        <v>8.2411967891037718E-2</v>
      </c>
      <c r="AO968" s="9">
        <v>2.8329617708814023E-2</v>
      </c>
    </row>
    <row r="969" spans="28:41" x14ac:dyDescent="0.2">
      <c r="AB969" s="9"/>
      <c r="AC969" s="20"/>
      <c r="AE969" s="22" cm="1">
        <f t="array" aca="1" ref="AE969" ca="1">SQRT(MMULT(MMULT(AG969:AK969,var_covar),TRANSPOSE(AG969:AK969)))</f>
        <v>0.10782177207460769</v>
      </c>
      <c r="AF969" s="22">
        <f t="shared" ca="1" si="37"/>
        <v>3.2993025717129823E-2</v>
      </c>
      <c r="AG969">
        <f ca="1"/>
        <v>1.0749171040699321</v>
      </c>
      <c r="AH969">
        <f ca="1"/>
        <v>0.25154467956769094</v>
      </c>
      <c r="AI969">
        <f ca="1"/>
        <v>-0.2735927632909157</v>
      </c>
      <c r="AJ969">
        <f ca="1"/>
        <v>9.0595176902377644E-2</v>
      </c>
      <c r="AK969">
        <f ca="1"/>
        <v>-0.14346419724908505</v>
      </c>
      <c r="AN969" s="9">
        <v>8.2166949710254983E-2</v>
      </c>
      <c r="AO969" s="9">
        <v>3.2075386798480855E-2</v>
      </c>
    </row>
    <row r="970" spans="28:41" x14ac:dyDescent="0.2">
      <c r="AB970" s="9"/>
      <c r="AC970" s="20"/>
      <c r="AE970" s="22" cm="1">
        <f t="array" aca="1" ref="AE970" ca="1">SQRT(MMULT(MMULT(AG970:AK970,var_covar),TRANSPOSE(AG970:AK970)))</f>
        <v>0.27869963683321375</v>
      </c>
      <c r="AF970" s="22">
        <f t="shared" ca="1" si="37"/>
        <v>-2.6359642397639622E-2</v>
      </c>
      <c r="AG970">
        <f ca="1"/>
        <v>0.99581235682628111</v>
      </c>
      <c r="AH970">
        <f ca="1"/>
        <v>9.2007509598814124E-2</v>
      </c>
      <c r="AI970">
        <f ca="1"/>
        <v>2.0139411923790003</v>
      </c>
      <c r="AJ970">
        <f ca="1"/>
        <v>-2.2991793729944057</v>
      </c>
      <c r="AK970">
        <f ca="1"/>
        <v>0.1974183141903095</v>
      </c>
      <c r="AN970" s="9">
        <v>8.1966809042586103E-2</v>
      </c>
      <c r="AO970" s="9">
        <v>3.4134949531806798E-2</v>
      </c>
    </row>
    <row r="971" spans="28:41" x14ac:dyDescent="0.2">
      <c r="AB971" s="9"/>
      <c r="AC971" s="20"/>
      <c r="AE971" s="22" cm="1">
        <f t="array" aca="1" ref="AE971" ca="1">SQRT(MMULT(MMULT(AG971:AK971,var_covar),TRANSPOSE(AG971:AK971)))</f>
        <v>0.12177632950267657</v>
      </c>
      <c r="AF971" s="22">
        <f t="shared" ca="1" si="37"/>
        <v>5.0737597176179823E-2</v>
      </c>
      <c r="AG971">
        <f ca="1"/>
        <v>5.1156032769839155E-2</v>
      </c>
      <c r="AH971">
        <f ca="1"/>
        <v>0.24920030335993248</v>
      </c>
      <c r="AI971">
        <f ca="1"/>
        <v>-5.6367750449853621E-2</v>
      </c>
      <c r="AJ971">
        <f ca="1"/>
        <v>0.85138951439842769</v>
      </c>
      <c r="AK971">
        <f ca="1"/>
        <v>-9.5378100078345615E-2</v>
      </c>
      <c r="AN971" s="9">
        <v>8.1952292382009115E-2</v>
      </c>
      <c r="AO971" s="9">
        <v>3.5459934189243314E-2</v>
      </c>
    </row>
    <row r="972" spans="28:41" x14ac:dyDescent="0.2">
      <c r="AB972" s="9"/>
      <c r="AC972" s="20"/>
      <c r="AE972" s="22" cm="1">
        <f t="array" aca="1" ref="AE972" ca="1">SQRT(MMULT(MMULT(AG972:AK972,var_covar),TRANSPOSE(AG972:AK972)))</f>
        <v>0.31781645996795249</v>
      </c>
      <c r="AF972" s="22">
        <f t="shared" ca="1" si="37"/>
        <v>1.6929383225084783E-2</v>
      </c>
      <c r="AG972">
        <f ca="1"/>
        <v>0.54654540517682393</v>
      </c>
      <c r="AH972">
        <f ca="1"/>
        <v>-0.23063995547282312</v>
      </c>
      <c r="AI972">
        <f ca="1"/>
        <v>0.14830319202714215</v>
      </c>
      <c r="AJ972">
        <f ca="1"/>
        <v>-1.2304767585812622</v>
      </c>
      <c r="AK972">
        <f ca="1"/>
        <v>1.7662681168501193</v>
      </c>
      <c r="AN972" s="9">
        <v>8.1685349635081214E-2</v>
      </c>
      <c r="AO972" s="9">
        <v>2.9271723092049361E-2</v>
      </c>
    </row>
    <row r="973" spans="28:41" x14ac:dyDescent="0.2">
      <c r="AB973" s="9"/>
      <c r="AC973" s="20"/>
      <c r="AE973" s="22" cm="1">
        <f t="array" aca="1" ref="AE973" ca="1">SQRT(MMULT(MMULT(AG973:AK973,var_covar),TRANSPOSE(AG973:AK973)))</f>
        <v>0.17681938872214537</v>
      </c>
      <c r="AF973" s="22">
        <f t="shared" ca="1" si="37"/>
        <v>4.5296428251661698E-2</v>
      </c>
      <c r="AG973">
        <f ca="1"/>
        <v>-1.0577547419389444</v>
      </c>
      <c r="AH973">
        <f ca="1"/>
        <v>0.31431274937372039</v>
      </c>
      <c r="AI973">
        <f ca="1"/>
        <v>0.92631676107995176</v>
      </c>
      <c r="AJ973">
        <f ca="1"/>
        <v>0.71311281073293775</v>
      </c>
      <c r="AK973">
        <f ca="1"/>
        <v>0.1040124207523343</v>
      </c>
      <c r="AN973" s="9">
        <v>8.1582580910136426E-2</v>
      </c>
      <c r="AO973" s="9">
        <v>3.5106215800461131E-2</v>
      </c>
    </row>
    <row r="974" spans="28:41" x14ac:dyDescent="0.2">
      <c r="AB974" s="9"/>
      <c r="AC974" s="20"/>
      <c r="AE974" s="22" cm="1">
        <f t="array" aca="1" ref="AE974" ca="1">SQRT(MMULT(MMULT(AG974:AK974,var_covar),TRANSPOSE(AG974:AK974)))</f>
        <v>0.52184710716414839</v>
      </c>
      <c r="AF974" s="22">
        <f t="shared" ca="1" si="37"/>
        <v>2.2437628000788759E-2</v>
      </c>
      <c r="AG974">
        <f ca="1"/>
        <v>1.038777202524072</v>
      </c>
      <c r="AH974">
        <f ca="1"/>
        <v>-0.65982965339235389</v>
      </c>
      <c r="AI974">
        <f ca="1"/>
        <v>-0.75282941423087368</v>
      </c>
      <c r="AJ974">
        <f ca="1"/>
        <v>-1.5918887327791031</v>
      </c>
      <c r="AK974">
        <f ca="1"/>
        <v>2.9657705978782589</v>
      </c>
      <c r="AN974" s="9">
        <v>8.0863254737904816E-2</v>
      </c>
      <c r="AO974" s="9">
        <v>3.543498378367059E-2</v>
      </c>
    </row>
    <row r="975" spans="28:41" x14ac:dyDescent="0.2">
      <c r="AB975" s="9"/>
      <c r="AC975" s="20"/>
      <c r="AE975" s="22" cm="1">
        <f t="array" aca="1" ref="AE975" ca="1">SQRT(MMULT(MMULT(AG975:AK975,var_covar),TRANSPOSE(AG975:AK975)))</f>
        <v>0.10359975381353217</v>
      </c>
      <c r="AF975" s="22">
        <f t="shared" ca="1" si="37"/>
        <v>4.2236915304565623E-2</v>
      </c>
      <c r="AG975">
        <f ca="1"/>
        <v>-1.0174651671038495E-2</v>
      </c>
      <c r="AH975">
        <f ca="1"/>
        <v>0.44944870208364424</v>
      </c>
      <c r="AI975">
        <f ca="1"/>
        <v>3.6308642676457663E-2</v>
      </c>
      <c r="AJ975">
        <f ca="1"/>
        <v>0.57598565768090315</v>
      </c>
      <c r="AK975">
        <f ca="1"/>
        <v>-5.1568350769966437E-2</v>
      </c>
      <c r="AN975" s="9">
        <v>8.0856774373613993E-2</v>
      </c>
      <c r="AO975" s="9">
        <v>2.3426902141484109E-2</v>
      </c>
    </row>
    <row r="976" spans="28:41" x14ac:dyDescent="0.2">
      <c r="AB976" s="9"/>
      <c r="AC976" s="20"/>
      <c r="AE976" s="22" cm="1">
        <f t="array" aca="1" ref="AE976" ca="1">SQRT(MMULT(MMULT(AG976:AK976,var_covar),TRANSPOSE(AG976:AK976)))</f>
        <v>0.11343560200022625</v>
      </c>
      <c r="AF976" s="22">
        <f t="shared" ca="1" si="37"/>
        <v>2.7453867083350812E-2</v>
      </c>
      <c r="AG976">
        <f ca="1"/>
        <v>0.29924029377506445</v>
      </c>
      <c r="AH976">
        <f ca="1"/>
        <v>0.73739983046936142</v>
      </c>
      <c r="AI976">
        <f ca="1"/>
        <v>0.21097755512053074</v>
      </c>
      <c r="AJ976">
        <f ca="1"/>
        <v>0.19326523986765823</v>
      </c>
      <c r="AK976">
        <f ca="1"/>
        <v>-0.44088291923261502</v>
      </c>
      <c r="AN976" s="9">
        <v>8.0055016309715399E-2</v>
      </c>
      <c r="AO976" s="9">
        <v>2.7485311092443565E-2</v>
      </c>
    </row>
    <row r="977" spans="28:41" x14ac:dyDescent="0.2">
      <c r="AB977" s="9"/>
      <c r="AC977" s="20"/>
      <c r="AE977" s="22" cm="1">
        <f t="array" aca="1" ref="AE977" ca="1">SQRT(MMULT(MMULT(AG977:AK977,var_covar),TRANSPOSE(AG977:AK977)))</f>
        <v>0.24315115585956512</v>
      </c>
      <c r="AF977" s="22">
        <f t="shared" ca="1" si="37"/>
        <v>2.2689703835055412E-2</v>
      </c>
      <c r="AG977">
        <f ca="1"/>
        <v>1.8430038325715152</v>
      </c>
      <c r="AH977">
        <f ca="1"/>
        <v>0.74344835638664442</v>
      </c>
      <c r="AI977">
        <f ca="1"/>
        <v>-0.54353738473459545</v>
      </c>
      <c r="AJ977">
        <f ca="1"/>
        <v>8.2317412774106244E-2</v>
      </c>
      <c r="AK977">
        <f ca="1"/>
        <v>-1.125232216997671</v>
      </c>
      <c r="AN977" s="9">
        <v>8.0036107233859566E-2</v>
      </c>
      <c r="AO977" s="9">
        <v>2.4892340609929835E-2</v>
      </c>
    </row>
    <row r="978" spans="28:41" x14ac:dyDescent="0.2">
      <c r="AB978" s="9"/>
      <c r="AC978" s="20"/>
      <c r="AE978" s="22" cm="1">
        <f t="array" aca="1" ref="AE978" ca="1">SQRT(MMULT(MMULT(AG978:AK978,var_covar),TRANSPOSE(AG978:AK978)))</f>
        <v>0.1020267281774189</v>
      </c>
      <c r="AF978" s="22">
        <f t="shared" ca="1" si="37"/>
        <v>1.9490887184955355E-2</v>
      </c>
      <c r="AG978">
        <f ca="1"/>
        <v>7.4498915382403205E-2</v>
      </c>
      <c r="AH978">
        <f ca="1"/>
        <v>1.0681356790852503</v>
      </c>
      <c r="AI978">
        <f ca="1"/>
        <v>-3.1477781155516617E-2</v>
      </c>
      <c r="AJ978">
        <f ca="1"/>
        <v>-0.15877243098184374</v>
      </c>
      <c r="AK978">
        <f ca="1"/>
        <v>4.7615617669706796E-2</v>
      </c>
      <c r="AN978" s="9">
        <v>7.9616537254118547E-2</v>
      </c>
      <c r="AO978" s="9">
        <v>2.7706136539791044E-2</v>
      </c>
    </row>
    <row r="979" spans="28:41" x14ac:dyDescent="0.2">
      <c r="AB979" s="9"/>
      <c r="AC979" s="20"/>
      <c r="AE979" s="22" cm="1">
        <f t="array" aca="1" ref="AE979" ca="1">SQRT(MMULT(MMULT(AG979:AK979,var_covar),TRANSPOSE(AG979:AK979)))</f>
        <v>0.10211584838521616</v>
      </c>
      <c r="AF979" s="22">
        <f t="shared" ca="1" si="37"/>
        <v>4.2807562642107826E-2</v>
      </c>
      <c r="AG979">
        <f ca="1"/>
        <v>-2.0539706482446938E-2</v>
      </c>
      <c r="AH979">
        <f ca="1"/>
        <v>0.40062604876037278</v>
      </c>
      <c r="AI979">
        <f ca="1"/>
        <v>-4.3820338589470778E-2</v>
      </c>
      <c r="AJ979">
        <f ca="1"/>
        <v>0.51999144067662928</v>
      </c>
      <c r="AK979">
        <f ca="1"/>
        <v>0.14374255563491556</v>
      </c>
      <c r="AN979" s="9">
        <v>7.9453343144089514E-2</v>
      </c>
      <c r="AO979" s="9">
        <v>3.3064880894161139E-2</v>
      </c>
    </row>
    <row r="980" spans="28:41" x14ac:dyDescent="0.2">
      <c r="AB980" s="9"/>
      <c r="AC980" s="20"/>
      <c r="AE980" s="22" cm="1">
        <f t="array" aca="1" ref="AE980" ca="1">SQRT(MMULT(MMULT(AG980:AK980,var_covar),TRANSPOSE(AG980:AK980)))</f>
        <v>0.30259606786863391</v>
      </c>
      <c r="AF980" s="22">
        <f t="shared" ca="1" si="37"/>
        <v>7.7258142648913022E-2</v>
      </c>
      <c r="AG980">
        <f ca="1"/>
        <v>0.64649779190259049</v>
      </c>
      <c r="AH980">
        <f ca="1"/>
        <v>-1.7654010411650587</v>
      </c>
      <c r="AI980">
        <f ca="1"/>
        <v>1.4071829867012458</v>
      </c>
      <c r="AJ980">
        <f ca="1"/>
        <v>1.4719401757784187</v>
      </c>
      <c r="AK980">
        <f ca="1"/>
        <v>-0.7602199132171964</v>
      </c>
      <c r="AN980" s="9">
        <v>7.9407584759346395E-2</v>
      </c>
      <c r="AO980" s="9">
        <v>3.2102261512053261E-2</v>
      </c>
    </row>
    <row r="981" spans="28:41" x14ac:dyDescent="0.2">
      <c r="AB981" s="9"/>
      <c r="AC981" s="20"/>
      <c r="AE981" s="22" cm="1">
        <f t="array" aca="1" ref="AE981" ca="1">SQRT(MMULT(MMULT(AG981:AK981,var_covar),TRANSPOSE(AG981:AK981)))</f>
        <v>0.79797031549212283</v>
      </c>
      <c r="AF981" s="22">
        <f t="shared" ca="1" si="37"/>
        <v>-3.709035001757538E-2</v>
      </c>
      <c r="AG981">
        <f ca="1"/>
        <v>0.58521509251534509</v>
      </c>
      <c r="AH981">
        <f ca="1"/>
        <v>3.0868648487756158</v>
      </c>
      <c r="AI981">
        <f ca="1"/>
        <v>2.2090607969350566</v>
      </c>
      <c r="AJ981">
        <f ca="1"/>
        <v>-0.23045020577614692</v>
      </c>
      <c r="AK981">
        <f ca="1"/>
        <v>-4.65069053244987</v>
      </c>
      <c r="AN981" s="9">
        <v>7.9007053595135504E-2</v>
      </c>
      <c r="AO981" s="9">
        <v>2.8787831403983114E-2</v>
      </c>
    </row>
    <row r="982" spans="28:41" x14ac:dyDescent="0.2">
      <c r="AB982" s="9"/>
      <c r="AC982" s="20"/>
      <c r="AE982" s="22" cm="1">
        <f t="array" aca="1" ref="AE982" ca="1">SQRT(MMULT(MMULT(AG982:AK982,var_covar),TRANSPOSE(AG982:AK982)))</f>
        <v>0.17344114161405239</v>
      </c>
      <c r="AF982" s="22">
        <f t="shared" ca="1" si="37"/>
        <v>5.7749062089276736E-2</v>
      </c>
      <c r="AG982">
        <f ca="1"/>
        <v>-0.21043116429120201</v>
      </c>
      <c r="AH982">
        <f ca="1"/>
        <v>-0.62243886177709984</v>
      </c>
      <c r="AI982">
        <f ca="1"/>
        <v>0.91172629749905054</v>
      </c>
      <c r="AJ982">
        <f ca="1"/>
        <v>0.85541480729010377</v>
      </c>
      <c r="AK982">
        <f ca="1"/>
        <v>6.572892127914759E-2</v>
      </c>
      <c r="AN982" s="9">
        <v>7.8754623670389101E-2</v>
      </c>
      <c r="AO982" s="9">
        <v>2.9153982650783002E-2</v>
      </c>
    </row>
    <row r="983" spans="28:41" x14ac:dyDescent="0.2">
      <c r="AB983" s="9"/>
      <c r="AC983" s="20"/>
      <c r="AE983" s="22" cm="1">
        <f t="array" aca="1" ref="AE983" ca="1">SQRT(MMULT(MMULT(AG983:AK983,var_covar),TRANSPOSE(AG983:AK983)))</f>
        <v>0.17531211338206387</v>
      </c>
      <c r="AF983" s="22">
        <f t="shared" ca="1" si="37"/>
        <v>5.0442349642715087E-2</v>
      </c>
      <c r="AG983">
        <f ca="1"/>
        <v>1.0658166134027331</v>
      </c>
      <c r="AH983">
        <f ca="1"/>
        <v>-0.66100280173171999</v>
      </c>
      <c r="AI983">
        <f ca="1"/>
        <v>-0.34211013538908963</v>
      </c>
      <c r="AJ983">
        <f ca="1"/>
        <v>0.21472636671861076</v>
      </c>
      <c r="AK983">
        <f ca="1"/>
        <v>0.72256995699946569</v>
      </c>
      <c r="AN983" s="9">
        <v>7.7992444972749875E-2</v>
      </c>
      <c r="AO983" s="9">
        <v>2.9691354531527971E-2</v>
      </c>
    </row>
    <row r="984" spans="28:41" x14ac:dyDescent="0.2">
      <c r="AB984" s="9"/>
      <c r="AC984" s="20"/>
      <c r="AE984" s="22" cm="1">
        <f t="array" aca="1" ref="AE984" ca="1">SQRT(MMULT(MMULT(AG984:AK984,var_covar),TRANSPOSE(AG984:AK984)))</f>
        <v>9.156042313471062E-2</v>
      </c>
      <c r="AF984" s="22">
        <f t="shared" ca="1" si="37"/>
        <v>3.9729532001622984E-2</v>
      </c>
      <c r="AG984">
        <f ca="1"/>
        <v>0.44991310095694076</v>
      </c>
      <c r="AH984">
        <f ca="1"/>
        <v>-7.7397266017679336E-2</v>
      </c>
      <c r="AI984">
        <f ca="1"/>
        <v>0.34750984137045243</v>
      </c>
      <c r="AJ984">
        <f ca="1"/>
        <v>0.27119192126573843</v>
      </c>
      <c r="AK984">
        <f ca="1"/>
        <v>8.7824024245476574E-3</v>
      </c>
    </row>
    <row r="985" spans="28:41" x14ac:dyDescent="0.2">
      <c r="AB985" s="9"/>
      <c r="AC985" s="20"/>
      <c r="AE985" s="22" cm="1">
        <f t="array" aca="1" ref="AE985" ca="1">SQRT(MMULT(MMULT(AG985:AK985,var_covar),TRANSPOSE(AG985:AK985)))</f>
        <v>0.33903676205215044</v>
      </c>
      <c r="AF985" s="22">
        <f t="shared" ca="1" si="37"/>
        <v>6.5706527088464944E-2</v>
      </c>
      <c r="AG985">
        <f ca="1"/>
        <v>1.7886179403550457</v>
      </c>
      <c r="AH985">
        <f ca="1"/>
        <v>-0.70251099471047573</v>
      </c>
      <c r="AI985">
        <f ca="1"/>
        <v>-1.9611873515057385</v>
      </c>
      <c r="AJ985">
        <f ca="1"/>
        <v>0.47749317864810481</v>
      </c>
      <c r="AK985">
        <f ca="1"/>
        <v>1.3975872272130638</v>
      </c>
    </row>
    <row r="986" spans="28:41" x14ac:dyDescent="0.2">
      <c r="AB986" s="9"/>
      <c r="AC986" s="20"/>
      <c r="AE986" s="22" cm="1">
        <f t="array" aca="1" ref="AE986" ca="1">SQRT(MMULT(MMULT(AG986:AK986,var_covar),TRANSPOSE(AG986:AK986)))</f>
        <v>0.26687748372653197</v>
      </c>
      <c r="AF986" s="22">
        <f t="shared" ca="1" si="37"/>
        <v>5.421046140372348E-2</v>
      </c>
      <c r="AG986">
        <f ca="1"/>
        <v>-0.57909284313353093</v>
      </c>
      <c r="AH986">
        <f ca="1"/>
        <v>1.1083119945546271</v>
      </c>
      <c r="AI986">
        <f ca="1"/>
        <v>-8.3006043989131917E-2</v>
      </c>
      <c r="AJ986">
        <f ca="1"/>
        <v>1.5977018560032406</v>
      </c>
      <c r="AK986">
        <f ca="1"/>
        <v>-1.043914963435205</v>
      </c>
    </row>
    <row r="987" spans="28:41" x14ac:dyDescent="0.2">
      <c r="AB987" s="9"/>
      <c r="AC987" s="20"/>
      <c r="AE987" s="22" cm="1">
        <f t="array" aca="1" ref="AE987" ca="1">SQRT(MMULT(MMULT(AG987:AK987,var_covar),TRANSPOSE(AG987:AK987)))</f>
        <v>8.1472902937191199E-2</v>
      </c>
      <c r="AF987" s="22">
        <f t="shared" ca="1" si="37"/>
        <v>2.2228438913050909E-2</v>
      </c>
      <c r="AG987">
        <f ca="1"/>
        <v>0.55638224598467945</v>
      </c>
      <c r="AH987">
        <f ca="1"/>
        <v>0.36606454379375658</v>
      </c>
      <c r="AI987">
        <f ca="1"/>
        <v>0.39017736043466977</v>
      </c>
      <c r="AJ987">
        <f ca="1"/>
        <v>-0.2615581613896103</v>
      </c>
      <c r="AK987">
        <f ca="1"/>
        <v>-5.1065988823495334E-2</v>
      </c>
    </row>
    <row r="988" spans="28:41" x14ac:dyDescent="0.2">
      <c r="AB988" s="9"/>
      <c r="AC988" s="20"/>
      <c r="AE988" s="22" cm="1">
        <f t="array" aca="1" ref="AE988" ca="1">SQRT(MMULT(MMULT(AG988:AK988,var_covar),TRANSPOSE(AG988:AK988)))</f>
        <v>8.7814438427737326E-2</v>
      </c>
      <c r="AF988" s="22">
        <f t="shared" ca="1" si="37"/>
        <v>2.8373598884401219E-2</v>
      </c>
      <c r="AG988">
        <f ca="1"/>
        <v>0.45665242965345137</v>
      </c>
      <c r="AH988">
        <f ca="1"/>
        <v>0.15160131711828639</v>
      </c>
      <c r="AI988">
        <f ca="1"/>
        <v>0.32444128997253302</v>
      </c>
      <c r="AJ988">
        <f ca="1"/>
        <v>-0.17512048563521229</v>
      </c>
      <c r="AK988">
        <f ca="1"/>
        <v>0.24242544889094153</v>
      </c>
    </row>
    <row r="989" spans="28:41" x14ac:dyDescent="0.2">
      <c r="AB989" s="9"/>
      <c r="AC989" s="20"/>
      <c r="AE989" s="22" cm="1">
        <f t="array" aca="1" ref="AE989" ca="1">SQRT(MMULT(MMULT(AG989:AK989,var_covar),TRANSPOSE(AG989:AK989)))</f>
        <v>0.35248061485410309</v>
      </c>
      <c r="AF989" s="22">
        <f t="shared" ca="1" si="37"/>
        <v>9.9496848683155545E-2</v>
      </c>
      <c r="AG989">
        <f ca="1"/>
        <v>-1.3883665262086757</v>
      </c>
      <c r="AH989">
        <f ca="1"/>
        <v>0.61773021784713267</v>
      </c>
      <c r="AI989">
        <f ca="1"/>
        <v>-0.87200820924836631</v>
      </c>
      <c r="AJ989">
        <f ca="1"/>
        <v>3.0458773864312509</v>
      </c>
      <c r="AK989">
        <f ca="1"/>
        <v>-0.40323286882134141</v>
      </c>
    </row>
    <row r="990" spans="28:41" x14ac:dyDescent="0.2">
      <c r="AB990" s="9"/>
      <c r="AC990" s="20"/>
      <c r="AE990" s="22" cm="1">
        <f t="array" aca="1" ref="AE990" ca="1">SQRT(MMULT(MMULT(AG990:AK990,var_covar),TRANSPOSE(AG990:AK990)))</f>
        <v>0.14491822153720438</v>
      </c>
      <c r="AF990" s="22">
        <f t="shared" ca="1" si="37"/>
        <v>2.6952037856056956E-2</v>
      </c>
      <c r="AG990">
        <f ca="1"/>
        <v>0.30117482262330403</v>
      </c>
      <c r="AH990">
        <f ca="1"/>
        <v>6.1448852189576776E-2</v>
      </c>
      <c r="AI990">
        <f ca="1"/>
        <v>0.30474489347158207</v>
      </c>
      <c r="AJ990">
        <f ca="1"/>
        <v>-0.40165448652549252</v>
      </c>
      <c r="AK990">
        <f ca="1"/>
        <v>0.73428591824102962</v>
      </c>
    </row>
    <row r="991" spans="28:41" x14ac:dyDescent="0.2">
      <c r="AB991" s="9"/>
      <c r="AC991" s="20"/>
      <c r="AE991" s="22" cm="1">
        <f t="array" aca="1" ref="AE991" ca="1">SQRT(MMULT(MMULT(AG991:AK991,var_covar),TRANSPOSE(AG991:AK991)))</f>
        <v>0.18058494396345909</v>
      </c>
      <c r="AF991" s="22">
        <f t="shared" ca="1" si="37"/>
        <v>5.1198819140010621E-2</v>
      </c>
      <c r="AG991">
        <f ca="1"/>
        <v>1.4677448839035665</v>
      </c>
      <c r="AH991">
        <f ca="1"/>
        <v>5.0314981368099941E-2</v>
      </c>
      <c r="AI991">
        <f ca="1"/>
        <v>-0.95524675716362284</v>
      </c>
      <c r="AJ991">
        <f ca="1"/>
        <v>0.73408848780498603</v>
      </c>
      <c r="AK991">
        <f ca="1"/>
        <v>-0.29690159591302978</v>
      </c>
    </row>
    <row r="992" spans="28:41" x14ac:dyDescent="0.2">
      <c r="AB992" s="9"/>
      <c r="AC992" s="20"/>
      <c r="AE992" s="22" cm="1">
        <f t="array" aca="1" ref="AE992" ca="1">SQRT(MMULT(MMULT(AG992:AK992,var_covar),TRANSPOSE(AG992:AK992)))</f>
        <v>0.11022709542190377</v>
      </c>
      <c r="AF992" s="22">
        <f t="shared" ca="1" si="37"/>
        <v>3.906964953890181E-2</v>
      </c>
      <c r="AG992">
        <f ca="1"/>
        <v>-0.19131134489667126</v>
      </c>
      <c r="AH992">
        <f ca="1"/>
        <v>0.69099982268399529</v>
      </c>
      <c r="AI992">
        <f ca="1"/>
        <v>-0.14976297785941414</v>
      </c>
      <c r="AJ992">
        <f ca="1"/>
        <v>0.45890915285506106</v>
      </c>
      <c r="AK992">
        <f ca="1"/>
        <v>0.19116534721702916</v>
      </c>
    </row>
    <row r="993" spans="28:37" x14ac:dyDescent="0.2">
      <c r="AB993" s="9"/>
      <c r="AC993" s="20"/>
      <c r="AE993" s="22" cm="1">
        <f t="array" aca="1" ref="AE993" ca="1">SQRT(MMULT(MMULT(AG993:AK993,var_covar),TRANSPOSE(AG993:AK993)))</f>
        <v>0.13561728852928159</v>
      </c>
      <c r="AF993" s="22">
        <f t="shared" ca="1" si="37"/>
        <v>3.6572011226240139E-2</v>
      </c>
      <c r="AG993">
        <f ca="1"/>
        <v>-0.45930274561700307</v>
      </c>
      <c r="AH993">
        <f ca="1"/>
        <v>0.53809651672556058</v>
      </c>
      <c r="AI993">
        <f ca="1"/>
        <v>0.6822684742473919</v>
      </c>
      <c r="AJ993">
        <f ca="1"/>
        <v>0.50510511676668268</v>
      </c>
      <c r="AK993">
        <f ca="1"/>
        <v>-0.26616736212263203</v>
      </c>
    </row>
    <row r="994" spans="28:37" x14ac:dyDescent="0.2">
      <c r="AB994" s="9"/>
      <c r="AC994" s="20"/>
      <c r="AE994" s="22" cm="1">
        <f t="array" aca="1" ref="AE994" ca="1">SQRT(MMULT(MMULT(AG994:AK994,var_covar),TRANSPOSE(AG994:AK994)))</f>
        <v>0.24146973070303993</v>
      </c>
      <c r="AF994" s="22">
        <f t="shared" ca="1" si="37"/>
        <v>-8.390553057704548E-3</v>
      </c>
      <c r="AG994">
        <f ca="1"/>
        <v>2.4469878947650492</v>
      </c>
      <c r="AH994">
        <f ca="1"/>
        <v>0.40662815446189987</v>
      </c>
      <c r="AI994">
        <f ca="1"/>
        <v>-0.20783397179768559</v>
      </c>
      <c r="AJ994">
        <f ca="1"/>
        <v>-1.6107953336322931</v>
      </c>
      <c r="AK994">
        <f ca="1"/>
        <v>-3.4986743796970622E-2</v>
      </c>
    </row>
    <row r="995" spans="28:37" x14ac:dyDescent="0.2">
      <c r="AB995" s="9"/>
      <c r="AC995" s="20"/>
      <c r="AE995" s="22" cm="1">
        <f t="array" aca="1" ref="AE995" ca="1">SQRT(MMULT(MMULT(AG995:AK995,var_covar),TRANSPOSE(AG995:AK995)))</f>
        <v>8.6577454906854243E-2</v>
      </c>
      <c r="AF995" s="22">
        <f t="shared" ca="1" si="37"/>
        <v>2.7882817043114301E-2</v>
      </c>
      <c r="AG995">
        <f ca="1"/>
        <v>0.21551611055758738</v>
      </c>
      <c r="AH995">
        <f ca="1"/>
        <v>0.23044564234860718</v>
      </c>
      <c r="AI995">
        <f ca="1"/>
        <v>0.54222791107677382</v>
      </c>
      <c r="AJ995">
        <f ca="1"/>
        <v>-0.10498676905093071</v>
      </c>
      <c r="AK995">
        <f ca="1"/>
        <v>0.11679710506796225</v>
      </c>
    </row>
    <row r="996" spans="28:37" x14ac:dyDescent="0.2">
      <c r="AB996" s="9"/>
      <c r="AC996" s="20"/>
      <c r="AE996" s="22" cm="1">
        <f t="array" aca="1" ref="AE996" ca="1">SQRT(MMULT(MMULT(AG996:AK996,var_covar),TRANSPOSE(AG996:AK996)))</f>
        <v>0.26426138524099824</v>
      </c>
      <c r="AF996" s="22">
        <f t="shared" ca="1" si="37"/>
        <v>5.8842429354494311E-3</v>
      </c>
      <c r="AG996">
        <f ca="1"/>
        <v>0.35041732745283843</v>
      </c>
      <c r="AH996">
        <f ca="1"/>
        <v>1.8668638823075869</v>
      </c>
      <c r="AI996">
        <f ca="1"/>
        <v>0.14958497889074276</v>
      </c>
      <c r="AJ996">
        <f ca="1"/>
        <v>-1.8768575268048138E-2</v>
      </c>
      <c r="AK996">
        <f ca="1"/>
        <v>-1.3480976133831204</v>
      </c>
    </row>
    <row r="997" spans="28:37" x14ac:dyDescent="0.2">
      <c r="AB997" s="9"/>
      <c r="AC997" s="20"/>
      <c r="AE997" s="22" cm="1">
        <f t="array" aca="1" ref="AE997" ca="1">SQRT(MMULT(MMULT(AG997:AK997,var_covar),TRANSPOSE(AG997:AK997)))</f>
        <v>0.23448753052730706</v>
      </c>
      <c r="AF997" s="22">
        <f t="shared" ca="1" si="37"/>
        <v>2.3017296642750922E-2</v>
      </c>
      <c r="AG997">
        <f ca="1"/>
        <v>-0.25873892566352247</v>
      </c>
      <c r="AH997">
        <f ca="1"/>
        <v>1.5681109788406915</v>
      </c>
      <c r="AI997">
        <f ca="1"/>
        <v>0.27175307877380128</v>
      </c>
      <c r="AJ997">
        <f ca="1"/>
        <v>0.53358022650820003</v>
      </c>
      <c r="AK997">
        <f ca="1"/>
        <v>-1.1147053584591704</v>
      </c>
    </row>
    <row r="998" spans="28:37" x14ac:dyDescent="0.2">
      <c r="AB998" s="9"/>
      <c r="AC998" s="20"/>
      <c r="AE998" s="22" cm="1">
        <f t="array" aca="1" ref="AE998" ca="1">SQRT(MMULT(MMULT(AG998:AK998,var_covar),TRANSPOSE(AG998:AK998)))</f>
        <v>0.11744187054743765</v>
      </c>
      <c r="AF998" s="22">
        <f t="shared" ca="1" si="37"/>
        <v>4.6211544876807398E-2</v>
      </c>
      <c r="AG998">
        <f ca="1"/>
        <v>-8.1324129619674806E-2</v>
      </c>
      <c r="AH998">
        <f ca="1"/>
        <v>8.8723168969618307E-2</v>
      </c>
      <c r="AI998">
        <f ca="1"/>
        <v>0.1138364918114452</v>
      </c>
      <c r="AJ998">
        <f ca="1"/>
        <v>0.4883813986476036</v>
      </c>
      <c r="AK998">
        <f ca="1"/>
        <v>0.39038307019100771</v>
      </c>
    </row>
    <row r="999" spans="28:37" x14ac:dyDescent="0.2">
      <c r="AB999" s="9"/>
      <c r="AC999" s="20"/>
      <c r="AE999" s="22" cm="1">
        <f t="array" aca="1" ref="AE999" ca="1">SQRT(MMULT(MMULT(AG999:AK999,var_covar),TRANSPOSE(AG999:AK999)))</f>
        <v>0.1128233150786159</v>
      </c>
      <c r="AF999" s="22">
        <f t="shared" ca="1" si="37"/>
        <v>3.2999740256995466E-2</v>
      </c>
      <c r="AG999">
        <f ca="1"/>
        <v>0.1581099676009794</v>
      </c>
      <c r="AH999">
        <f ca="1"/>
        <v>0.1174302571171736</v>
      </c>
      <c r="AI999">
        <f ca="1"/>
        <v>0.28588677595543044</v>
      </c>
      <c r="AJ999">
        <f ca="1"/>
        <v>-6.6290330795837418E-2</v>
      </c>
      <c r="AK999">
        <f ca="1"/>
        <v>0.50486333012225393</v>
      </c>
    </row>
    <row r="1000" spans="28:37" x14ac:dyDescent="0.2">
      <c r="AB1000" s="9"/>
      <c r="AC1000" s="20"/>
      <c r="AE1000" s="22" cm="1">
        <f t="array" aca="1" ref="AE1000" ca="1">SQRT(MMULT(MMULT(AG1000:AK1000,var_covar),TRANSPOSE(AG1000:AK1000)))</f>
        <v>0.11531353811740445</v>
      </c>
      <c r="AF1000" s="22">
        <f t="shared" ca="1" si="37"/>
        <v>4.0160021811989355E-2</v>
      </c>
      <c r="AG1000">
        <f ca="1"/>
        <v>0.15007987405651674</v>
      </c>
      <c r="AH1000">
        <f ca="1"/>
        <v>-0.20226715651931093</v>
      </c>
      <c r="AI1000">
        <f ca="1"/>
        <v>0.5234255980695105</v>
      </c>
      <c r="AJ1000">
        <f ca="1"/>
        <v>0.16702097437137425</v>
      </c>
      <c r="AK1000">
        <f ca="1"/>
        <v>0.36174071002190933</v>
      </c>
    </row>
    <row r="1001" spans="28:37" x14ac:dyDescent="0.2">
      <c r="AB1001" s="9"/>
      <c r="AC1001" s="20"/>
      <c r="AE1001" s="22" cm="1">
        <f t="array" aca="1" ref="AE1001" ca="1">SQRT(MMULT(MMULT(AG1001:AK1001,var_covar),TRANSPOSE(AG1001:AK1001)))</f>
        <v>0.72212517910774388</v>
      </c>
      <c r="AF1001" s="22">
        <f t="shared" ca="1" si="37"/>
        <v>8.4246493086549135E-3</v>
      </c>
      <c r="AG1001">
        <f ca="1"/>
        <v>-0.91609890614106038</v>
      </c>
      <c r="AH1001">
        <f ca="1"/>
        <v>-1.2765689292317257</v>
      </c>
      <c r="AI1001">
        <f ca="1"/>
        <v>1.603293924308379</v>
      </c>
      <c r="AJ1001">
        <f ca="1"/>
        <v>-2.4368950690460922</v>
      </c>
      <c r="AK1001">
        <f ca="1"/>
        <v>4.0262689801104994</v>
      </c>
    </row>
    <row r="1002" spans="28:37" x14ac:dyDescent="0.2">
      <c r="AB1002" s="9"/>
      <c r="AC1002" s="20"/>
      <c r="AE1002" s="22" cm="1">
        <f t="array" aca="1" ref="AE1002" ca="1">SQRT(MMULT(MMULT(AG1002:AK1002,var_covar),TRANSPOSE(AG1002:AK1002)))</f>
        <v>0.15865393581852347</v>
      </c>
      <c r="AF1002" s="22">
        <f t="shared" ca="1" si="37"/>
        <v>3.7991294801511685E-2</v>
      </c>
      <c r="AG1002">
        <f ca="1"/>
        <v>0.61433631892662599</v>
      </c>
      <c r="AH1002">
        <f ca="1"/>
        <v>0.25973617636641566</v>
      </c>
      <c r="AI1002">
        <f ca="1"/>
        <v>-0.64006754448920244</v>
      </c>
      <c r="AJ1002">
        <f ca="1"/>
        <v>3.7399006011614923E-2</v>
      </c>
      <c r="AK1002">
        <f ca="1"/>
        <v>0.72859604318454596</v>
      </c>
    </row>
    <row r="1003" spans="28:37" x14ac:dyDescent="0.2">
      <c r="AC1003" s="20"/>
      <c r="AE1003" s="22"/>
      <c r="AF1003" s="22"/>
    </row>
    <row r="1004" spans="28:37" x14ac:dyDescent="0.2">
      <c r="AC1004" s="20"/>
      <c r="AE1004" s="22"/>
      <c r="AF1004" s="22"/>
    </row>
    <row r="1005" spans="28:37" x14ac:dyDescent="0.2">
      <c r="AC1005" s="20"/>
      <c r="AE1005" s="22"/>
      <c r="AF1005" s="22"/>
    </row>
    <row r="1006" spans="28:37" x14ac:dyDescent="0.2">
      <c r="AC1006" s="20"/>
      <c r="AE1006" s="22"/>
      <c r="AF1006" s="22"/>
    </row>
    <row r="1007" spans="28:37" x14ac:dyDescent="0.2">
      <c r="AC1007" s="20"/>
      <c r="AE1007" s="22"/>
      <c r="AF1007" s="22"/>
    </row>
    <row r="1008" spans="28:37" x14ac:dyDescent="0.2">
      <c r="AC1008" s="20"/>
      <c r="AE1008" s="22"/>
      <c r="AF1008" s="22"/>
    </row>
    <row r="1009" spans="29:32" x14ac:dyDescent="0.2">
      <c r="AC1009" s="20"/>
      <c r="AE1009" s="22"/>
      <c r="AF1009" s="22"/>
    </row>
    <row r="1010" spans="29:32" x14ac:dyDescent="0.2">
      <c r="AC1010" s="20"/>
      <c r="AE1010" s="22"/>
      <c r="AF1010" s="22"/>
    </row>
    <row r="1011" spans="29:32" x14ac:dyDescent="0.2">
      <c r="AC1011" s="20"/>
      <c r="AE1011" s="22"/>
      <c r="AF1011" s="22"/>
    </row>
    <row r="1012" spans="29:32" x14ac:dyDescent="0.2">
      <c r="AC1012" s="20"/>
      <c r="AE1012" s="22"/>
      <c r="AF1012" s="22"/>
    </row>
    <row r="1013" spans="29:32" x14ac:dyDescent="0.2">
      <c r="AC1013" s="20"/>
      <c r="AE1013" s="22"/>
      <c r="AF1013" s="22"/>
    </row>
    <row r="1014" spans="29:32" x14ac:dyDescent="0.2">
      <c r="AC1014" s="20"/>
      <c r="AE1014" s="22"/>
      <c r="AF1014" s="22"/>
    </row>
    <row r="1015" spans="29:32" x14ac:dyDescent="0.2">
      <c r="AC1015" s="20"/>
      <c r="AE1015" s="22"/>
      <c r="AF1015" s="22"/>
    </row>
    <row r="1016" spans="29:32" x14ac:dyDescent="0.2">
      <c r="AC1016" s="20"/>
      <c r="AE1016" s="22"/>
      <c r="AF1016" s="22"/>
    </row>
    <row r="1017" spans="29:32" x14ac:dyDescent="0.2">
      <c r="AC1017" s="20"/>
      <c r="AE1017" s="22"/>
      <c r="AF1017" s="22"/>
    </row>
    <row r="1018" spans="29:32" x14ac:dyDescent="0.2">
      <c r="AC1018" s="20"/>
      <c r="AE1018" s="22"/>
      <c r="AF1018" s="22"/>
    </row>
    <row r="1019" spans="29:32" x14ac:dyDescent="0.2">
      <c r="AC1019" s="20"/>
      <c r="AE1019" s="22"/>
      <c r="AF1019" s="22"/>
    </row>
    <row r="1020" spans="29:32" x14ac:dyDescent="0.2">
      <c r="AC1020" s="20"/>
      <c r="AE1020" s="22"/>
      <c r="AF1020" s="22"/>
    </row>
    <row r="1021" spans="29:32" x14ac:dyDescent="0.2">
      <c r="AC1021" s="20"/>
      <c r="AE1021" s="22"/>
      <c r="AF1021" s="22"/>
    </row>
    <row r="1022" spans="29:32" x14ac:dyDescent="0.2">
      <c r="AC1022" s="20"/>
      <c r="AE1022" s="22"/>
      <c r="AF1022" s="22"/>
    </row>
    <row r="1023" spans="29:32" x14ac:dyDescent="0.2">
      <c r="AC1023" s="20"/>
      <c r="AE1023" s="22"/>
      <c r="AF1023" s="22"/>
    </row>
    <row r="1024" spans="29:32" x14ac:dyDescent="0.2">
      <c r="AC1024" s="20"/>
      <c r="AE1024" s="22"/>
      <c r="AF1024" s="22"/>
    </row>
    <row r="1025" spans="29:32" x14ac:dyDescent="0.2">
      <c r="AC1025" s="20"/>
      <c r="AE1025" s="22"/>
      <c r="AF1025" s="22"/>
    </row>
    <row r="1026" spans="29:32" x14ac:dyDescent="0.2">
      <c r="AC1026" s="20"/>
      <c r="AE1026" s="22"/>
      <c r="AF1026" s="22"/>
    </row>
    <row r="1027" spans="29:32" x14ac:dyDescent="0.2">
      <c r="AC1027" s="20"/>
      <c r="AE1027" s="22"/>
      <c r="AF1027" s="22"/>
    </row>
    <row r="1028" spans="29:32" x14ac:dyDescent="0.2">
      <c r="AC1028" s="20"/>
      <c r="AE1028" s="22"/>
      <c r="AF1028" s="22"/>
    </row>
    <row r="1029" spans="29:32" x14ac:dyDescent="0.2">
      <c r="AC1029" s="20"/>
      <c r="AE1029" s="22"/>
      <c r="AF1029" s="22"/>
    </row>
    <row r="1030" spans="29:32" x14ac:dyDescent="0.2">
      <c r="AC1030" s="20"/>
      <c r="AE1030" s="22"/>
      <c r="AF1030" s="22"/>
    </row>
    <row r="1031" spans="29:32" x14ac:dyDescent="0.2">
      <c r="AC1031" s="20"/>
      <c r="AE1031" s="22"/>
      <c r="AF1031" s="22"/>
    </row>
    <row r="1032" spans="29:32" x14ac:dyDescent="0.2">
      <c r="AC1032" s="20"/>
      <c r="AE1032" s="22"/>
      <c r="AF1032" s="22"/>
    </row>
    <row r="1033" spans="29:32" x14ac:dyDescent="0.2">
      <c r="AC1033" s="20"/>
      <c r="AE1033" s="22"/>
      <c r="AF1033" s="22"/>
    </row>
    <row r="1034" spans="29:32" x14ac:dyDescent="0.2">
      <c r="AC1034" s="20"/>
      <c r="AE1034" s="22"/>
      <c r="AF1034" s="22"/>
    </row>
    <row r="1035" spans="29:32" x14ac:dyDescent="0.2">
      <c r="AC1035" s="20"/>
      <c r="AE1035" s="22"/>
      <c r="AF1035" s="22"/>
    </row>
    <row r="1036" spans="29:32" x14ac:dyDescent="0.2">
      <c r="AC1036" s="20"/>
      <c r="AE1036" s="22"/>
      <c r="AF1036" s="22"/>
    </row>
    <row r="1037" spans="29:32" x14ac:dyDescent="0.2">
      <c r="AC1037" s="20"/>
      <c r="AE1037" s="22"/>
      <c r="AF1037" s="22"/>
    </row>
    <row r="1038" spans="29:32" x14ac:dyDescent="0.2">
      <c r="AC1038" s="20"/>
      <c r="AE1038" s="22"/>
      <c r="AF1038" s="22"/>
    </row>
    <row r="1039" spans="29:32" x14ac:dyDescent="0.2">
      <c r="AC1039" s="20"/>
      <c r="AE1039" s="22"/>
      <c r="AF1039" s="22"/>
    </row>
    <row r="1040" spans="29:32" x14ac:dyDescent="0.2">
      <c r="AC1040" s="20"/>
      <c r="AE1040" s="22"/>
      <c r="AF1040" s="22"/>
    </row>
    <row r="1041" spans="29:32" x14ac:dyDescent="0.2">
      <c r="AC1041" s="20"/>
      <c r="AE1041" s="22"/>
      <c r="AF1041" s="22"/>
    </row>
    <row r="1042" spans="29:32" x14ac:dyDescent="0.2">
      <c r="AC1042" s="20"/>
      <c r="AE1042" s="22"/>
      <c r="AF1042" s="22"/>
    </row>
    <row r="1043" spans="29:32" x14ac:dyDescent="0.2">
      <c r="AC1043" s="20"/>
      <c r="AE1043" s="22"/>
      <c r="AF1043" s="22"/>
    </row>
    <row r="1044" spans="29:32" x14ac:dyDescent="0.2">
      <c r="AC1044" s="20"/>
      <c r="AE1044" s="22"/>
      <c r="AF1044" s="22"/>
    </row>
    <row r="1045" spans="29:32" x14ac:dyDescent="0.2">
      <c r="AC1045" s="20"/>
      <c r="AE1045" s="22"/>
      <c r="AF1045" s="22"/>
    </row>
    <row r="1046" spans="29:32" x14ac:dyDescent="0.2">
      <c r="AC1046" s="20"/>
      <c r="AE1046" s="22"/>
      <c r="AF1046" s="22"/>
    </row>
    <row r="1047" spans="29:32" x14ac:dyDescent="0.2">
      <c r="AC1047" s="20"/>
      <c r="AE1047" s="22"/>
      <c r="AF1047" s="22"/>
    </row>
    <row r="1048" spans="29:32" x14ac:dyDescent="0.2">
      <c r="AC1048" s="20"/>
      <c r="AE1048" s="22"/>
      <c r="AF1048" s="22"/>
    </row>
    <row r="1049" spans="29:32" x14ac:dyDescent="0.2">
      <c r="AC1049" s="20"/>
      <c r="AE1049" s="22"/>
      <c r="AF1049" s="22"/>
    </row>
    <row r="1050" spans="29:32" x14ac:dyDescent="0.2">
      <c r="AC1050" s="20"/>
      <c r="AE1050" s="22"/>
      <c r="AF1050" s="22"/>
    </row>
    <row r="1051" spans="29:32" x14ac:dyDescent="0.2">
      <c r="AC1051" s="20"/>
      <c r="AE1051" s="22"/>
      <c r="AF1051" s="22"/>
    </row>
    <row r="1052" spans="29:32" x14ac:dyDescent="0.2">
      <c r="AC1052" s="20"/>
      <c r="AE1052" s="22"/>
      <c r="AF1052" s="22"/>
    </row>
    <row r="1053" spans="29:32" x14ac:dyDescent="0.2">
      <c r="AC1053" s="20"/>
      <c r="AE1053" s="22"/>
      <c r="AF1053" s="22"/>
    </row>
    <row r="1054" spans="29:32" x14ac:dyDescent="0.2">
      <c r="AC1054" s="20"/>
      <c r="AE1054" s="22"/>
      <c r="AF1054" s="22"/>
    </row>
    <row r="1055" spans="29:32" x14ac:dyDescent="0.2">
      <c r="AC1055" s="20"/>
      <c r="AE1055" s="22"/>
      <c r="AF1055" s="22"/>
    </row>
    <row r="1056" spans="29:32" x14ac:dyDescent="0.2">
      <c r="AC1056" s="20"/>
      <c r="AE1056" s="22"/>
      <c r="AF1056" s="22"/>
    </row>
    <row r="1057" spans="29:32" x14ac:dyDescent="0.2">
      <c r="AC1057" s="20"/>
      <c r="AE1057" s="22"/>
      <c r="AF1057" s="22"/>
    </row>
    <row r="1058" spans="29:32" x14ac:dyDescent="0.2">
      <c r="AC1058" s="20"/>
      <c r="AE1058" s="22"/>
      <c r="AF1058" s="22"/>
    </row>
    <row r="1059" spans="29:32" x14ac:dyDescent="0.2">
      <c r="AC1059" s="20"/>
      <c r="AE1059" s="22"/>
      <c r="AF1059" s="22"/>
    </row>
    <row r="1060" spans="29:32" x14ac:dyDescent="0.2">
      <c r="AC1060" s="20"/>
      <c r="AE1060" s="22"/>
      <c r="AF1060" s="22"/>
    </row>
    <row r="1061" spans="29:32" x14ac:dyDescent="0.2">
      <c r="AC1061" s="20"/>
      <c r="AE1061" s="22"/>
      <c r="AF1061" s="22"/>
    </row>
    <row r="1062" spans="29:32" x14ac:dyDescent="0.2">
      <c r="AC1062" s="20"/>
      <c r="AE1062" s="22"/>
      <c r="AF1062" s="22"/>
    </row>
    <row r="1063" spans="29:32" x14ac:dyDescent="0.2">
      <c r="AC1063" s="20"/>
      <c r="AE1063" s="22"/>
      <c r="AF1063" s="22"/>
    </row>
    <row r="1064" spans="29:32" x14ac:dyDescent="0.2">
      <c r="AC1064" s="20"/>
      <c r="AE1064" s="22"/>
      <c r="AF1064" s="22"/>
    </row>
    <row r="1065" spans="29:32" x14ac:dyDescent="0.2">
      <c r="AC1065" s="20"/>
      <c r="AE1065" s="22"/>
      <c r="AF1065" s="22"/>
    </row>
    <row r="1066" spans="29:32" x14ac:dyDescent="0.2">
      <c r="AC1066" s="20"/>
      <c r="AE1066" s="22"/>
      <c r="AF1066" s="22"/>
    </row>
    <row r="1067" spans="29:32" x14ac:dyDescent="0.2">
      <c r="AC1067" s="20"/>
      <c r="AE1067" s="22"/>
      <c r="AF1067" s="22"/>
    </row>
    <row r="1068" spans="29:32" x14ac:dyDescent="0.2">
      <c r="AC1068" s="20"/>
      <c r="AE1068" s="22"/>
      <c r="AF1068" s="22"/>
    </row>
    <row r="1069" spans="29:32" x14ac:dyDescent="0.2">
      <c r="AC1069" s="20"/>
      <c r="AE1069" s="22"/>
      <c r="AF1069" s="22"/>
    </row>
    <row r="1070" spans="29:32" x14ac:dyDescent="0.2">
      <c r="AC1070" s="20"/>
      <c r="AE1070" s="22"/>
      <c r="AF1070" s="22"/>
    </row>
    <row r="1071" spans="29:32" x14ac:dyDescent="0.2">
      <c r="AC1071" s="20"/>
      <c r="AE1071" s="22"/>
      <c r="AF1071" s="22"/>
    </row>
    <row r="1072" spans="29:32" x14ac:dyDescent="0.2">
      <c r="AC1072" s="20"/>
      <c r="AE1072" s="22"/>
      <c r="AF1072" s="22"/>
    </row>
    <row r="1073" spans="29:32" x14ac:dyDescent="0.2">
      <c r="AC1073" s="20"/>
      <c r="AE1073" s="22"/>
      <c r="AF1073" s="22"/>
    </row>
    <row r="1074" spans="29:32" x14ac:dyDescent="0.2">
      <c r="AC1074" s="20"/>
      <c r="AE1074" s="22"/>
      <c r="AF1074" s="22"/>
    </row>
    <row r="1075" spans="29:32" x14ac:dyDescent="0.2">
      <c r="AC1075" s="20"/>
      <c r="AE1075" s="22"/>
      <c r="AF1075" s="22"/>
    </row>
    <row r="1076" spans="29:32" x14ac:dyDescent="0.2">
      <c r="AC1076" s="20"/>
      <c r="AE1076" s="22"/>
      <c r="AF1076" s="22"/>
    </row>
    <row r="1077" spans="29:32" x14ac:dyDescent="0.2">
      <c r="AC1077" s="20"/>
      <c r="AE1077" s="22"/>
      <c r="AF1077" s="22"/>
    </row>
    <row r="1078" spans="29:32" x14ac:dyDescent="0.2">
      <c r="AC1078" s="20"/>
      <c r="AE1078" s="22"/>
      <c r="AF1078" s="22"/>
    </row>
    <row r="1079" spans="29:32" x14ac:dyDescent="0.2">
      <c r="AC1079" s="20"/>
      <c r="AE1079" s="22"/>
      <c r="AF1079" s="22"/>
    </row>
    <row r="1080" spans="29:32" x14ac:dyDescent="0.2">
      <c r="AC1080" s="20"/>
      <c r="AE1080" s="22"/>
      <c r="AF1080" s="22"/>
    </row>
    <row r="1081" spans="29:32" x14ac:dyDescent="0.2">
      <c r="AC1081" s="20"/>
      <c r="AE1081" s="22"/>
      <c r="AF1081" s="22"/>
    </row>
    <row r="1082" spans="29:32" x14ac:dyDescent="0.2">
      <c r="AC1082" s="20"/>
      <c r="AE1082" s="22"/>
      <c r="AF1082" s="22"/>
    </row>
    <row r="1083" spans="29:32" x14ac:dyDescent="0.2">
      <c r="AC1083" s="20"/>
      <c r="AE1083" s="22"/>
      <c r="AF1083" s="22"/>
    </row>
    <row r="1084" spans="29:32" x14ac:dyDescent="0.2">
      <c r="AC1084" s="20"/>
      <c r="AE1084" s="22"/>
      <c r="AF1084" s="22"/>
    </row>
    <row r="1085" spans="29:32" x14ac:dyDescent="0.2">
      <c r="AC1085" s="20"/>
      <c r="AE1085" s="22"/>
      <c r="AF1085" s="22"/>
    </row>
    <row r="1086" spans="29:32" x14ac:dyDescent="0.2">
      <c r="AC1086" s="20"/>
      <c r="AE1086" s="22"/>
      <c r="AF1086" s="22"/>
    </row>
    <row r="1087" spans="29:32" x14ac:dyDescent="0.2">
      <c r="AC1087" s="20"/>
      <c r="AE1087" s="22"/>
      <c r="AF1087" s="22"/>
    </row>
    <row r="1088" spans="29:32" x14ac:dyDescent="0.2">
      <c r="AC1088" s="20"/>
      <c r="AE1088" s="22"/>
      <c r="AF1088" s="22"/>
    </row>
    <row r="1089" spans="29:32" x14ac:dyDescent="0.2">
      <c r="AC1089" s="20"/>
      <c r="AE1089" s="22"/>
      <c r="AF1089" s="22"/>
    </row>
    <row r="1090" spans="29:32" x14ac:dyDescent="0.2">
      <c r="AC1090" s="20"/>
      <c r="AE1090" s="22"/>
      <c r="AF1090" s="22"/>
    </row>
    <row r="1091" spans="29:32" x14ac:dyDescent="0.2">
      <c r="AC1091" s="20"/>
      <c r="AE1091" s="22"/>
      <c r="AF1091" s="22"/>
    </row>
    <row r="1092" spans="29:32" x14ac:dyDescent="0.2">
      <c r="AC1092" s="20"/>
      <c r="AE1092" s="22"/>
      <c r="AF1092" s="22"/>
    </row>
    <row r="1093" spans="29:32" x14ac:dyDescent="0.2">
      <c r="AC1093" s="20"/>
      <c r="AE1093" s="22"/>
      <c r="AF1093" s="22"/>
    </row>
    <row r="1094" spans="29:32" x14ac:dyDescent="0.2">
      <c r="AC1094" s="20"/>
      <c r="AE1094" s="22"/>
      <c r="AF1094" s="22"/>
    </row>
    <row r="1095" spans="29:32" x14ac:dyDescent="0.2">
      <c r="AC1095" s="20"/>
      <c r="AE1095" s="22"/>
      <c r="AF1095" s="22"/>
    </row>
    <row r="1096" spans="29:32" x14ac:dyDescent="0.2">
      <c r="AC1096" s="20"/>
      <c r="AE1096" s="22"/>
      <c r="AF1096" s="22"/>
    </row>
    <row r="1097" spans="29:32" x14ac:dyDescent="0.2">
      <c r="AC1097" s="20"/>
      <c r="AE1097" s="22"/>
      <c r="AF1097" s="22"/>
    </row>
    <row r="1098" spans="29:32" x14ac:dyDescent="0.2">
      <c r="AC1098" s="20"/>
      <c r="AE1098" s="22"/>
      <c r="AF1098" s="22"/>
    </row>
    <row r="1099" spans="29:32" x14ac:dyDescent="0.2">
      <c r="AC1099" s="20"/>
      <c r="AE1099" s="22"/>
      <c r="AF1099" s="22"/>
    </row>
    <row r="1100" spans="29:32" x14ac:dyDescent="0.2">
      <c r="AC1100" s="20"/>
      <c r="AE1100" s="22"/>
      <c r="AF1100" s="22"/>
    </row>
    <row r="1101" spans="29:32" x14ac:dyDescent="0.2">
      <c r="AC1101" s="20"/>
      <c r="AE1101" s="22"/>
      <c r="AF1101" s="22"/>
    </row>
    <row r="1102" spans="29:32" x14ac:dyDescent="0.2">
      <c r="AC1102" s="20"/>
      <c r="AE1102" s="22"/>
      <c r="AF1102" s="22"/>
    </row>
    <row r="1103" spans="29:32" x14ac:dyDescent="0.2">
      <c r="AC1103" s="20"/>
      <c r="AE1103" s="22"/>
      <c r="AF1103" s="22"/>
    </row>
    <row r="1104" spans="29:32" x14ac:dyDescent="0.2">
      <c r="AC1104" s="20"/>
      <c r="AE1104" s="22"/>
      <c r="AF1104" s="22"/>
    </row>
    <row r="1105" spans="29:32" x14ac:dyDescent="0.2">
      <c r="AC1105" s="20"/>
      <c r="AE1105" s="22"/>
      <c r="AF1105" s="22"/>
    </row>
    <row r="1106" spans="29:32" x14ac:dyDescent="0.2">
      <c r="AC1106" s="20"/>
      <c r="AE1106" s="22"/>
      <c r="AF1106" s="22"/>
    </row>
    <row r="1107" spans="29:32" x14ac:dyDescent="0.2">
      <c r="AC1107" s="20"/>
      <c r="AE1107" s="22"/>
      <c r="AF1107" s="22"/>
    </row>
    <row r="1108" spans="29:32" x14ac:dyDescent="0.2">
      <c r="AC1108" s="20"/>
      <c r="AE1108" s="22"/>
      <c r="AF1108" s="22"/>
    </row>
    <row r="1109" spans="29:32" x14ac:dyDescent="0.2">
      <c r="AC1109" s="20"/>
      <c r="AE1109" s="22"/>
      <c r="AF1109" s="22"/>
    </row>
    <row r="1110" spans="29:32" x14ac:dyDescent="0.2">
      <c r="AC1110" s="20"/>
      <c r="AE1110" s="22"/>
      <c r="AF1110" s="22"/>
    </row>
    <row r="1111" spans="29:32" x14ac:dyDescent="0.2">
      <c r="AC1111" s="20"/>
      <c r="AE1111" s="22"/>
      <c r="AF1111" s="22"/>
    </row>
    <row r="1112" spans="29:32" x14ac:dyDescent="0.2">
      <c r="AC1112" s="20"/>
      <c r="AE1112" s="22"/>
      <c r="AF1112" s="22"/>
    </row>
    <row r="1113" spans="29:32" x14ac:dyDescent="0.2">
      <c r="AC1113" s="20"/>
      <c r="AE1113" s="22"/>
      <c r="AF1113" s="22"/>
    </row>
    <row r="1114" spans="29:32" x14ac:dyDescent="0.2">
      <c r="AC1114" s="20"/>
      <c r="AE1114" s="22"/>
      <c r="AF1114" s="22"/>
    </row>
    <row r="1115" spans="29:32" x14ac:dyDescent="0.2">
      <c r="AC1115" s="20"/>
      <c r="AE1115" s="22"/>
      <c r="AF1115" s="22"/>
    </row>
    <row r="1116" spans="29:32" x14ac:dyDescent="0.2">
      <c r="AC1116" s="20"/>
      <c r="AE1116" s="22"/>
      <c r="AF1116" s="22"/>
    </row>
    <row r="1117" spans="29:32" x14ac:dyDescent="0.2">
      <c r="AC1117" s="20"/>
      <c r="AE1117" s="22"/>
      <c r="AF1117" s="22"/>
    </row>
    <row r="1118" spans="29:32" x14ac:dyDescent="0.2">
      <c r="AC1118" s="20"/>
      <c r="AE1118" s="22"/>
      <c r="AF1118" s="22"/>
    </row>
    <row r="1119" spans="29:32" x14ac:dyDescent="0.2">
      <c r="AC1119" s="20"/>
      <c r="AE1119" s="22"/>
      <c r="AF1119" s="22"/>
    </row>
    <row r="1120" spans="29:32" x14ac:dyDescent="0.2">
      <c r="AC1120" s="20"/>
      <c r="AE1120" s="22"/>
      <c r="AF1120" s="22"/>
    </row>
    <row r="1121" spans="29:32" x14ac:dyDescent="0.2">
      <c r="AC1121" s="20"/>
      <c r="AE1121" s="22"/>
      <c r="AF1121" s="22"/>
    </row>
    <row r="1122" spans="29:32" x14ac:dyDescent="0.2">
      <c r="AC1122" s="20"/>
      <c r="AE1122" s="22"/>
      <c r="AF1122" s="22"/>
    </row>
    <row r="1123" spans="29:32" x14ac:dyDescent="0.2">
      <c r="AC1123" s="20"/>
      <c r="AE1123" s="22"/>
      <c r="AF1123" s="22"/>
    </row>
    <row r="1124" spans="29:32" x14ac:dyDescent="0.2">
      <c r="AC1124" s="20"/>
      <c r="AE1124" s="22"/>
      <c r="AF1124" s="22"/>
    </row>
    <row r="1125" spans="29:32" x14ac:dyDescent="0.2">
      <c r="AC1125" s="20"/>
      <c r="AE1125" s="22"/>
      <c r="AF1125" s="22"/>
    </row>
    <row r="1126" spans="29:32" x14ac:dyDescent="0.2">
      <c r="AC1126" s="20"/>
      <c r="AE1126" s="22"/>
      <c r="AF1126" s="22"/>
    </row>
    <row r="1127" spans="29:32" x14ac:dyDescent="0.2">
      <c r="AC1127" s="20"/>
      <c r="AE1127" s="22"/>
      <c r="AF1127" s="22"/>
    </row>
    <row r="1128" spans="29:32" x14ac:dyDescent="0.2">
      <c r="AC1128" s="20"/>
      <c r="AE1128" s="22"/>
      <c r="AF1128" s="22"/>
    </row>
    <row r="1129" spans="29:32" x14ac:dyDescent="0.2">
      <c r="AC1129" s="20"/>
      <c r="AE1129" s="22"/>
      <c r="AF1129" s="22"/>
    </row>
    <row r="1130" spans="29:32" x14ac:dyDescent="0.2">
      <c r="AC1130" s="20"/>
      <c r="AE1130" s="22"/>
      <c r="AF1130" s="22"/>
    </row>
    <row r="1131" spans="29:32" x14ac:dyDescent="0.2">
      <c r="AC1131" s="20"/>
      <c r="AE1131" s="22"/>
      <c r="AF1131" s="22"/>
    </row>
    <row r="1132" spans="29:32" x14ac:dyDescent="0.2">
      <c r="AC1132" s="20"/>
      <c r="AE1132" s="22"/>
      <c r="AF1132" s="22"/>
    </row>
    <row r="1133" spans="29:32" x14ac:dyDescent="0.2">
      <c r="AC1133" s="20"/>
      <c r="AE1133" s="22"/>
      <c r="AF1133" s="22"/>
    </row>
    <row r="1134" spans="29:32" x14ac:dyDescent="0.2">
      <c r="AC1134" s="20"/>
      <c r="AE1134" s="22"/>
      <c r="AF1134" s="22"/>
    </row>
    <row r="1135" spans="29:32" x14ac:dyDescent="0.2">
      <c r="AC1135" s="20"/>
      <c r="AE1135" s="22"/>
      <c r="AF1135" s="22"/>
    </row>
    <row r="1136" spans="29:32" x14ac:dyDescent="0.2">
      <c r="AC1136" s="20"/>
      <c r="AE1136" s="22"/>
      <c r="AF1136" s="22"/>
    </row>
    <row r="1137" spans="29:32" x14ac:dyDescent="0.2">
      <c r="AC1137" s="20"/>
      <c r="AE1137" s="22"/>
      <c r="AF1137" s="22"/>
    </row>
    <row r="1138" spans="29:32" x14ac:dyDescent="0.2">
      <c r="AC1138" s="20"/>
      <c r="AE1138" s="22"/>
      <c r="AF1138" s="22"/>
    </row>
    <row r="1139" spans="29:32" x14ac:dyDescent="0.2">
      <c r="AC1139" s="20"/>
      <c r="AE1139" s="22"/>
      <c r="AF1139" s="22"/>
    </row>
    <row r="1140" spans="29:32" x14ac:dyDescent="0.2">
      <c r="AC1140" s="20"/>
      <c r="AE1140" s="22"/>
      <c r="AF1140" s="22"/>
    </row>
    <row r="1141" spans="29:32" x14ac:dyDescent="0.2">
      <c r="AC1141" s="20"/>
      <c r="AE1141" s="22"/>
      <c r="AF1141" s="22"/>
    </row>
    <row r="1142" spans="29:32" x14ac:dyDescent="0.2">
      <c r="AC1142" s="20"/>
      <c r="AE1142" s="22"/>
      <c r="AF1142" s="22"/>
    </row>
    <row r="1143" spans="29:32" x14ac:dyDescent="0.2">
      <c r="AC1143" s="20"/>
      <c r="AE1143" s="22"/>
      <c r="AF1143" s="22"/>
    </row>
    <row r="1144" spans="29:32" x14ac:dyDescent="0.2">
      <c r="AC1144" s="20"/>
      <c r="AE1144" s="22"/>
      <c r="AF1144" s="22"/>
    </row>
    <row r="1145" spans="29:32" x14ac:dyDescent="0.2">
      <c r="AC1145" s="20"/>
      <c r="AE1145" s="22"/>
      <c r="AF1145" s="22"/>
    </row>
    <row r="1146" spans="29:32" x14ac:dyDescent="0.2">
      <c r="AC1146" s="20"/>
      <c r="AE1146" s="22"/>
      <c r="AF1146" s="22"/>
    </row>
    <row r="1147" spans="29:32" x14ac:dyDescent="0.2">
      <c r="AC1147" s="20"/>
      <c r="AE1147" s="22"/>
      <c r="AF1147" s="22"/>
    </row>
    <row r="1148" spans="29:32" x14ac:dyDescent="0.2">
      <c r="AC1148" s="20"/>
      <c r="AE1148" s="22"/>
      <c r="AF1148" s="22"/>
    </row>
    <row r="1149" spans="29:32" x14ac:dyDescent="0.2">
      <c r="AC1149" s="20"/>
      <c r="AE1149" s="22"/>
      <c r="AF1149" s="22"/>
    </row>
    <row r="1150" spans="29:32" x14ac:dyDescent="0.2">
      <c r="AC1150" s="20"/>
      <c r="AE1150" s="22"/>
      <c r="AF1150" s="22"/>
    </row>
    <row r="1151" spans="29:32" x14ac:dyDescent="0.2">
      <c r="AC1151" s="20"/>
      <c r="AE1151" s="22"/>
      <c r="AF1151" s="22"/>
    </row>
    <row r="1152" spans="29:32" x14ac:dyDescent="0.2">
      <c r="AC1152" s="20"/>
      <c r="AE1152" s="22"/>
      <c r="AF1152" s="22"/>
    </row>
    <row r="1153" spans="29:32" x14ac:dyDescent="0.2">
      <c r="AC1153" s="20"/>
      <c r="AE1153" s="22"/>
      <c r="AF1153" s="22"/>
    </row>
    <row r="1154" spans="29:32" x14ac:dyDescent="0.2">
      <c r="AC1154" s="20"/>
      <c r="AE1154" s="22"/>
      <c r="AF1154" s="22"/>
    </row>
    <row r="1155" spans="29:32" x14ac:dyDescent="0.2">
      <c r="AC1155" s="20"/>
      <c r="AE1155" s="22"/>
      <c r="AF1155" s="22"/>
    </row>
    <row r="1156" spans="29:32" x14ac:dyDescent="0.2">
      <c r="AC1156" s="20"/>
      <c r="AE1156" s="22"/>
      <c r="AF1156" s="22"/>
    </row>
    <row r="1157" spans="29:32" x14ac:dyDescent="0.2">
      <c r="AC1157" s="20"/>
      <c r="AE1157" s="22"/>
      <c r="AF1157" s="22"/>
    </row>
    <row r="1158" spans="29:32" x14ac:dyDescent="0.2">
      <c r="AC1158" s="20"/>
      <c r="AE1158" s="22"/>
      <c r="AF1158" s="22"/>
    </row>
    <row r="1159" spans="29:32" x14ac:dyDescent="0.2">
      <c r="AC1159" s="20"/>
      <c r="AE1159" s="22"/>
      <c r="AF1159" s="22"/>
    </row>
    <row r="1160" spans="29:32" x14ac:dyDescent="0.2">
      <c r="AC1160" s="20"/>
      <c r="AE1160" s="22"/>
      <c r="AF1160" s="22"/>
    </row>
    <row r="1161" spans="29:32" x14ac:dyDescent="0.2">
      <c r="AC1161" s="20"/>
      <c r="AE1161" s="22"/>
      <c r="AF1161" s="22"/>
    </row>
    <row r="1162" spans="29:32" x14ac:dyDescent="0.2">
      <c r="AC1162" s="20"/>
      <c r="AE1162" s="22"/>
      <c r="AF1162" s="22"/>
    </row>
    <row r="1163" spans="29:32" x14ac:dyDescent="0.2">
      <c r="AC1163" s="20"/>
      <c r="AE1163" s="22"/>
      <c r="AF1163" s="22"/>
    </row>
    <row r="1164" spans="29:32" x14ac:dyDescent="0.2">
      <c r="AC1164" s="20"/>
      <c r="AE1164" s="22"/>
      <c r="AF1164" s="22"/>
    </row>
    <row r="1165" spans="29:32" x14ac:dyDescent="0.2">
      <c r="AC1165" s="20"/>
      <c r="AE1165" s="22"/>
      <c r="AF1165" s="22"/>
    </row>
    <row r="1166" spans="29:32" x14ac:dyDescent="0.2">
      <c r="AC1166" s="20"/>
      <c r="AE1166" s="22"/>
      <c r="AF1166" s="22"/>
    </row>
    <row r="1167" spans="29:32" x14ac:dyDescent="0.2">
      <c r="AC1167" s="20"/>
      <c r="AE1167" s="22"/>
      <c r="AF1167" s="22"/>
    </row>
    <row r="1168" spans="29:32" x14ac:dyDescent="0.2">
      <c r="AC1168" s="20"/>
      <c r="AE1168" s="22"/>
      <c r="AF1168" s="22"/>
    </row>
    <row r="1169" spans="29:32" x14ac:dyDescent="0.2">
      <c r="AC1169" s="20"/>
      <c r="AE1169" s="22"/>
      <c r="AF1169" s="22"/>
    </row>
    <row r="1170" spans="29:32" x14ac:dyDescent="0.2">
      <c r="AC1170" s="20"/>
      <c r="AE1170" s="22"/>
      <c r="AF1170" s="22"/>
    </row>
    <row r="1171" spans="29:32" x14ac:dyDescent="0.2">
      <c r="AC1171" s="20"/>
      <c r="AE1171" s="22"/>
      <c r="AF1171" s="22"/>
    </row>
    <row r="1172" spans="29:32" x14ac:dyDescent="0.2">
      <c r="AC1172" s="20"/>
      <c r="AE1172" s="22"/>
      <c r="AF1172" s="22"/>
    </row>
    <row r="1173" spans="29:32" x14ac:dyDescent="0.2">
      <c r="AC1173" s="20"/>
      <c r="AE1173" s="22"/>
      <c r="AF1173" s="22"/>
    </row>
    <row r="1174" spans="29:32" x14ac:dyDescent="0.2">
      <c r="AC1174" s="20"/>
      <c r="AE1174" s="22"/>
      <c r="AF1174" s="22"/>
    </row>
    <row r="1175" spans="29:32" x14ac:dyDescent="0.2">
      <c r="AC1175" s="20"/>
      <c r="AE1175" s="22"/>
      <c r="AF1175" s="22"/>
    </row>
    <row r="1176" spans="29:32" x14ac:dyDescent="0.2">
      <c r="AC1176" s="20"/>
      <c r="AE1176" s="22"/>
      <c r="AF1176" s="22"/>
    </row>
    <row r="1177" spans="29:32" x14ac:dyDescent="0.2">
      <c r="AC1177" s="20"/>
      <c r="AE1177" s="22"/>
      <c r="AF1177" s="22"/>
    </row>
    <row r="1178" spans="29:32" x14ac:dyDescent="0.2">
      <c r="AC1178" s="20"/>
      <c r="AE1178" s="22"/>
      <c r="AF1178" s="22"/>
    </row>
    <row r="1179" spans="29:32" x14ac:dyDescent="0.2">
      <c r="AC1179" s="20"/>
      <c r="AE1179" s="22"/>
      <c r="AF1179" s="22"/>
    </row>
    <row r="1180" spans="29:32" x14ac:dyDescent="0.2">
      <c r="AC1180" s="20"/>
      <c r="AE1180" s="22"/>
      <c r="AF1180" s="22"/>
    </row>
    <row r="1181" spans="29:32" x14ac:dyDescent="0.2">
      <c r="AC1181" s="20"/>
      <c r="AE1181" s="22"/>
      <c r="AF1181" s="22"/>
    </row>
    <row r="1182" spans="29:32" x14ac:dyDescent="0.2">
      <c r="AC1182" s="20"/>
      <c r="AE1182" s="22"/>
      <c r="AF1182" s="22"/>
    </row>
    <row r="1183" spans="29:32" x14ac:dyDescent="0.2">
      <c r="AC1183" s="20"/>
      <c r="AE1183" s="22"/>
      <c r="AF1183" s="22"/>
    </row>
    <row r="1184" spans="29:32" x14ac:dyDescent="0.2">
      <c r="AC1184" s="20"/>
      <c r="AE1184" s="22"/>
      <c r="AF1184" s="22"/>
    </row>
    <row r="1185" spans="29:32" x14ac:dyDescent="0.2">
      <c r="AC1185" s="20"/>
      <c r="AE1185" s="22"/>
      <c r="AF1185" s="22"/>
    </row>
    <row r="1186" spans="29:32" x14ac:dyDescent="0.2">
      <c r="AC1186" s="20"/>
      <c r="AE1186" s="22"/>
      <c r="AF1186" s="22"/>
    </row>
    <row r="1187" spans="29:32" x14ac:dyDescent="0.2">
      <c r="AC1187" s="20"/>
      <c r="AE1187" s="22"/>
      <c r="AF1187" s="22"/>
    </row>
    <row r="1188" spans="29:32" x14ac:dyDescent="0.2">
      <c r="AC1188" s="20"/>
      <c r="AE1188" s="22"/>
      <c r="AF1188" s="22"/>
    </row>
    <row r="1189" spans="29:32" x14ac:dyDescent="0.2">
      <c r="AC1189" s="20"/>
      <c r="AE1189" s="22"/>
      <c r="AF1189" s="22"/>
    </row>
    <row r="1190" spans="29:32" x14ac:dyDescent="0.2">
      <c r="AC1190" s="20"/>
      <c r="AE1190" s="22"/>
      <c r="AF1190" s="22"/>
    </row>
    <row r="1191" spans="29:32" x14ac:dyDescent="0.2">
      <c r="AC1191" s="20"/>
      <c r="AE1191" s="22"/>
      <c r="AF1191" s="22"/>
    </row>
    <row r="1192" spans="29:32" x14ac:dyDescent="0.2">
      <c r="AC1192" s="20"/>
      <c r="AE1192" s="22"/>
      <c r="AF1192" s="22"/>
    </row>
    <row r="1193" spans="29:32" x14ac:dyDescent="0.2">
      <c r="AC1193" s="20"/>
      <c r="AE1193" s="22"/>
      <c r="AF1193" s="22"/>
    </row>
    <row r="1194" spans="29:32" x14ac:dyDescent="0.2">
      <c r="AC1194" s="20"/>
      <c r="AE1194" s="22"/>
      <c r="AF1194" s="22"/>
    </row>
    <row r="1195" spans="29:32" x14ac:dyDescent="0.2">
      <c r="AC1195" s="20"/>
      <c r="AE1195" s="22"/>
      <c r="AF1195" s="22"/>
    </row>
    <row r="1196" spans="29:32" x14ac:dyDescent="0.2">
      <c r="AC1196" s="20"/>
      <c r="AE1196" s="22"/>
      <c r="AF1196" s="22"/>
    </row>
    <row r="1197" spans="29:32" x14ac:dyDescent="0.2">
      <c r="AC1197" s="20"/>
      <c r="AE1197" s="22"/>
      <c r="AF1197" s="22"/>
    </row>
    <row r="1198" spans="29:32" x14ac:dyDescent="0.2">
      <c r="AC1198" s="20"/>
      <c r="AE1198" s="22"/>
      <c r="AF1198" s="22"/>
    </row>
    <row r="1199" spans="29:32" x14ac:dyDescent="0.2">
      <c r="AC1199" s="20"/>
      <c r="AE1199" s="22"/>
      <c r="AF1199" s="22"/>
    </row>
    <row r="1200" spans="29:32" x14ac:dyDescent="0.2">
      <c r="AC1200" s="20"/>
      <c r="AE1200" s="22"/>
      <c r="AF1200" s="22"/>
    </row>
    <row r="1201" spans="29:32" x14ac:dyDescent="0.2">
      <c r="AC1201" s="20"/>
      <c r="AE1201" s="22"/>
      <c r="AF1201" s="22"/>
    </row>
    <row r="1202" spans="29:32" x14ac:dyDescent="0.2">
      <c r="AC1202" s="20"/>
      <c r="AE1202" s="22"/>
      <c r="AF1202" s="22"/>
    </row>
    <row r="1203" spans="29:32" x14ac:dyDescent="0.2">
      <c r="AC1203" s="20"/>
      <c r="AE1203" s="22"/>
      <c r="AF1203" s="22"/>
    </row>
    <row r="1204" spans="29:32" x14ac:dyDescent="0.2">
      <c r="AC1204" s="20"/>
      <c r="AE1204" s="22"/>
      <c r="AF1204" s="22"/>
    </row>
    <row r="1205" spans="29:32" x14ac:dyDescent="0.2">
      <c r="AC1205" s="20"/>
      <c r="AE1205" s="22"/>
      <c r="AF1205" s="22"/>
    </row>
    <row r="1206" spans="29:32" x14ac:dyDescent="0.2">
      <c r="AC1206" s="20"/>
      <c r="AE1206" s="22"/>
      <c r="AF1206" s="22"/>
    </row>
    <row r="1207" spans="29:32" x14ac:dyDescent="0.2">
      <c r="AC1207" s="20"/>
      <c r="AE1207" s="22"/>
      <c r="AF1207" s="22"/>
    </row>
    <row r="1208" spans="29:32" x14ac:dyDescent="0.2">
      <c r="AC1208" s="20"/>
      <c r="AE1208" s="22"/>
      <c r="AF1208" s="22"/>
    </row>
    <row r="1209" spans="29:32" x14ac:dyDescent="0.2">
      <c r="AC1209" s="20"/>
      <c r="AE1209" s="22"/>
      <c r="AF1209" s="22"/>
    </row>
    <row r="1210" spans="29:32" x14ac:dyDescent="0.2">
      <c r="AC1210" s="20"/>
      <c r="AE1210" s="22"/>
      <c r="AF1210" s="22"/>
    </row>
    <row r="1211" spans="29:32" x14ac:dyDescent="0.2">
      <c r="AC1211" s="20"/>
      <c r="AE1211" s="22"/>
      <c r="AF1211" s="22"/>
    </row>
    <row r="1212" spans="29:32" x14ac:dyDescent="0.2">
      <c r="AC1212" s="20"/>
      <c r="AE1212" s="22"/>
      <c r="AF1212" s="22"/>
    </row>
    <row r="1213" spans="29:32" x14ac:dyDescent="0.2">
      <c r="AC1213" s="20"/>
      <c r="AE1213" s="22"/>
      <c r="AF1213" s="22"/>
    </row>
    <row r="1214" spans="29:32" x14ac:dyDescent="0.2">
      <c r="AC1214" s="20"/>
      <c r="AE1214" s="22"/>
      <c r="AF1214" s="22"/>
    </row>
    <row r="1215" spans="29:32" x14ac:dyDescent="0.2">
      <c r="AC1215" s="20"/>
      <c r="AE1215" s="22"/>
      <c r="AF1215" s="22"/>
    </row>
    <row r="1216" spans="29:32" x14ac:dyDescent="0.2">
      <c r="AC1216" s="20"/>
      <c r="AE1216" s="22"/>
      <c r="AF1216" s="22"/>
    </row>
    <row r="1217" spans="29:32" x14ac:dyDescent="0.2">
      <c r="AC1217" s="20"/>
      <c r="AE1217" s="22"/>
      <c r="AF1217" s="22"/>
    </row>
    <row r="1218" spans="29:32" x14ac:dyDescent="0.2">
      <c r="AC1218" s="20"/>
      <c r="AE1218" s="22"/>
      <c r="AF1218" s="22"/>
    </row>
    <row r="1219" spans="29:32" x14ac:dyDescent="0.2">
      <c r="AC1219" s="20"/>
      <c r="AE1219" s="22"/>
      <c r="AF1219" s="22"/>
    </row>
    <row r="1220" spans="29:32" x14ac:dyDescent="0.2">
      <c r="AC1220" s="20"/>
      <c r="AE1220" s="22"/>
      <c r="AF1220" s="22"/>
    </row>
    <row r="1221" spans="29:32" x14ac:dyDescent="0.2">
      <c r="AC1221" s="20"/>
      <c r="AE1221" s="22"/>
      <c r="AF1221" s="22"/>
    </row>
    <row r="1222" spans="29:32" x14ac:dyDescent="0.2">
      <c r="AC1222" s="20"/>
      <c r="AE1222" s="22"/>
      <c r="AF1222" s="22"/>
    </row>
    <row r="1223" spans="29:32" x14ac:dyDescent="0.2">
      <c r="AC1223" s="20"/>
      <c r="AE1223" s="22"/>
      <c r="AF1223" s="22"/>
    </row>
    <row r="1224" spans="29:32" x14ac:dyDescent="0.2">
      <c r="AC1224" s="20"/>
      <c r="AE1224" s="22"/>
      <c r="AF1224" s="22"/>
    </row>
    <row r="1225" spans="29:32" x14ac:dyDescent="0.2">
      <c r="AC1225" s="20"/>
      <c r="AE1225" s="22"/>
      <c r="AF1225" s="22"/>
    </row>
    <row r="1226" spans="29:32" x14ac:dyDescent="0.2">
      <c r="AC1226" s="20"/>
      <c r="AE1226" s="22"/>
      <c r="AF1226" s="22"/>
    </row>
    <row r="1227" spans="29:32" x14ac:dyDescent="0.2">
      <c r="AC1227" s="20"/>
      <c r="AE1227" s="22"/>
      <c r="AF1227" s="22"/>
    </row>
    <row r="1228" spans="29:32" x14ac:dyDescent="0.2">
      <c r="AC1228" s="20"/>
      <c r="AE1228" s="22"/>
      <c r="AF1228" s="22"/>
    </row>
    <row r="1229" spans="29:32" x14ac:dyDescent="0.2">
      <c r="AC1229" s="20"/>
      <c r="AE1229" s="22"/>
      <c r="AF1229" s="22"/>
    </row>
    <row r="1230" spans="29:32" x14ac:dyDescent="0.2">
      <c r="AC1230" s="20"/>
      <c r="AE1230" s="22"/>
      <c r="AF1230" s="22"/>
    </row>
    <row r="1231" spans="29:32" x14ac:dyDescent="0.2">
      <c r="AC1231" s="20"/>
      <c r="AE1231" s="22"/>
      <c r="AF1231" s="22"/>
    </row>
    <row r="1232" spans="29:32" x14ac:dyDescent="0.2">
      <c r="AC1232" s="20"/>
      <c r="AE1232" s="22"/>
      <c r="AF1232" s="22"/>
    </row>
    <row r="1233" spans="29:32" x14ac:dyDescent="0.2">
      <c r="AC1233" s="20"/>
      <c r="AE1233" s="22"/>
      <c r="AF1233" s="22"/>
    </row>
    <row r="1234" spans="29:32" x14ac:dyDescent="0.2">
      <c r="AC1234" s="20"/>
      <c r="AE1234" s="22"/>
      <c r="AF1234" s="22"/>
    </row>
    <row r="1235" spans="29:32" x14ac:dyDescent="0.2">
      <c r="AC1235" s="20"/>
      <c r="AE1235" s="22"/>
      <c r="AF1235" s="22"/>
    </row>
    <row r="1236" spans="29:32" x14ac:dyDescent="0.2">
      <c r="AC1236" s="20"/>
      <c r="AE1236" s="22"/>
      <c r="AF1236" s="22"/>
    </row>
    <row r="1237" spans="29:32" x14ac:dyDescent="0.2">
      <c r="AC1237" s="20"/>
      <c r="AE1237" s="22"/>
      <c r="AF1237" s="22"/>
    </row>
    <row r="1238" spans="29:32" x14ac:dyDescent="0.2">
      <c r="AC1238" s="20"/>
      <c r="AE1238" s="22"/>
      <c r="AF1238" s="22"/>
    </row>
    <row r="1239" spans="29:32" x14ac:dyDescent="0.2">
      <c r="AC1239" s="20"/>
      <c r="AE1239" s="22"/>
      <c r="AF1239" s="22"/>
    </row>
    <row r="1240" spans="29:32" x14ac:dyDescent="0.2">
      <c r="AC1240" s="20"/>
      <c r="AE1240" s="22"/>
      <c r="AF1240" s="22"/>
    </row>
    <row r="1241" spans="29:32" x14ac:dyDescent="0.2">
      <c r="AC1241" s="20"/>
      <c r="AE1241" s="22"/>
      <c r="AF1241" s="22"/>
    </row>
    <row r="1242" spans="29:32" x14ac:dyDescent="0.2">
      <c r="AC1242" s="20"/>
      <c r="AE1242" s="22"/>
      <c r="AF1242" s="22"/>
    </row>
    <row r="1243" spans="29:32" x14ac:dyDescent="0.2">
      <c r="AC1243" s="20"/>
      <c r="AE1243" s="22"/>
      <c r="AF1243" s="22"/>
    </row>
    <row r="1244" spans="29:32" x14ac:dyDescent="0.2">
      <c r="AC1244" s="20"/>
      <c r="AE1244" s="22"/>
      <c r="AF1244" s="22"/>
    </row>
    <row r="1245" spans="29:32" x14ac:dyDescent="0.2">
      <c r="AC1245" s="20"/>
      <c r="AE1245" s="22"/>
      <c r="AF1245" s="22"/>
    </row>
    <row r="1246" spans="29:32" x14ac:dyDescent="0.2">
      <c r="AC1246" s="20"/>
      <c r="AE1246" s="22"/>
      <c r="AF1246" s="22"/>
    </row>
    <row r="1247" spans="29:32" x14ac:dyDescent="0.2">
      <c r="AC1247" s="20"/>
      <c r="AE1247" s="22"/>
      <c r="AF1247" s="22"/>
    </row>
    <row r="1248" spans="29:32" x14ac:dyDescent="0.2">
      <c r="AC1248" s="20"/>
      <c r="AE1248" s="22"/>
      <c r="AF1248" s="22"/>
    </row>
    <row r="1249" spans="29:32" x14ac:dyDescent="0.2">
      <c r="AC1249" s="20"/>
      <c r="AE1249" s="22"/>
      <c r="AF1249" s="22"/>
    </row>
    <row r="1250" spans="29:32" x14ac:dyDescent="0.2">
      <c r="AC1250" s="20"/>
      <c r="AE1250" s="22"/>
      <c r="AF1250" s="22"/>
    </row>
    <row r="1251" spans="29:32" x14ac:dyDescent="0.2">
      <c r="AC1251" s="20"/>
      <c r="AE1251" s="22"/>
      <c r="AF1251" s="22"/>
    </row>
    <row r="1252" spans="29:32" x14ac:dyDescent="0.2">
      <c r="AC1252" s="20"/>
      <c r="AE1252" s="22"/>
      <c r="AF1252" s="22"/>
    </row>
    <row r="1253" spans="29:32" x14ac:dyDescent="0.2">
      <c r="AC1253" s="20"/>
      <c r="AE1253" s="22"/>
      <c r="AF1253" s="22"/>
    </row>
    <row r="1254" spans="29:32" x14ac:dyDescent="0.2">
      <c r="AC1254" s="20"/>
      <c r="AE1254" s="22"/>
      <c r="AF1254" s="22"/>
    </row>
    <row r="1255" spans="29:32" x14ac:dyDescent="0.2">
      <c r="AC1255" s="20"/>
      <c r="AE1255" s="22"/>
      <c r="AF1255" s="22"/>
    </row>
    <row r="1256" spans="29:32" x14ac:dyDescent="0.2">
      <c r="AC1256" s="20"/>
      <c r="AE1256" s="22"/>
      <c r="AF1256" s="22"/>
    </row>
    <row r="1257" spans="29:32" x14ac:dyDescent="0.2">
      <c r="AC1257" s="20"/>
      <c r="AE1257" s="22"/>
      <c r="AF1257" s="22"/>
    </row>
    <row r="1258" spans="29:32" x14ac:dyDescent="0.2">
      <c r="AC1258" s="20"/>
      <c r="AE1258" s="22"/>
      <c r="AF1258" s="22"/>
    </row>
    <row r="1259" spans="29:32" x14ac:dyDescent="0.2">
      <c r="AC1259" s="20"/>
      <c r="AE1259" s="22"/>
      <c r="AF1259" s="22"/>
    </row>
    <row r="1260" spans="29:32" x14ac:dyDescent="0.2">
      <c r="AC1260" s="20"/>
      <c r="AE1260" s="22"/>
      <c r="AF1260" s="22"/>
    </row>
    <row r="1261" spans="29:32" x14ac:dyDescent="0.2">
      <c r="AC1261" s="20"/>
      <c r="AE1261" s="22"/>
      <c r="AF1261" s="22"/>
    </row>
    <row r="1262" spans="29:32" x14ac:dyDescent="0.2">
      <c r="AC1262" s="20"/>
      <c r="AE1262" s="22"/>
      <c r="AF1262" s="22"/>
    </row>
    <row r="1263" spans="29:32" x14ac:dyDescent="0.2">
      <c r="AC1263" s="20"/>
      <c r="AE1263" s="22"/>
      <c r="AF1263" s="22"/>
    </row>
    <row r="1264" spans="29:32" x14ac:dyDescent="0.2">
      <c r="AC1264" s="20"/>
      <c r="AE1264" s="22"/>
      <c r="AF1264" s="22"/>
    </row>
    <row r="1265" spans="29:32" x14ac:dyDescent="0.2">
      <c r="AC1265" s="20"/>
      <c r="AE1265" s="22"/>
      <c r="AF1265" s="22"/>
    </row>
    <row r="1266" spans="29:32" x14ac:dyDescent="0.2">
      <c r="AC1266" s="20"/>
      <c r="AE1266" s="22"/>
      <c r="AF1266" s="22"/>
    </row>
    <row r="1267" spans="29:32" x14ac:dyDescent="0.2">
      <c r="AC1267" s="20"/>
      <c r="AE1267" s="22"/>
      <c r="AF1267" s="22"/>
    </row>
    <row r="1268" spans="29:32" x14ac:dyDescent="0.2">
      <c r="AC1268" s="20"/>
      <c r="AE1268" s="22"/>
      <c r="AF1268" s="22"/>
    </row>
    <row r="1269" spans="29:32" x14ac:dyDescent="0.2">
      <c r="AC1269" s="20"/>
      <c r="AE1269" s="22"/>
      <c r="AF1269" s="22"/>
    </row>
    <row r="1270" spans="29:32" x14ac:dyDescent="0.2">
      <c r="AC1270" s="20"/>
      <c r="AE1270" s="22"/>
      <c r="AF1270" s="22"/>
    </row>
    <row r="1271" spans="29:32" x14ac:dyDescent="0.2">
      <c r="AC1271" s="20"/>
      <c r="AE1271" s="22"/>
      <c r="AF1271" s="22"/>
    </row>
    <row r="1272" spans="29:32" x14ac:dyDescent="0.2">
      <c r="AC1272" s="20"/>
      <c r="AE1272" s="22"/>
      <c r="AF1272" s="22"/>
    </row>
    <row r="1273" spans="29:32" x14ac:dyDescent="0.2">
      <c r="AC1273" s="20"/>
      <c r="AE1273" s="22"/>
      <c r="AF1273" s="22"/>
    </row>
    <row r="1274" spans="29:32" x14ac:dyDescent="0.2">
      <c r="AC1274" s="20"/>
      <c r="AE1274" s="22"/>
      <c r="AF1274" s="22"/>
    </row>
    <row r="1275" spans="29:32" x14ac:dyDescent="0.2">
      <c r="AC1275" s="20"/>
      <c r="AE1275" s="22"/>
      <c r="AF1275" s="22"/>
    </row>
    <row r="1276" spans="29:32" x14ac:dyDescent="0.2">
      <c r="AC1276" s="20"/>
      <c r="AE1276" s="22"/>
      <c r="AF1276" s="22"/>
    </row>
    <row r="1277" spans="29:32" x14ac:dyDescent="0.2">
      <c r="AC1277" s="20"/>
      <c r="AE1277" s="22"/>
      <c r="AF1277" s="22"/>
    </row>
    <row r="1278" spans="29:32" x14ac:dyDescent="0.2">
      <c r="AC1278" s="20"/>
      <c r="AE1278" s="22"/>
      <c r="AF1278" s="22"/>
    </row>
    <row r="1279" spans="29:32" x14ac:dyDescent="0.2">
      <c r="AC1279" s="20"/>
      <c r="AE1279" s="22"/>
      <c r="AF1279" s="22"/>
    </row>
    <row r="1280" spans="29:32" x14ac:dyDescent="0.2">
      <c r="AC1280" s="20"/>
      <c r="AE1280" s="22"/>
      <c r="AF1280" s="22"/>
    </row>
    <row r="1281" spans="29:32" x14ac:dyDescent="0.2">
      <c r="AC1281" s="20"/>
      <c r="AE1281" s="22"/>
      <c r="AF1281" s="22"/>
    </row>
    <row r="1282" spans="29:32" x14ac:dyDescent="0.2">
      <c r="AC1282" s="20"/>
      <c r="AE1282" s="22"/>
      <c r="AF1282" s="22"/>
    </row>
    <row r="1283" spans="29:32" x14ac:dyDescent="0.2">
      <c r="AC1283" s="20"/>
      <c r="AE1283" s="22"/>
      <c r="AF1283" s="22"/>
    </row>
    <row r="1284" spans="29:32" x14ac:dyDescent="0.2">
      <c r="AC1284" s="20"/>
      <c r="AE1284" s="22"/>
      <c r="AF1284" s="22"/>
    </row>
    <row r="1285" spans="29:32" x14ac:dyDescent="0.2">
      <c r="AC1285" s="20"/>
      <c r="AE1285" s="22"/>
      <c r="AF1285" s="22"/>
    </row>
    <row r="1286" spans="29:32" x14ac:dyDescent="0.2">
      <c r="AC1286" s="20"/>
      <c r="AE1286" s="22"/>
      <c r="AF1286" s="22"/>
    </row>
    <row r="1287" spans="29:32" x14ac:dyDescent="0.2">
      <c r="AC1287" s="20"/>
      <c r="AE1287" s="22"/>
      <c r="AF1287" s="22"/>
    </row>
    <row r="1288" spans="29:32" x14ac:dyDescent="0.2">
      <c r="AC1288" s="20"/>
      <c r="AE1288" s="22"/>
      <c r="AF1288" s="22"/>
    </row>
    <row r="1289" spans="29:32" x14ac:dyDescent="0.2">
      <c r="AC1289" s="20"/>
      <c r="AE1289" s="22"/>
      <c r="AF1289" s="22"/>
    </row>
    <row r="1290" spans="29:32" x14ac:dyDescent="0.2">
      <c r="AC1290" s="20"/>
      <c r="AE1290" s="22"/>
      <c r="AF1290" s="22"/>
    </row>
    <row r="1291" spans="29:32" x14ac:dyDescent="0.2">
      <c r="AC1291" s="20"/>
      <c r="AE1291" s="22"/>
      <c r="AF1291" s="22"/>
    </row>
    <row r="1292" spans="29:32" x14ac:dyDescent="0.2">
      <c r="AC1292" s="20"/>
      <c r="AE1292" s="22"/>
      <c r="AF1292" s="22"/>
    </row>
    <row r="1293" spans="29:32" x14ac:dyDescent="0.2">
      <c r="AC1293" s="20"/>
      <c r="AE1293" s="22"/>
      <c r="AF1293" s="22"/>
    </row>
    <row r="1294" spans="29:32" x14ac:dyDescent="0.2">
      <c r="AC1294" s="20"/>
      <c r="AE1294" s="22"/>
      <c r="AF1294" s="22"/>
    </row>
    <row r="1295" spans="29:32" x14ac:dyDescent="0.2">
      <c r="AC1295" s="20"/>
      <c r="AE1295" s="22"/>
      <c r="AF1295" s="22"/>
    </row>
    <row r="1296" spans="29:32" x14ac:dyDescent="0.2">
      <c r="AC1296" s="20"/>
      <c r="AE1296" s="22"/>
      <c r="AF1296" s="22"/>
    </row>
    <row r="1297" spans="29:32" x14ac:dyDescent="0.2">
      <c r="AC1297" s="20"/>
      <c r="AE1297" s="22"/>
      <c r="AF1297" s="22"/>
    </row>
    <row r="1298" spans="29:32" x14ac:dyDescent="0.2">
      <c r="AC1298" s="20"/>
      <c r="AE1298" s="22"/>
      <c r="AF1298" s="22"/>
    </row>
    <row r="1299" spans="29:32" x14ac:dyDescent="0.2">
      <c r="AC1299" s="20"/>
      <c r="AE1299" s="22"/>
      <c r="AF1299" s="22"/>
    </row>
    <row r="1300" spans="29:32" x14ac:dyDescent="0.2">
      <c r="AC1300" s="20"/>
      <c r="AE1300" s="22"/>
      <c r="AF1300" s="22"/>
    </row>
    <row r="1301" spans="29:32" x14ac:dyDescent="0.2">
      <c r="AC1301" s="20"/>
      <c r="AE1301" s="22"/>
      <c r="AF1301" s="22"/>
    </row>
    <row r="1302" spans="29:32" x14ac:dyDescent="0.2">
      <c r="AC1302" s="20"/>
      <c r="AE1302" s="22"/>
      <c r="AF1302" s="22"/>
    </row>
    <row r="1303" spans="29:32" x14ac:dyDescent="0.2">
      <c r="AC1303" s="20"/>
      <c r="AE1303" s="22"/>
      <c r="AF1303" s="22"/>
    </row>
    <row r="1304" spans="29:32" x14ac:dyDescent="0.2">
      <c r="AC1304" s="20"/>
      <c r="AE1304" s="22"/>
      <c r="AF1304" s="22"/>
    </row>
    <row r="1305" spans="29:32" x14ac:dyDescent="0.2">
      <c r="AC1305" s="20"/>
      <c r="AE1305" s="22"/>
      <c r="AF1305" s="22"/>
    </row>
    <row r="1306" spans="29:32" x14ac:dyDescent="0.2">
      <c r="AC1306" s="20"/>
      <c r="AE1306" s="22"/>
      <c r="AF1306" s="22"/>
    </row>
    <row r="1307" spans="29:32" x14ac:dyDescent="0.2">
      <c r="AC1307" s="20"/>
      <c r="AE1307" s="22"/>
      <c r="AF1307" s="22"/>
    </row>
    <row r="1308" spans="29:32" x14ac:dyDescent="0.2">
      <c r="AC1308" s="20"/>
      <c r="AE1308" s="22"/>
      <c r="AF1308" s="22"/>
    </row>
    <row r="1309" spans="29:32" x14ac:dyDescent="0.2">
      <c r="AC1309" s="20"/>
      <c r="AE1309" s="22"/>
      <c r="AF1309" s="22"/>
    </row>
    <row r="1310" spans="29:32" x14ac:dyDescent="0.2">
      <c r="AC1310" s="20"/>
      <c r="AE1310" s="22"/>
      <c r="AF1310" s="22"/>
    </row>
    <row r="1311" spans="29:32" x14ac:dyDescent="0.2">
      <c r="AC1311" s="20"/>
      <c r="AE1311" s="22"/>
      <c r="AF1311" s="22"/>
    </row>
    <row r="1312" spans="29:32" x14ac:dyDescent="0.2">
      <c r="AC1312" s="20"/>
      <c r="AE1312" s="22"/>
      <c r="AF1312" s="22"/>
    </row>
    <row r="1313" spans="29:32" x14ac:dyDescent="0.2">
      <c r="AC1313" s="20"/>
      <c r="AE1313" s="22"/>
      <c r="AF1313" s="22"/>
    </row>
    <row r="1314" spans="29:32" x14ac:dyDescent="0.2">
      <c r="AC1314" s="20"/>
      <c r="AE1314" s="22"/>
      <c r="AF1314" s="22"/>
    </row>
    <row r="1315" spans="29:32" x14ac:dyDescent="0.2">
      <c r="AC1315" s="20"/>
      <c r="AE1315" s="22"/>
      <c r="AF1315" s="22"/>
    </row>
    <row r="1316" spans="29:32" x14ac:dyDescent="0.2">
      <c r="AC1316" s="20"/>
      <c r="AE1316" s="22"/>
      <c r="AF1316" s="22"/>
    </row>
    <row r="1317" spans="29:32" x14ac:dyDescent="0.2">
      <c r="AC1317" s="20"/>
      <c r="AE1317" s="22"/>
      <c r="AF1317" s="22"/>
    </row>
    <row r="1318" spans="29:32" x14ac:dyDescent="0.2">
      <c r="AC1318" s="20"/>
      <c r="AE1318" s="22"/>
      <c r="AF1318" s="22"/>
    </row>
    <row r="1319" spans="29:32" x14ac:dyDescent="0.2">
      <c r="AC1319" s="20"/>
      <c r="AE1319" s="22"/>
      <c r="AF1319" s="22"/>
    </row>
    <row r="1320" spans="29:32" x14ac:dyDescent="0.2">
      <c r="AC1320" s="20"/>
      <c r="AE1320" s="22"/>
      <c r="AF1320" s="22"/>
    </row>
    <row r="1321" spans="29:32" x14ac:dyDescent="0.2">
      <c r="AC1321" s="20"/>
      <c r="AE1321" s="22"/>
      <c r="AF1321" s="22"/>
    </row>
    <row r="1322" spans="29:32" x14ac:dyDescent="0.2">
      <c r="AC1322" s="20"/>
      <c r="AE1322" s="22"/>
      <c r="AF1322" s="22"/>
    </row>
    <row r="1323" spans="29:32" x14ac:dyDescent="0.2">
      <c r="AC1323" s="20"/>
      <c r="AE1323" s="22"/>
      <c r="AF1323" s="22"/>
    </row>
    <row r="1324" spans="29:32" x14ac:dyDescent="0.2">
      <c r="AC1324" s="20"/>
      <c r="AE1324" s="22"/>
      <c r="AF1324" s="22"/>
    </row>
    <row r="1325" spans="29:32" x14ac:dyDescent="0.2">
      <c r="AC1325" s="20"/>
      <c r="AE1325" s="22"/>
      <c r="AF1325" s="22"/>
    </row>
    <row r="1326" spans="29:32" x14ac:dyDescent="0.2">
      <c r="AC1326" s="20"/>
      <c r="AE1326" s="22"/>
      <c r="AF1326" s="22"/>
    </row>
    <row r="1327" spans="29:32" x14ac:dyDescent="0.2">
      <c r="AC1327" s="20"/>
      <c r="AE1327" s="22"/>
      <c r="AF1327" s="22"/>
    </row>
    <row r="1328" spans="29:32" x14ac:dyDescent="0.2">
      <c r="AC1328" s="20"/>
      <c r="AE1328" s="22"/>
      <c r="AF1328" s="22"/>
    </row>
    <row r="1329" spans="29:32" x14ac:dyDescent="0.2">
      <c r="AC1329" s="20"/>
      <c r="AE1329" s="22"/>
      <c r="AF1329" s="22"/>
    </row>
    <row r="1330" spans="29:32" x14ac:dyDescent="0.2">
      <c r="AC1330" s="20"/>
      <c r="AE1330" s="22"/>
      <c r="AF1330" s="22"/>
    </row>
    <row r="1331" spans="29:32" x14ac:dyDescent="0.2">
      <c r="AC1331" s="20"/>
      <c r="AE1331" s="22"/>
      <c r="AF1331" s="22"/>
    </row>
    <row r="1332" spans="29:32" x14ac:dyDescent="0.2">
      <c r="AC1332" s="20"/>
      <c r="AE1332" s="22"/>
      <c r="AF1332" s="22"/>
    </row>
    <row r="1333" spans="29:32" x14ac:dyDescent="0.2">
      <c r="AC1333" s="20"/>
      <c r="AE1333" s="22"/>
      <c r="AF1333" s="22"/>
    </row>
    <row r="1334" spans="29:32" x14ac:dyDescent="0.2">
      <c r="AC1334" s="20"/>
      <c r="AE1334" s="22"/>
      <c r="AF1334" s="22"/>
    </row>
    <row r="1335" spans="29:32" x14ac:dyDescent="0.2">
      <c r="AC1335" s="20"/>
      <c r="AE1335" s="22"/>
      <c r="AF1335" s="22"/>
    </row>
    <row r="1336" spans="29:32" x14ac:dyDescent="0.2">
      <c r="AC1336" s="20"/>
      <c r="AE1336" s="22"/>
      <c r="AF1336" s="22"/>
    </row>
    <row r="1337" spans="29:32" x14ac:dyDescent="0.2">
      <c r="AC1337" s="20"/>
      <c r="AE1337" s="22"/>
      <c r="AF1337" s="22"/>
    </row>
    <row r="1338" spans="29:32" x14ac:dyDescent="0.2">
      <c r="AC1338" s="20"/>
      <c r="AE1338" s="22"/>
      <c r="AF1338" s="22"/>
    </row>
    <row r="1339" spans="29:32" x14ac:dyDescent="0.2">
      <c r="AC1339" s="20"/>
      <c r="AE1339" s="22"/>
      <c r="AF1339" s="22"/>
    </row>
    <row r="1340" spans="29:32" x14ac:dyDescent="0.2">
      <c r="AC1340" s="20"/>
      <c r="AE1340" s="22"/>
      <c r="AF1340" s="22"/>
    </row>
    <row r="1341" spans="29:32" x14ac:dyDescent="0.2">
      <c r="AC1341" s="20"/>
      <c r="AE1341" s="22"/>
      <c r="AF1341" s="22"/>
    </row>
    <row r="1342" spans="29:32" x14ac:dyDescent="0.2">
      <c r="AC1342" s="20"/>
      <c r="AE1342" s="22"/>
      <c r="AF1342" s="22"/>
    </row>
    <row r="1343" spans="29:32" x14ac:dyDescent="0.2">
      <c r="AC1343" s="20"/>
      <c r="AE1343" s="22"/>
      <c r="AF1343" s="22"/>
    </row>
    <row r="1344" spans="29:32" x14ac:dyDescent="0.2">
      <c r="AC1344" s="20"/>
      <c r="AE1344" s="22"/>
      <c r="AF1344" s="22"/>
    </row>
    <row r="1345" spans="29:32" x14ac:dyDescent="0.2">
      <c r="AC1345" s="20"/>
      <c r="AE1345" s="22"/>
      <c r="AF1345" s="22"/>
    </row>
    <row r="1346" spans="29:32" x14ac:dyDescent="0.2">
      <c r="AC1346" s="20"/>
      <c r="AE1346" s="22"/>
      <c r="AF1346" s="22"/>
    </row>
    <row r="1347" spans="29:32" x14ac:dyDescent="0.2">
      <c r="AC1347" s="20"/>
      <c r="AE1347" s="22"/>
      <c r="AF1347" s="22"/>
    </row>
    <row r="1348" spans="29:32" x14ac:dyDescent="0.2">
      <c r="AC1348" s="20"/>
      <c r="AE1348" s="22"/>
      <c r="AF1348" s="22"/>
    </row>
    <row r="1349" spans="29:32" x14ac:dyDescent="0.2">
      <c r="AC1349" s="20"/>
      <c r="AE1349" s="22"/>
      <c r="AF1349" s="22"/>
    </row>
    <row r="1350" spans="29:32" x14ac:dyDescent="0.2">
      <c r="AC1350" s="20"/>
      <c r="AE1350" s="22"/>
      <c r="AF1350" s="22"/>
    </row>
    <row r="1351" spans="29:32" x14ac:dyDescent="0.2">
      <c r="AC1351" s="20"/>
      <c r="AE1351" s="22"/>
      <c r="AF1351" s="22"/>
    </row>
    <row r="1352" spans="29:32" x14ac:dyDescent="0.2">
      <c r="AC1352" s="20"/>
      <c r="AE1352" s="22"/>
      <c r="AF1352" s="22"/>
    </row>
    <row r="1353" spans="29:32" x14ac:dyDescent="0.2">
      <c r="AC1353" s="20"/>
      <c r="AE1353" s="22"/>
      <c r="AF1353" s="22"/>
    </row>
    <row r="1354" spans="29:32" x14ac:dyDescent="0.2">
      <c r="AC1354" s="20"/>
      <c r="AE1354" s="22"/>
      <c r="AF1354" s="22"/>
    </row>
    <row r="1355" spans="29:32" x14ac:dyDescent="0.2">
      <c r="AC1355" s="20"/>
      <c r="AE1355" s="22"/>
      <c r="AF1355" s="22"/>
    </row>
    <row r="1356" spans="29:32" x14ac:dyDescent="0.2">
      <c r="AC1356" s="20"/>
      <c r="AE1356" s="22"/>
      <c r="AF1356" s="22"/>
    </row>
    <row r="1357" spans="29:32" x14ac:dyDescent="0.2">
      <c r="AC1357" s="20"/>
      <c r="AE1357" s="22"/>
      <c r="AF1357" s="22"/>
    </row>
    <row r="1358" spans="29:32" x14ac:dyDescent="0.2">
      <c r="AC1358" s="20"/>
      <c r="AE1358" s="22"/>
      <c r="AF1358" s="22"/>
    </row>
    <row r="1359" spans="29:32" x14ac:dyDescent="0.2">
      <c r="AC1359" s="20"/>
      <c r="AE1359" s="22"/>
      <c r="AF1359" s="22"/>
    </row>
    <row r="1360" spans="29:32" x14ac:dyDescent="0.2">
      <c r="AC1360" s="20"/>
      <c r="AE1360" s="22"/>
      <c r="AF1360" s="22"/>
    </row>
    <row r="1361" spans="29:32" x14ac:dyDescent="0.2">
      <c r="AC1361" s="20"/>
      <c r="AE1361" s="22"/>
      <c r="AF1361" s="22"/>
    </row>
    <row r="1362" spans="29:32" x14ac:dyDescent="0.2">
      <c r="AC1362" s="20"/>
      <c r="AE1362" s="22"/>
      <c r="AF1362" s="22"/>
    </row>
    <row r="1363" spans="29:32" x14ac:dyDescent="0.2">
      <c r="AC1363" s="20"/>
      <c r="AE1363" s="22"/>
      <c r="AF1363" s="22"/>
    </row>
    <row r="1364" spans="29:32" x14ac:dyDescent="0.2">
      <c r="AC1364" s="20"/>
      <c r="AE1364" s="22"/>
      <c r="AF1364" s="22"/>
    </row>
    <row r="1365" spans="29:32" x14ac:dyDescent="0.2">
      <c r="AC1365" s="20"/>
      <c r="AE1365" s="22"/>
      <c r="AF1365" s="22"/>
    </row>
    <row r="1366" spans="29:32" x14ac:dyDescent="0.2">
      <c r="AC1366" s="20"/>
      <c r="AE1366" s="22"/>
      <c r="AF1366" s="22"/>
    </row>
    <row r="1367" spans="29:32" x14ac:dyDescent="0.2">
      <c r="AC1367" s="20"/>
      <c r="AE1367" s="22"/>
      <c r="AF1367" s="22"/>
    </row>
    <row r="1368" spans="29:32" x14ac:dyDescent="0.2">
      <c r="AC1368" s="20"/>
      <c r="AE1368" s="22"/>
      <c r="AF1368" s="22"/>
    </row>
    <row r="1369" spans="29:32" x14ac:dyDescent="0.2">
      <c r="AC1369" s="20"/>
      <c r="AE1369" s="22"/>
      <c r="AF1369" s="22"/>
    </row>
    <row r="1370" spans="29:32" x14ac:dyDescent="0.2">
      <c r="AC1370" s="20"/>
      <c r="AE1370" s="22"/>
      <c r="AF1370" s="22"/>
    </row>
    <row r="1371" spans="29:32" x14ac:dyDescent="0.2">
      <c r="AC1371" s="20"/>
      <c r="AE1371" s="22"/>
      <c r="AF1371" s="22"/>
    </row>
    <row r="1372" spans="29:32" x14ac:dyDescent="0.2">
      <c r="AC1372" s="20"/>
      <c r="AE1372" s="22"/>
      <c r="AF1372" s="22"/>
    </row>
    <row r="1373" spans="29:32" x14ac:dyDescent="0.2">
      <c r="AC1373" s="20"/>
      <c r="AE1373" s="22"/>
      <c r="AF1373" s="22"/>
    </row>
    <row r="1374" spans="29:32" x14ac:dyDescent="0.2">
      <c r="AC1374" s="20"/>
      <c r="AE1374" s="22"/>
      <c r="AF1374" s="22"/>
    </row>
    <row r="1375" spans="29:32" x14ac:dyDescent="0.2">
      <c r="AC1375" s="20"/>
      <c r="AE1375" s="22"/>
      <c r="AF1375" s="22"/>
    </row>
    <row r="1376" spans="29:32" x14ac:dyDescent="0.2">
      <c r="AC1376" s="20"/>
      <c r="AE1376" s="22"/>
      <c r="AF1376" s="22"/>
    </row>
    <row r="1377" spans="29:32" x14ac:dyDescent="0.2">
      <c r="AC1377" s="20"/>
      <c r="AE1377" s="22"/>
      <c r="AF1377" s="22"/>
    </row>
    <row r="1378" spans="29:32" x14ac:dyDescent="0.2">
      <c r="AC1378" s="20"/>
      <c r="AE1378" s="22"/>
      <c r="AF1378" s="22"/>
    </row>
    <row r="1379" spans="29:32" x14ac:dyDescent="0.2">
      <c r="AC1379" s="20"/>
      <c r="AE1379" s="22"/>
      <c r="AF1379" s="22"/>
    </row>
    <row r="1380" spans="29:32" x14ac:dyDescent="0.2">
      <c r="AC1380" s="20"/>
      <c r="AE1380" s="22"/>
      <c r="AF1380" s="22"/>
    </row>
    <row r="1381" spans="29:32" x14ac:dyDescent="0.2">
      <c r="AC1381" s="20"/>
      <c r="AE1381" s="22"/>
      <c r="AF1381" s="22"/>
    </row>
    <row r="1382" spans="29:32" x14ac:dyDescent="0.2">
      <c r="AC1382" s="20"/>
      <c r="AE1382" s="22"/>
      <c r="AF1382" s="22"/>
    </row>
    <row r="1383" spans="29:32" x14ac:dyDescent="0.2">
      <c r="AC1383" s="20"/>
      <c r="AE1383" s="22"/>
      <c r="AF1383" s="22"/>
    </row>
    <row r="1384" spans="29:32" x14ac:dyDescent="0.2">
      <c r="AC1384" s="20"/>
      <c r="AE1384" s="22"/>
      <c r="AF1384" s="22"/>
    </row>
    <row r="1385" spans="29:32" x14ac:dyDescent="0.2">
      <c r="AC1385" s="20"/>
      <c r="AE1385" s="22"/>
      <c r="AF1385" s="22"/>
    </row>
    <row r="1386" spans="29:32" x14ac:dyDescent="0.2">
      <c r="AC1386" s="20"/>
      <c r="AE1386" s="22"/>
      <c r="AF1386" s="22"/>
    </row>
    <row r="1387" spans="29:32" x14ac:dyDescent="0.2">
      <c r="AC1387" s="20"/>
      <c r="AE1387" s="22"/>
      <c r="AF1387" s="22"/>
    </row>
    <row r="1388" spans="29:32" x14ac:dyDescent="0.2">
      <c r="AC1388" s="20"/>
      <c r="AE1388" s="22"/>
      <c r="AF1388" s="22"/>
    </row>
    <row r="1389" spans="29:32" x14ac:dyDescent="0.2">
      <c r="AC1389" s="20"/>
      <c r="AE1389" s="22"/>
      <c r="AF1389" s="22"/>
    </row>
    <row r="1390" spans="29:32" x14ac:dyDescent="0.2">
      <c r="AC1390" s="20"/>
      <c r="AE1390" s="22"/>
      <c r="AF1390" s="22"/>
    </row>
    <row r="1391" spans="29:32" x14ac:dyDescent="0.2">
      <c r="AC1391" s="20"/>
      <c r="AE1391" s="22"/>
      <c r="AF1391" s="22"/>
    </row>
    <row r="1392" spans="29:32" x14ac:dyDescent="0.2">
      <c r="AC1392" s="20"/>
      <c r="AE1392" s="22"/>
      <c r="AF1392" s="22"/>
    </row>
    <row r="1393" spans="29:32" x14ac:dyDescent="0.2">
      <c r="AC1393" s="20"/>
      <c r="AE1393" s="22"/>
      <c r="AF1393" s="22"/>
    </row>
    <row r="1394" spans="29:32" x14ac:dyDescent="0.2">
      <c r="AC1394" s="20"/>
      <c r="AE1394" s="22"/>
      <c r="AF1394" s="22"/>
    </row>
    <row r="1395" spans="29:32" x14ac:dyDescent="0.2">
      <c r="AC1395" s="20"/>
      <c r="AE1395" s="22"/>
      <c r="AF1395" s="22"/>
    </row>
    <row r="1396" spans="29:32" x14ac:dyDescent="0.2">
      <c r="AC1396" s="20"/>
      <c r="AE1396" s="22"/>
      <c r="AF1396" s="22"/>
    </row>
    <row r="1397" spans="29:32" x14ac:dyDescent="0.2">
      <c r="AC1397" s="20"/>
      <c r="AE1397" s="22"/>
      <c r="AF1397" s="22"/>
    </row>
    <row r="1398" spans="29:32" x14ac:dyDescent="0.2">
      <c r="AC1398" s="20"/>
      <c r="AE1398" s="22"/>
      <c r="AF1398" s="22"/>
    </row>
    <row r="1399" spans="29:32" x14ac:dyDescent="0.2">
      <c r="AC1399" s="20"/>
      <c r="AE1399" s="22"/>
      <c r="AF1399" s="22"/>
    </row>
    <row r="1400" spans="29:32" x14ac:dyDescent="0.2">
      <c r="AC1400" s="20"/>
      <c r="AE1400" s="22"/>
      <c r="AF1400" s="22"/>
    </row>
    <row r="1401" spans="29:32" x14ac:dyDescent="0.2">
      <c r="AC1401" s="20"/>
      <c r="AE1401" s="22"/>
      <c r="AF1401" s="22"/>
    </row>
    <row r="1402" spans="29:32" x14ac:dyDescent="0.2">
      <c r="AC1402" s="20"/>
      <c r="AE1402" s="22"/>
      <c r="AF1402" s="22"/>
    </row>
    <row r="1403" spans="29:32" x14ac:dyDescent="0.2">
      <c r="AC1403" s="20"/>
      <c r="AE1403" s="22"/>
      <c r="AF1403" s="22"/>
    </row>
    <row r="1404" spans="29:32" x14ac:dyDescent="0.2">
      <c r="AC1404" s="20"/>
      <c r="AE1404" s="22"/>
      <c r="AF1404" s="22"/>
    </row>
    <row r="1405" spans="29:32" x14ac:dyDescent="0.2">
      <c r="AC1405" s="20"/>
      <c r="AE1405" s="22"/>
      <c r="AF1405" s="22"/>
    </row>
    <row r="1406" spans="29:32" x14ac:dyDescent="0.2">
      <c r="AC1406" s="20"/>
      <c r="AE1406" s="22"/>
      <c r="AF1406" s="22"/>
    </row>
    <row r="1407" spans="29:32" x14ac:dyDescent="0.2">
      <c r="AC1407" s="20"/>
      <c r="AE1407" s="22"/>
      <c r="AF1407" s="22"/>
    </row>
    <row r="1408" spans="29:32" x14ac:dyDescent="0.2">
      <c r="AC1408" s="20"/>
      <c r="AE1408" s="22"/>
      <c r="AF1408" s="22"/>
    </row>
    <row r="1409" spans="29:32" x14ac:dyDescent="0.2">
      <c r="AC1409" s="20"/>
      <c r="AE1409" s="22"/>
      <c r="AF1409" s="22"/>
    </row>
    <row r="1410" spans="29:32" x14ac:dyDescent="0.2">
      <c r="AC1410" s="20"/>
      <c r="AE1410" s="22"/>
      <c r="AF1410" s="22"/>
    </row>
    <row r="1411" spans="29:32" x14ac:dyDescent="0.2">
      <c r="AC1411" s="20"/>
      <c r="AE1411" s="22"/>
      <c r="AF1411" s="22"/>
    </row>
    <row r="1412" spans="29:32" x14ac:dyDescent="0.2">
      <c r="AC1412" s="20"/>
      <c r="AE1412" s="22"/>
      <c r="AF1412" s="22"/>
    </row>
    <row r="1413" spans="29:32" x14ac:dyDescent="0.2">
      <c r="AC1413" s="20"/>
      <c r="AE1413" s="22"/>
      <c r="AF1413" s="22"/>
    </row>
    <row r="1414" spans="29:32" x14ac:dyDescent="0.2">
      <c r="AC1414" s="20"/>
      <c r="AE1414" s="22"/>
      <c r="AF1414" s="22"/>
    </row>
    <row r="1415" spans="29:32" x14ac:dyDescent="0.2">
      <c r="AC1415" s="20"/>
      <c r="AE1415" s="22"/>
      <c r="AF1415" s="22"/>
    </row>
    <row r="1416" spans="29:32" x14ac:dyDescent="0.2">
      <c r="AC1416" s="20"/>
      <c r="AE1416" s="22"/>
      <c r="AF1416" s="22"/>
    </row>
    <row r="1417" spans="29:32" x14ac:dyDescent="0.2">
      <c r="AC1417" s="20"/>
      <c r="AE1417" s="22"/>
      <c r="AF1417" s="22"/>
    </row>
    <row r="1418" spans="29:32" x14ac:dyDescent="0.2">
      <c r="AC1418" s="20"/>
      <c r="AE1418" s="22"/>
      <c r="AF1418" s="22"/>
    </row>
    <row r="1419" spans="29:32" x14ac:dyDescent="0.2">
      <c r="AC1419" s="20"/>
      <c r="AE1419" s="22"/>
      <c r="AF1419" s="22"/>
    </row>
    <row r="1420" spans="29:32" x14ac:dyDescent="0.2">
      <c r="AC1420" s="20"/>
      <c r="AE1420" s="22"/>
      <c r="AF1420" s="22"/>
    </row>
    <row r="1421" spans="29:32" x14ac:dyDescent="0.2">
      <c r="AC1421" s="20"/>
      <c r="AE1421" s="22"/>
      <c r="AF1421" s="22"/>
    </row>
    <row r="1422" spans="29:32" x14ac:dyDescent="0.2">
      <c r="AC1422" s="20"/>
      <c r="AE1422" s="22"/>
      <c r="AF1422" s="22"/>
    </row>
    <row r="1423" spans="29:32" x14ac:dyDescent="0.2">
      <c r="AC1423" s="20"/>
      <c r="AE1423" s="22"/>
      <c r="AF1423" s="22"/>
    </row>
    <row r="1424" spans="29:32" x14ac:dyDescent="0.2">
      <c r="AC1424" s="20"/>
      <c r="AE1424" s="22"/>
      <c r="AF1424" s="22"/>
    </row>
    <row r="1425" spans="29:32" x14ac:dyDescent="0.2">
      <c r="AC1425" s="20"/>
      <c r="AE1425" s="22"/>
      <c r="AF1425" s="22"/>
    </row>
    <row r="1426" spans="29:32" x14ac:dyDescent="0.2">
      <c r="AC1426" s="20"/>
      <c r="AE1426" s="22"/>
      <c r="AF1426" s="22"/>
    </row>
    <row r="1427" spans="29:32" x14ac:dyDescent="0.2">
      <c r="AC1427" s="20"/>
      <c r="AE1427" s="22"/>
      <c r="AF1427" s="22"/>
    </row>
    <row r="1428" spans="29:32" x14ac:dyDescent="0.2">
      <c r="AC1428" s="20"/>
      <c r="AE1428" s="22"/>
      <c r="AF1428" s="22"/>
    </row>
    <row r="1429" spans="29:32" x14ac:dyDescent="0.2">
      <c r="AC1429" s="20"/>
      <c r="AE1429" s="22"/>
      <c r="AF1429" s="22"/>
    </row>
    <row r="1430" spans="29:32" x14ac:dyDescent="0.2">
      <c r="AC1430" s="20"/>
      <c r="AE1430" s="22"/>
      <c r="AF1430" s="22"/>
    </row>
    <row r="1431" spans="29:32" x14ac:dyDescent="0.2">
      <c r="AC1431" s="20"/>
      <c r="AE1431" s="22"/>
      <c r="AF1431" s="22"/>
    </row>
    <row r="1432" spans="29:32" x14ac:dyDescent="0.2">
      <c r="AC1432" s="20"/>
      <c r="AE1432" s="22"/>
      <c r="AF1432" s="22"/>
    </row>
    <row r="1433" spans="29:32" x14ac:dyDescent="0.2">
      <c r="AC1433" s="20"/>
      <c r="AE1433" s="22"/>
      <c r="AF1433" s="22"/>
    </row>
    <row r="1434" spans="29:32" x14ac:dyDescent="0.2">
      <c r="AC1434" s="20"/>
      <c r="AE1434" s="22"/>
      <c r="AF1434" s="22"/>
    </row>
    <row r="1435" spans="29:32" x14ac:dyDescent="0.2">
      <c r="AC1435" s="20"/>
      <c r="AE1435" s="22"/>
      <c r="AF1435" s="22"/>
    </row>
    <row r="1436" spans="29:32" x14ac:dyDescent="0.2">
      <c r="AC1436" s="20"/>
      <c r="AE1436" s="22"/>
      <c r="AF1436" s="22"/>
    </row>
    <row r="1437" spans="29:32" x14ac:dyDescent="0.2">
      <c r="AC1437" s="20"/>
      <c r="AE1437" s="22"/>
      <c r="AF1437" s="22"/>
    </row>
    <row r="1438" spans="29:32" x14ac:dyDescent="0.2">
      <c r="AC1438" s="20"/>
      <c r="AE1438" s="22"/>
      <c r="AF1438" s="22"/>
    </row>
    <row r="1439" spans="29:32" x14ac:dyDescent="0.2">
      <c r="AC1439" s="20"/>
      <c r="AE1439" s="22"/>
      <c r="AF1439" s="22"/>
    </row>
    <row r="1440" spans="29:32" x14ac:dyDescent="0.2">
      <c r="AC1440" s="20"/>
      <c r="AE1440" s="22"/>
      <c r="AF1440" s="22"/>
    </row>
    <row r="1441" spans="29:32" x14ac:dyDescent="0.2">
      <c r="AC1441" s="20"/>
      <c r="AE1441" s="22"/>
      <c r="AF1441" s="22"/>
    </row>
    <row r="1442" spans="29:32" x14ac:dyDescent="0.2">
      <c r="AC1442" s="20"/>
      <c r="AE1442" s="22"/>
      <c r="AF1442" s="22"/>
    </row>
    <row r="1443" spans="29:32" x14ac:dyDescent="0.2">
      <c r="AC1443" s="20"/>
      <c r="AE1443" s="22"/>
      <c r="AF1443" s="22"/>
    </row>
    <row r="1444" spans="29:32" x14ac:dyDescent="0.2">
      <c r="AC1444" s="20"/>
      <c r="AE1444" s="22"/>
      <c r="AF1444" s="22"/>
    </row>
    <row r="1445" spans="29:32" x14ac:dyDescent="0.2">
      <c r="AC1445" s="20"/>
      <c r="AE1445" s="22"/>
      <c r="AF1445" s="22"/>
    </row>
    <row r="1446" spans="29:32" x14ac:dyDescent="0.2">
      <c r="AC1446" s="20"/>
      <c r="AE1446" s="22"/>
      <c r="AF1446" s="22"/>
    </row>
    <row r="1447" spans="29:32" x14ac:dyDescent="0.2">
      <c r="AC1447" s="20"/>
      <c r="AE1447" s="22"/>
      <c r="AF1447" s="22"/>
    </row>
    <row r="1448" spans="29:32" x14ac:dyDescent="0.2">
      <c r="AC1448" s="20"/>
      <c r="AE1448" s="22"/>
      <c r="AF1448" s="22"/>
    </row>
    <row r="1449" spans="29:32" x14ac:dyDescent="0.2">
      <c r="AC1449" s="20"/>
      <c r="AE1449" s="22"/>
      <c r="AF1449" s="22"/>
    </row>
    <row r="1450" spans="29:32" x14ac:dyDescent="0.2">
      <c r="AC1450" s="20"/>
      <c r="AE1450" s="22"/>
      <c r="AF1450" s="22"/>
    </row>
    <row r="1451" spans="29:32" x14ac:dyDescent="0.2">
      <c r="AC1451" s="20"/>
      <c r="AE1451" s="22"/>
      <c r="AF1451" s="22"/>
    </row>
    <row r="1452" spans="29:32" x14ac:dyDescent="0.2">
      <c r="AC1452" s="20"/>
      <c r="AE1452" s="22"/>
      <c r="AF1452" s="22"/>
    </row>
    <row r="1453" spans="29:32" x14ac:dyDescent="0.2">
      <c r="AC1453" s="20"/>
      <c r="AE1453" s="22"/>
      <c r="AF1453" s="22"/>
    </row>
    <row r="1454" spans="29:32" x14ac:dyDescent="0.2">
      <c r="AC1454" s="20"/>
      <c r="AE1454" s="22"/>
      <c r="AF1454" s="22"/>
    </row>
    <row r="1455" spans="29:32" x14ac:dyDescent="0.2">
      <c r="AC1455" s="20"/>
      <c r="AE1455" s="22"/>
      <c r="AF1455" s="22"/>
    </row>
    <row r="1456" spans="29:32" x14ac:dyDescent="0.2">
      <c r="AC1456" s="20"/>
      <c r="AE1456" s="22"/>
      <c r="AF1456" s="22"/>
    </row>
    <row r="1457" spans="29:32" x14ac:dyDescent="0.2">
      <c r="AC1457" s="20"/>
      <c r="AE1457" s="22"/>
      <c r="AF1457" s="22"/>
    </row>
    <row r="1458" spans="29:32" x14ac:dyDescent="0.2">
      <c r="AC1458" s="20"/>
      <c r="AE1458" s="22"/>
      <c r="AF1458" s="22"/>
    </row>
    <row r="1459" spans="29:32" x14ac:dyDescent="0.2">
      <c r="AC1459" s="20"/>
      <c r="AE1459" s="22"/>
      <c r="AF1459" s="22"/>
    </row>
    <row r="1460" spans="29:32" x14ac:dyDescent="0.2">
      <c r="AC1460" s="20"/>
      <c r="AE1460" s="22"/>
      <c r="AF1460" s="22"/>
    </row>
    <row r="1461" spans="29:32" x14ac:dyDescent="0.2">
      <c r="AC1461" s="20"/>
      <c r="AE1461" s="22"/>
      <c r="AF1461" s="22"/>
    </row>
    <row r="1462" spans="29:32" x14ac:dyDescent="0.2">
      <c r="AC1462" s="20"/>
      <c r="AE1462" s="22"/>
      <c r="AF1462" s="22"/>
    </row>
    <row r="1463" spans="29:32" x14ac:dyDescent="0.2">
      <c r="AC1463" s="20"/>
      <c r="AE1463" s="22"/>
      <c r="AF1463" s="22"/>
    </row>
    <row r="1464" spans="29:32" x14ac:dyDescent="0.2">
      <c r="AC1464" s="20"/>
      <c r="AE1464" s="22"/>
      <c r="AF1464" s="22"/>
    </row>
    <row r="1465" spans="29:32" x14ac:dyDescent="0.2">
      <c r="AC1465" s="20"/>
      <c r="AE1465" s="22"/>
      <c r="AF1465" s="22"/>
    </row>
    <row r="1466" spans="29:32" x14ac:dyDescent="0.2">
      <c r="AC1466" s="20"/>
      <c r="AE1466" s="22"/>
      <c r="AF1466" s="22"/>
    </row>
    <row r="1467" spans="29:32" x14ac:dyDescent="0.2">
      <c r="AC1467" s="20"/>
      <c r="AE1467" s="22"/>
      <c r="AF1467" s="22"/>
    </row>
    <row r="1468" spans="29:32" x14ac:dyDescent="0.2">
      <c r="AC1468" s="20"/>
      <c r="AE1468" s="22"/>
      <c r="AF1468" s="22"/>
    </row>
    <row r="1469" spans="29:32" x14ac:dyDescent="0.2">
      <c r="AC1469" s="20"/>
      <c r="AE1469" s="22"/>
      <c r="AF1469" s="22"/>
    </row>
    <row r="1470" spans="29:32" x14ac:dyDescent="0.2">
      <c r="AC1470" s="20"/>
      <c r="AE1470" s="22"/>
      <c r="AF1470" s="22"/>
    </row>
    <row r="1471" spans="29:32" x14ac:dyDescent="0.2">
      <c r="AC1471" s="20"/>
      <c r="AE1471" s="22"/>
      <c r="AF1471" s="22"/>
    </row>
    <row r="1472" spans="29:32" x14ac:dyDescent="0.2">
      <c r="AC1472" s="20"/>
      <c r="AE1472" s="22"/>
      <c r="AF1472" s="22"/>
    </row>
    <row r="1473" spans="29:32" x14ac:dyDescent="0.2">
      <c r="AC1473" s="20"/>
      <c r="AE1473" s="22"/>
      <c r="AF1473" s="22"/>
    </row>
    <row r="1474" spans="29:32" x14ac:dyDescent="0.2">
      <c r="AC1474" s="20"/>
      <c r="AE1474" s="22"/>
      <c r="AF1474" s="22"/>
    </row>
    <row r="1475" spans="29:32" x14ac:dyDescent="0.2">
      <c r="AC1475" s="20"/>
      <c r="AE1475" s="22"/>
      <c r="AF1475" s="22"/>
    </row>
    <row r="1476" spans="29:32" x14ac:dyDescent="0.2">
      <c r="AC1476" s="20"/>
      <c r="AE1476" s="22"/>
      <c r="AF1476" s="22"/>
    </row>
    <row r="1477" spans="29:32" x14ac:dyDescent="0.2">
      <c r="AC1477" s="20"/>
      <c r="AE1477" s="22"/>
      <c r="AF1477" s="22"/>
    </row>
    <row r="1478" spans="29:32" x14ac:dyDescent="0.2">
      <c r="AC1478" s="20"/>
      <c r="AE1478" s="22"/>
      <c r="AF1478" s="22"/>
    </row>
    <row r="1479" spans="29:32" x14ac:dyDescent="0.2">
      <c r="AC1479" s="20"/>
      <c r="AE1479" s="22"/>
      <c r="AF1479" s="22"/>
    </row>
    <row r="1480" spans="29:32" x14ac:dyDescent="0.2">
      <c r="AC1480" s="20"/>
      <c r="AE1480" s="22"/>
      <c r="AF1480" s="22"/>
    </row>
    <row r="1481" spans="29:32" x14ac:dyDescent="0.2">
      <c r="AC1481" s="20"/>
      <c r="AE1481" s="22"/>
      <c r="AF1481" s="22"/>
    </row>
    <row r="1482" spans="29:32" x14ac:dyDescent="0.2">
      <c r="AC1482" s="20"/>
      <c r="AE1482" s="22"/>
      <c r="AF1482" s="22"/>
    </row>
    <row r="1483" spans="29:32" x14ac:dyDescent="0.2">
      <c r="AC1483" s="20"/>
      <c r="AE1483" s="22"/>
      <c r="AF1483" s="22"/>
    </row>
    <row r="1484" spans="29:32" x14ac:dyDescent="0.2">
      <c r="AC1484" s="20"/>
      <c r="AE1484" s="22"/>
      <c r="AF1484" s="22"/>
    </row>
    <row r="1485" spans="29:32" x14ac:dyDescent="0.2">
      <c r="AC1485" s="20"/>
      <c r="AE1485" s="22"/>
      <c r="AF1485" s="22"/>
    </row>
    <row r="1486" spans="29:32" x14ac:dyDescent="0.2">
      <c r="AC1486" s="20"/>
      <c r="AE1486" s="22"/>
      <c r="AF1486" s="22"/>
    </row>
    <row r="1487" spans="29:32" x14ac:dyDescent="0.2">
      <c r="AC1487" s="20"/>
      <c r="AE1487" s="22"/>
      <c r="AF1487" s="22"/>
    </row>
    <row r="1488" spans="29:32" x14ac:dyDescent="0.2">
      <c r="AC1488" s="20"/>
      <c r="AE1488" s="22"/>
      <c r="AF1488" s="22"/>
    </row>
    <row r="1489" spans="29:32" x14ac:dyDescent="0.2">
      <c r="AC1489" s="20"/>
      <c r="AE1489" s="22"/>
      <c r="AF1489" s="22"/>
    </row>
    <row r="1490" spans="29:32" x14ac:dyDescent="0.2">
      <c r="AC1490" s="20"/>
      <c r="AE1490" s="22"/>
      <c r="AF1490" s="22"/>
    </row>
    <row r="1491" spans="29:32" x14ac:dyDescent="0.2">
      <c r="AC1491" s="20"/>
      <c r="AE1491" s="22"/>
      <c r="AF1491" s="22"/>
    </row>
    <row r="1492" spans="29:32" x14ac:dyDescent="0.2">
      <c r="AC1492" s="20"/>
      <c r="AE1492" s="22"/>
      <c r="AF1492" s="22"/>
    </row>
    <row r="1493" spans="29:32" x14ac:dyDescent="0.2">
      <c r="AC1493" s="20"/>
      <c r="AE1493" s="22"/>
      <c r="AF1493" s="22"/>
    </row>
    <row r="1494" spans="29:32" x14ac:dyDescent="0.2">
      <c r="AC1494" s="20"/>
      <c r="AE1494" s="22"/>
      <c r="AF1494" s="22"/>
    </row>
    <row r="1495" spans="29:32" x14ac:dyDescent="0.2">
      <c r="AC1495" s="20"/>
      <c r="AE1495" s="22"/>
      <c r="AF1495" s="22"/>
    </row>
    <row r="1496" spans="29:32" x14ac:dyDescent="0.2">
      <c r="AC1496" s="20"/>
      <c r="AE1496" s="22"/>
      <c r="AF1496" s="22"/>
    </row>
    <row r="1497" spans="29:32" x14ac:dyDescent="0.2">
      <c r="AC1497" s="20"/>
      <c r="AE1497" s="22"/>
      <c r="AF1497" s="22"/>
    </row>
    <row r="1498" spans="29:32" x14ac:dyDescent="0.2">
      <c r="AC1498" s="20"/>
      <c r="AE1498" s="22"/>
      <c r="AF1498" s="22"/>
    </row>
    <row r="1499" spans="29:32" x14ac:dyDescent="0.2">
      <c r="AC1499" s="20"/>
      <c r="AE1499" s="22"/>
      <c r="AF1499" s="22"/>
    </row>
    <row r="1500" spans="29:32" x14ac:dyDescent="0.2">
      <c r="AC1500" s="20"/>
      <c r="AE1500" s="22"/>
      <c r="AF1500" s="22"/>
    </row>
    <row r="1501" spans="29:32" x14ac:dyDescent="0.2">
      <c r="AC1501" s="20"/>
      <c r="AE1501" s="22"/>
      <c r="AF1501" s="22"/>
    </row>
    <row r="1502" spans="29:32" x14ac:dyDescent="0.2">
      <c r="AC1502" s="20"/>
      <c r="AE1502" s="22"/>
      <c r="AF1502" s="22"/>
    </row>
    <row r="1503" spans="29:32" x14ac:dyDescent="0.2">
      <c r="AC1503" s="20"/>
      <c r="AE1503" s="22"/>
      <c r="AF1503" s="22"/>
    </row>
    <row r="1504" spans="29:32" x14ac:dyDescent="0.2">
      <c r="AC1504" s="20"/>
      <c r="AE1504" s="22"/>
      <c r="AF1504" s="22"/>
    </row>
    <row r="1505" spans="29:32" x14ac:dyDescent="0.2">
      <c r="AC1505" s="20"/>
      <c r="AE1505" s="22"/>
      <c r="AF1505" s="22"/>
    </row>
    <row r="1506" spans="29:32" x14ac:dyDescent="0.2">
      <c r="AC1506" s="20"/>
      <c r="AE1506" s="22"/>
      <c r="AF1506" s="22"/>
    </row>
    <row r="1507" spans="29:32" x14ac:dyDescent="0.2">
      <c r="AC1507" s="20"/>
      <c r="AE1507" s="22"/>
      <c r="AF1507" s="22"/>
    </row>
    <row r="1508" spans="29:32" x14ac:dyDescent="0.2">
      <c r="AC1508" s="20"/>
      <c r="AE1508" s="22"/>
      <c r="AF1508" s="22"/>
    </row>
    <row r="1509" spans="29:32" x14ac:dyDescent="0.2">
      <c r="AC1509" s="20"/>
      <c r="AE1509" s="22"/>
      <c r="AF1509" s="22"/>
    </row>
    <row r="1510" spans="29:32" x14ac:dyDescent="0.2">
      <c r="AC1510" s="20"/>
      <c r="AE1510" s="22"/>
      <c r="AF1510" s="22"/>
    </row>
    <row r="1511" spans="29:32" x14ac:dyDescent="0.2">
      <c r="AC1511" s="20"/>
      <c r="AE1511" s="22"/>
      <c r="AF1511" s="22"/>
    </row>
    <row r="1512" spans="29:32" x14ac:dyDescent="0.2">
      <c r="AC1512" s="20"/>
      <c r="AE1512" s="22"/>
      <c r="AF1512" s="22"/>
    </row>
    <row r="1513" spans="29:32" x14ac:dyDescent="0.2">
      <c r="AC1513" s="20"/>
      <c r="AE1513" s="22"/>
      <c r="AF1513" s="22"/>
    </row>
    <row r="1514" spans="29:32" x14ac:dyDescent="0.2">
      <c r="AC1514" s="20"/>
      <c r="AE1514" s="22"/>
      <c r="AF1514" s="22"/>
    </row>
    <row r="1515" spans="29:32" x14ac:dyDescent="0.2">
      <c r="AC1515" s="20"/>
      <c r="AE1515" s="22"/>
      <c r="AF1515" s="22"/>
    </row>
    <row r="1516" spans="29:32" x14ac:dyDescent="0.2">
      <c r="AC1516" s="20"/>
      <c r="AE1516" s="22"/>
      <c r="AF1516" s="22"/>
    </row>
    <row r="1517" spans="29:32" x14ac:dyDescent="0.2">
      <c r="AC1517" s="20"/>
      <c r="AE1517" s="22"/>
      <c r="AF1517" s="22"/>
    </row>
    <row r="1518" spans="29:32" x14ac:dyDescent="0.2">
      <c r="AC1518" s="20"/>
      <c r="AE1518" s="22"/>
      <c r="AF1518" s="22"/>
    </row>
    <row r="1519" spans="29:32" x14ac:dyDescent="0.2">
      <c r="AC1519" s="20"/>
      <c r="AE1519" s="22"/>
      <c r="AF1519" s="22"/>
    </row>
    <row r="1520" spans="29:32" x14ac:dyDescent="0.2">
      <c r="AC1520" s="20"/>
      <c r="AE1520" s="22"/>
      <c r="AF1520" s="22"/>
    </row>
    <row r="1521" spans="29:32" x14ac:dyDescent="0.2">
      <c r="AC1521" s="20"/>
      <c r="AE1521" s="22"/>
      <c r="AF1521" s="22"/>
    </row>
    <row r="1522" spans="29:32" x14ac:dyDescent="0.2">
      <c r="AC1522" s="20"/>
      <c r="AE1522" s="22"/>
      <c r="AF1522" s="22"/>
    </row>
    <row r="1523" spans="29:32" x14ac:dyDescent="0.2">
      <c r="AC1523" s="20"/>
      <c r="AE1523" s="22"/>
      <c r="AF1523" s="22"/>
    </row>
    <row r="1524" spans="29:32" x14ac:dyDescent="0.2">
      <c r="AC1524" s="20"/>
      <c r="AE1524" s="22"/>
      <c r="AF1524" s="22"/>
    </row>
    <row r="1525" spans="29:32" x14ac:dyDescent="0.2">
      <c r="AC1525" s="20"/>
      <c r="AE1525" s="22"/>
      <c r="AF1525" s="22"/>
    </row>
    <row r="1526" spans="29:32" x14ac:dyDescent="0.2">
      <c r="AC1526" s="20"/>
      <c r="AE1526" s="22"/>
      <c r="AF1526" s="22"/>
    </row>
    <row r="1527" spans="29:32" x14ac:dyDescent="0.2">
      <c r="AC1527" s="20"/>
      <c r="AE1527" s="22"/>
      <c r="AF1527" s="22"/>
    </row>
    <row r="1528" spans="29:32" x14ac:dyDescent="0.2">
      <c r="AC1528" s="20"/>
      <c r="AE1528" s="22"/>
      <c r="AF1528" s="22"/>
    </row>
    <row r="1529" spans="29:32" x14ac:dyDescent="0.2">
      <c r="AC1529" s="20"/>
      <c r="AE1529" s="22"/>
      <c r="AF1529" s="22"/>
    </row>
    <row r="1530" spans="29:32" x14ac:dyDescent="0.2">
      <c r="AC1530" s="20"/>
      <c r="AE1530" s="22"/>
      <c r="AF1530" s="22"/>
    </row>
    <row r="1531" spans="29:32" x14ac:dyDescent="0.2">
      <c r="AC1531" s="20"/>
      <c r="AE1531" s="22"/>
      <c r="AF1531" s="22"/>
    </row>
    <row r="1532" spans="29:32" x14ac:dyDescent="0.2">
      <c r="AC1532" s="20"/>
      <c r="AE1532" s="22"/>
      <c r="AF1532" s="22"/>
    </row>
    <row r="1533" spans="29:32" x14ac:dyDescent="0.2">
      <c r="AC1533" s="20"/>
      <c r="AE1533" s="22"/>
      <c r="AF1533" s="22"/>
    </row>
    <row r="1534" spans="29:32" x14ac:dyDescent="0.2">
      <c r="AC1534" s="20"/>
      <c r="AE1534" s="22"/>
      <c r="AF1534" s="22"/>
    </row>
    <row r="1535" spans="29:32" x14ac:dyDescent="0.2">
      <c r="AC1535" s="20"/>
      <c r="AE1535" s="22"/>
      <c r="AF1535" s="22"/>
    </row>
    <row r="1536" spans="29:32" x14ac:dyDescent="0.2">
      <c r="AC1536" s="20"/>
      <c r="AE1536" s="22"/>
      <c r="AF1536" s="22"/>
    </row>
    <row r="1537" spans="29:32" x14ac:dyDescent="0.2">
      <c r="AC1537" s="20"/>
      <c r="AE1537" s="22"/>
      <c r="AF1537" s="22"/>
    </row>
    <row r="1538" spans="29:32" x14ac:dyDescent="0.2">
      <c r="AC1538" s="20"/>
      <c r="AE1538" s="22"/>
      <c r="AF1538" s="22"/>
    </row>
    <row r="1539" spans="29:32" x14ac:dyDescent="0.2">
      <c r="AC1539" s="20"/>
      <c r="AE1539" s="22"/>
      <c r="AF1539" s="22"/>
    </row>
    <row r="1540" spans="29:32" x14ac:dyDescent="0.2">
      <c r="AC1540" s="20"/>
      <c r="AE1540" s="22"/>
      <c r="AF1540" s="22"/>
    </row>
    <row r="1541" spans="29:32" x14ac:dyDescent="0.2">
      <c r="AC1541" s="20"/>
      <c r="AE1541" s="22"/>
      <c r="AF1541" s="22"/>
    </row>
    <row r="1542" spans="29:32" x14ac:dyDescent="0.2">
      <c r="AC1542" s="20"/>
      <c r="AE1542" s="22"/>
      <c r="AF1542" s="22"/>
    </row>
    <row r="1543" spans="29:32" x14ac:dyDescent="0.2">
      <c r="AC1543" s="20"/>
      <c r="AE1543" s="22"/>
      <c r="AF1543" s="22"/>
    </row>
    <row r="1544" spans="29:32" x14ac:dyDescent="0.2">
      <c r="AC1544" s="20"/>
      <c r="AE1544" s="22"/>
      <c r="AF1544" s="22"/>
    </row>
    <row r="1545" spans="29:32" x14ac:dyDescent="0.2">
      <c r="AC1545" s="20"/>
      <c r="AE1545" s="22"/>
      <c r="AF1545" s="22"/>
    </row>
    <row r="1546" spans="29:32" x14ac:dyDescent="0.2">
      <c r="AC1546" s="20"/>
      <c r="AE1546" s="22"/>
      <c r="AF1546" s="22"/>
    </row>
    <row r="1547" spans="29:32" x14ac:dyDescent="0.2">
      <c r="AC1547" s="20"/>
      <c r="AE1547" s="22"/>
      <c r="AF1547" s="22"/>
    </row>
    <row r="1548" spans="29:32" x14ac:dyDescent="0.2">
      <c r="AC1548" s="20"/>
      <c r="AE1548" s="22"/>
      <c r="AF1548" s="22"/>
    </row>
    <row r="1549" spans="29:32" x14ac:dyDescent="0.2">
      <c r="AC1549" s="20"/>
      <c r="AE1549" s="22"/>
      <c r="AF1549" s="22"/>
    </row>
    <row r="1550" spans="29:32" x14ac:dyDescent="0.2">
      <c r="AC1550" s="20"/>
      <c r="AE1550" s="22"/>
      <c r="AF1550" s="22"/>
    </row>
    <row r="1551" spans="29:32" x14ac:dyDescent="0.2">
      <c r="AC1551" s="20"/>
      <c r="AE1551" s="22"/>
      <c r="AF1551" s="22"/>
    </row>
    <row r="1552" spans="29:32" x14ac:dyDescent="0.2">
      <c r="AC1552" s="20"/>
      <c r="AE1552" s="22"/>
      <c r="AF1552" s="22"/>
    </row>
    <row r="1553" spans="29:32" x14ac:dyDescent="0.2">
      <c r="AC1553" s="20"/>
      <c r="AE1553" s="22"/>
      <c r="AF1553" s="22"/>
    </row>
    <row r="1554" spans="29:32" x14ac:dyDescent="0.2">
      <c r="AC1554" s="20"/>
      <c r="AE1554" s="22"/>
      <c r="AF1554" s="22"/>
    </row>
    <row r="1555" spans="29:32" x14ac:dyDescent="0.2">
      <c r="AC1555" s="20"/>
      <c r="AE1555" s="22"/>
      <c r="AF1555" s="22"/>
    </row>
    <row r="1556" spans="29:32" x14ac:dyDescent="0.2">
      <c r="AC1556" s="20"/>
      <c r="AE1556" s="22"/>
      <c r="AF1556" s="22"/>
    </row>
    <row r="1557" spans="29:32" x14ac:dyDescent="0.2">
      <c r="AC1557" s="20"/>
      <c r="AE1557" s="22"/>
      <c r="AF1557" s="22"/>
    </row>
    <row r="1558" spans="29:32" x14ac:dyDescent="0.2">
      <c r="AC1558" s="20"/>
      <c r="AE1558" s="22"/>
      <c r="AF1558" s="22"/>
    </row>
    <row r="1559" spans="29:32" x14ac:dyDescent="0.2">
      <c r="AC1559" s="20"/>
      <c r="AE1559" s="22"/>
      <c r="AF1559" s="22"/>
    </row>
    <row r="1560" spans="29:32" x14ac:dyDescent="0.2">
      <c r="AC1560" s="20"/>
      <c r="AE1560" s="22"/>
      <c r="AF1560" s="22"/>
    </row>
    <row r="1561" spans="29:32" x14ac:dyDescent="0.2">
      <c r="AC1561" s="20"/>
      <c r="AE1561" s="22"/>
      <c r="AF1561" s="22"/>
    </row>
    <row r="1562" spans="29:32" x14ac:dyDescent="0.2">
      <c r="AC1562" s="20"/>
      <c r="AE1562" s="22"/>
      <c r="AF1562" s="22"/>
    </row>
    <row r="1563" spans="29:32" x14ac:dyDescent="0.2">
      <c r="AC1563" s="20"/>
      <c r="AE1563" s="22"/>
      <c r="AF1563" s="22"/>
    </row>
    <row r="1564" spans="29:32" x14ac:dyDescent="0.2">
      <c r="AC1564" s="20"/>
      <c r="AE1564" s="22"/>
      <c r="AF1564" s="22"/>
    </row>
    <row r="1565" spans="29:32" x14ac:dyDescent="0.2">
      <c r="AC1565" s="20"/>
      <c r="AE1565" s="22"/>
      <c r="AF1565" s="22"/>
    </row>
    <row r="1566" spans="29:32" x14ac:dyDescent="0.2">
      <c r="AC1566" s="20"/>
      <c r="AE1566" s="22"/>
      <c r="AF1566" s="22"/>
    </row>
    <row r="1567" spans="29:32" x14ac:dyDescent="0.2">
      <c r="AC1567" s="20"/>
      <c r="AE1567" s="22"/>
      <c r="AF1567" s="22"/>
    </row>
    <row r="1568" spans="29:32" x14ac:dyDescent="0.2">
      <c r="AC1568" s="20"/>
      <c r="AE1568" s="22"/>
      <c r="AF1568" s="22"/>
    </row>
    <row r="1569" spans="29:32" x14ac:dyDescent="0.2">
      <c r="AC1569" s="20"/>
      <c r="AE1569" s="22"/>
      <c r="AF1569" s="22"/>
    </row>
    <row r="1570" spans="29:32" x14ac:dyDescent="0.2">
      <c r="AC1570" s="20"/>
      <c r="AE1570" s="22"/>
      <c r="AF1570" s="22"/>
    </row>
    <row r="1571" spans="29:32" x14ac:dyDescent="0.2">
      <c r="AC1571" s="20"/>
      <c r="AE1571" s="22"/>
      <c r="AF1571" s="22"/>
    </row>
    <row r="1572" spans="29:32" x14ac:dyDescent="0.2">
      <c r="AC1572" s="20"/>
      <c r="AE1572" s="22"/>
      <c r="AF1572" s="22"/>
    </row>
    <row r="1573" spans="29:32" x14ac:dyDescent="0.2">
      <c r="AC1573" s="20"/>
      <c r="AE1573" s="22"/>
      <c r="AF1573" s="22"/>
    </row>
    <row r="1574" spans="29:32" x14ac:dyDescent="0.2">
      <c r="AC1574" s="20"/>
      <c r="AE1574" s="22"/>
      <c r="AF1574" s="22"/>
    </row>
    <row r="1575" spans="29:32" x14ac:dyDescent="0.2">
      <c r="AC1575" s="20"/>
      <c r="AE1575" s="22"/>
      <c r="AF1575" s="22"/>
    </row>
    <row r="1576" spans="29:32" x14ac:dyDescent="0.2">
      <c r="AC1576" s="20"/>
      <c r="AE1576" s="22"/>
      <c r="AF1576" s="22"/>
    </row>
    <row r="1577" spans="29:32" x14ac:dyDescent="0.2">
      <c r="AC1577" s="20"/>
      <c r="AE1577" s="22"/>
      <c r="AF1577" s="22"/>
    </row>
    <row r="1578" spans="29:32" x14ac:dyDescent="0.2">
      <c r="AC1578" s="20"/>
      <c r="AE1578" s="22"/>
      <c r="AF1578" s="22"/>
    </row>
    <row r="1579" spans="29:32" x14ac:dyDescent="0.2">
      <c r="AC1579" s="20"/>
      <c r="AE1579" s="22"/>
      <c r="AF1579" s="22"/>
    </row>
    <row r="1580" spans="29:32" x14ac:dyDescent="0.2">
      <c r="AC1580" s="20"/>
      <c r="AE1580" s="22"/>
      <c r="AF1580" s="22"/>
    </row>
    <row r="1581" spans="29:32" x14ac:dyDescent="0.2">
      <c r="AC1581" s="20"/>
      <c r="AE1581" s="22"/>
      <c r="AF1581" s="22"/>
    </row>
    <row r="1582" spans="29:32" x14ac:dyDescent="0.2">
      <c r="AC1582" s="20"/>
      <c r="AE1582" s="22"/>
      <c r="AF1582" s="22"/>
    </row>
    <row r="1583" spans="29:32" x14ac:dyDescent="0.2">
      <c r="AC1583" s="20"/>
      <c r="AE1583" s="22"/>
      <c r="AF1583" s="22"/>
    </row>
    <row r="1584" spans="29:32" x14ac:dyDescent="0.2">
      <c r="AC1584" s="20"/>
      <c r="AE1584" s="22"/>
      <c r="AF1584" s="22"/>
    </row>
    <row r="1585" spans="29:32" x14ac:dyDescent="0.2">
      <c r="AC1585" s="20"/>
      <c r="AE1585" s="22"/>
      <c r="AF1585" s="22"/>
    </row>
    <row r="1586" spans="29:32" x14ac:dyDescent="0.2">
      <c r="AC1586" s="20"/>
      <c r="AE1586" s="22"/>
      <c r="AF1586" s="22"/>
    </row>
    <row r="1587" spans="29:32" x14ac:dyDescent="0.2">
      <c r="AC1587" s="20"/>
      <c r="AE1587" s="22"/>
      <c r="AF1587" s="22"/>
    </row>
    <row r="1588" spans="29:32" x14ac:dyDescent="0.2">
      <c r="AC1588" s="20"/>
      <c r="AE1588" s="22"/>
      <c r="AF1588" s="22"/>
    </row>
    <row r="1589" spans="29:32" x14ac:dyDescent="0.2">
      <c r="AC1589" s="20"/>
      <c r="AE1589" s="22"/>
      <c r="AF1589" s="22"/>
    </row>
    <row r="1590" spans="29:32" x14ac:dyDescent="0.2">
      <c r="AC1590" s="20"/>
      <c r="AE1590" s="22"/>
      <c r="AF1590" s="22"/>
    </row>
    <row r="1591" spans="29:32" x14ac:dyDescent="0.2">
      <c r="AC1591" s="20"/>
      <c r="AE1591" s="22"/>
      <c r="AF1591" s="22"/>
    </row>
    <row r="1592" spans="29:32" x14ac:dyDescent="0.2">
      <c r="AC1592" s="20"/>
      <c r="AE1592" s="22"/>
      <c r="AF1592" s="22"/>
    </row>
    <row r="1593" spans="29:32" x14ac:dyDescent="0.2">
      <c r="AC1593" s="20"/>
      <c r="AE1593" s="22"/>
      <c r="AF1593" s="22"/>
    </row>
    <row r="1594" spans="29:32" x14ac:dyDescent="0.2">
      <c r="AC1594" s="20"/>
      <c r="AE1594" s="22"/>
      <c r="AF1594" s="22"/>
    </row>
    <row r="1595" spans="29:32" x14ac:dyDescent="0.2">
      <c r="AC1595" s="20"/>
      <c r="AE1595" s="22"/>
      <c r="AF1595" s="22"/>
    </row>
    <row r="1596" spans="29:32" x14ac:dyDescent="0.2">
      <c r="AC1596" s="20"/>
      <c r="AE1596" s="22"/>
      <c r="AF1596" s="22"/>
    </row>
    <row r="1597" spans="29:32" x14ac:dyDescent="0.2">
      <c r="AC1597" s="20"/>
      <c r="AE1597" s="22"/>
      <c r="AF1597" s="22"/>
    </row>
    <row r="1598" spans="29:32" x14ac:dyDescent="0.2">
      <c r="AC1598" s="20"/>
      <c r="AE1598" s="22"/>
      <c r="AF1598" s="22"/>
    </row>
    <row r="1599" spans="29:32" x14ac:dyDescent="0.2">
      <c r="AC1599" s="20"/>
      <c r="AE1599" s="22"/>
      <c r="AF1599" s="22"/>
    </row>
    <row r="1600" spans="29:32" x14ac:dyDescent="0.2">
      <c r="AC1600" s="20"/>
      <c r="AE1600" s="22"/>
      <c r="AF1600" s="22"/>
    </row>
    <row r="1601" spans="29:32" x14ac:dyDescent="0.2">
      <c r="AC1601" s="20"/>
      <c r="AE1601" s="22"/>
      <c r="AF1601" s="22"/>
    </row>
    <row r="1602" spans="29:32" x14ac:dyDescent="0.2">
      <c r="AC1602" s="20"/>
      <c r="AE1602" s="22"/>
      <c r="AF1602" s="22"/>
    </row>
    <row r="1603" spans="29:32" x14ac:dyDescent="0.2">
      <c r="AC1603" s="20"/>
      <c r="AE1603" s="22"/>
      <c r="AF1603" s="22"/>
    </row>
    <row r="1604" spans="29:32" x14ac:dyDescent="0.2">
      <c r="AC1604" s="20"/>
      <c r="AE1604" s="22"/>
      <c r="AF1604" s="22"/>
    </row>
    <row r="1605" spans="29:32" x14ac:dyDescent="0.2">
      <c r="AC1605" s="20"/>
      <c r="AE1605" s="22"/>
      <c r="AF1605" s="22"/>
    </row>
    <row r="1606" spans="29:32" x14ac:dyDescent="0.2">
      <c r="AC1606" s="20"/>
      <c r="AE1606" s="22"/>
      <c r="AF1606" s="22"/>
    </row>
    <row r="1607" spans="29:32" x14ac:dyDescent="0.2">
      <c r="AC1607" s="20"/>
      <c r="AE1607" s="22"/>
      <c r="AF1607" s="22"/>
    </row>
    <row r="1608" spans="29:32" x14ac:dyDescent="0.2">
      <c r="AC1608" s="20"/>
      <c r="AE1608" s="22"/>
      <c r="AF1608" s="22"/>
    </row>
    <row r="1609" spans="29:32" x14ac:dyDescent="0.2">
      <c r="AC1609" s="20"/>
      <c r="AE1609" s="22"/>
      <c r="AF1609" s="22"/>
    </row>
    <row r="1610" spans="29:32" x14ac:dyDescent="0.2">
      <c r="AC1610" s="20"/>
      <c r="AE1610" s="22"/>
      <c r="AF1610" s="22"/>
    </row>
    <row r="1611" spans="29:32" x14ac:dyDescent="0.2">
      <c r="AC1611" s="20"/>
      <c r="AE1611" s="22"/>
      <c r="AF1611" s="22"/>
    </row>
    <row r="1612" spans="29:32" x14ac:dyDescent="0.2">
      <c r="AC1612" s="20"/>
      <c r="AE1612" s="22"/>
      <c r="AF1612" s="22"/>
    </row>
    <row r="1613" spans="29:32" x14ac:dyDescent="0.2">
      <c r="AC1613" s="20"/>
      <c r="AE1613" s="22"/>
      <c r="AF1613" s="22"/>
    </row>
    <row r="1614" spans="29:32" x14ac:dyDescent="0.2">
      <c r="AC1614" s="20"/>
      <c r="AE1614" s="22"/>
      <c r="AF1614" s="22"/>
    </row>
    <row r="1615" spans="29:32" x14ac:dyDescent="0.2">
      <c r="AC1615" s="20"/>
      <c r="AE1615" s="22"/>
      <c r="AF1615" s="22"/>
    </row>
    <row r="1616" spans="29:32" x14ac:dyDescent="0.2">
      <c r="AC1616" s="20"/>
      <c r="AE1616" s="22"/>
      <c r="AF1616" s="22"/>
    </row>
    <row r="1617" spans="29:32" x14ac:dyDescent="0.2">
      <c r="AC1617" s="20"/>
      <c r="AE1617" s="22"/>
      <c r="AF1617" s="22"/>
    </row>
    <row r="1618" spans="29:32" x14ac:dyDescent="0.2">
      <c r="AC1618" s="20"/>
      <c r="AE1618" s="22"/>
      <c r="AF1618" s="22"/>
    </row>
    <row r="1619" spans="29:32" x14ac:dyDescent="0.2">
      <c r="AC1619" s="20"/>
      <c r="AE1619" s="22"/>
      <c r="AF1619" s="22"/>
    </row>
    <row r="1620" spans="29:32" x14ac:dyDescent="0.2">
      <c r="AC1620" s="20"/>
      <c r="AE1620" s="22"/>
      <c r="AF1620" s="22"/>
    </row>
    <row r="1621" spans="29:32" x14ac:dyDescent="0.2">
      <c r="AC1621" s="20"/>
      <c r="AE1621" s="22"/>
      <c r="AF1621" s="22"/>
    </row>
    <row r="1622" spans="29:32" x14ac:dyDescent="0.2">
      <c r="AC1622" s="20"/>
      <c r="AE1622" s="22"/>
      <c r="AF1622" s="22"/>
    </row>
    <row r="1623" spans="29:32" x14ac:dyDescent="0.2">
      <c r="AC1623" s="20"/>
      <c r="AE1623" s="22"/>
      <c r="AF1623" s="22"/>
    </row>
    <row r="1624" spans="29:32" x14ac:dyDescent="0.2">
      <c r="AC1624" s="20"/>
      <c r="AE1624" s="22"/>
      <c r="AF1624" s="22"/>
    </row>
    <row r="1625" spans="29:32" x14ac:dyDescent="0.2">
      <c r="AC1625" s="20"/>
      <c r="AE1625" s="22"/>
      <c r="AF1625" s="22"/>
    </row>
    <row r="1626" spans="29:32" x14ac:dyDescent="0.2">
      <c r="AC1626" s="20"/>
      <c r="AE1626" s="22"/>
      <c r="AF1626" s="22"/>
    </row>
    <row r="1627" spans="29:32" x14ac:dyDescent="0.2">
      <c r="AC1627" s="20"/>
      <c r="AE1627" s="22"/>
      <c r="AF1627" s="22"/>
    </row>
    <row r="1628" spans="29:32" x14ac:dyDescent="0.2">
      <c r="AC1628" s="20"/>
      <c r="AE1628" s="22"/>
      <c r="AF1628" s="22"/>
    </row>
    <row r="1629" spans="29:32" x14ac:dyDescent="0.2">
      <c r="AC1629" s="20"/>
      <c r="AE1629" s="22"/>
      <c r="AF1629" s="22"/>
    </row>
    <row r="1630" spans="29:32" x14ac:dyDescent="0.2">
      <c r="AC1630" s="20"/>
      <c r="AE1630" s="22"/>
      <c r="AF1630" s="22"/>
    </row>
    <row r="1631" spans="29:32" x14ac:dyDescent="0.2">
      <c r="AC1631" s="20"/>
      <c r="AE1631" s="22"/>
      <c r="AF1631" s="22"/>
    </row>
    <row r="1632" spans="29:32" x14ac:dyDescent="0.2">
      <c r="AC1632" s="20"/>
      <c r="AE1632" s="22"/>
      <c r="AF1632" s="22"/>
    </row>
    <row r="1633" spans="29:32" x14ac:dyDescent="0.2">
      <c r="AC1633" s="20"/>
      <c r="AE1633" s="22"/>
      <c r="AF1633" s="22"/>
    </row>
    <row r="1634" spans="29:32" x14ac:dyDescent="0.2">
      <c r="AC1634" s="20"/>
      <c r="AE1634" s="22"/>
      <c r="AF1634" s="22"/>
    </row>
    <row r="1635" spans="29:32" x14ac:dyDescent="0.2">
      <c r="AC1635" s="20"/>
      <c r="AE1635" s="22"/>
      <c r="AF1635" s="22"/>
    </row>
    <row r="1636" spans="29:32" x14ac:dyDescent="0.2">
      <c r="AC1636" s="20"/>
      <c r="AE1636" s="22"/>
      <c r="AF1636" s="22"/>
    </row>
    <row r="1637" spans="29:32" x14ac:dyDescent="0.2">
      <c r="AC1637" s="20"/>
      <c r="AE1637" s="22"/>
      <c r="AF1637" s="22"/>
    </row>
    <row r="1638" spans="29:32" x14ac:dyDescent="0.2">
      <c r="AC1638" s="20"/>
      <c r="AE1638" s="22"/>
      <c r="AF1638" s="22"/>
    </row>
    <row r="1639" spans="29:32" x14ac:dyDescent="0.2">
      <c r="AC1639" s="20"/>
      <c r="AE1639" s="22"/>
      <c r="AF1639" s="22"/>
    </row>
    <row r="1640" spans="29:32" x14ac:dyDescent="0.2">
      <c r="AC1640" s="20"/>
      <c r="AE1640" s="22"/>
      <c r="AF1640" s="22"/>
    </row>
    <row r="1641" spans="29:32" x14ac:dyDescent="0.2">
      <c r="AC1641" s="20"/>
      <c r="AE1641" s="22"/>
      <c r="AF1641" s="22"/>
    </row>
    <row r="1642" spans="29:32" x14ac:dyDescent="0.2">
      <c r="AC1642" s="20"/>
      <c r="AE1642" s="22"/>
      <c r="AF1642" s="22"/>
    </row>
    <row r="1643" spans="29:32" x14ac:dyDescent="0.2">
      <c r="AC1643" s="20"/>
      <c r="AE1643" s="22"/>
      <c r="AF1643" s="22"/>
    </row>
    <row r="1644" spans="29:32" x14ac:dyDescent="0.2">
      <c r="AC1644" s="20"/>
      <c r="AE1644" s="22"/>
      <c r="AF1644" s="22"/>
    </row>
    <row r="1645" spans="29:32" x14ac:dyDescent="0.2">
      <c r="AC1645" s="20"/>
      <c r="AE1645" s="22"/>
      <c r="AF1645" s="22"/>
    </row>
    <row r="1646" spans="29:32" x14ac:dyDescent="0.2">
      <c r="AC1646" s="20"/>
      <c r="AE1646" s="22"/>
      <c r="AF1646" s="22"/>
    </row>
    <row r="1647" spans="29:32" x14ac:dyDescent="0.2">
      <c r="AC1647" s="20"/>
      <c r="AE1647" s="22"/>
      <c r="AF1647" s="22"/>
    </row>
    <row r="1648" spans="29:32" x14ac:dyDescent="0.2">
      <c r="AC1648" s="20"/>
      <c r="AE1648" s="22"/>
      <c r="AF1648" s="22"/>
    </row>
    <row r="1649" spans="29:32" x14ac:dyDescent="0.2">
      <c r="AC1649" s="20"/>
      <c r="AE1649" s="22"/>
      <c r="AF1649" s="22"/>
    </row>
    <row r="1650" spans="29:32" x14ac:dyDescent="0.2">
      <c r="AC1650" s="20"/>
      <c r="AE1650" s="22"/>
      <c r="AF1650" s="22"/>
    </row>
    <row r="1651" spans="29:32" x14ac:dyDescent="0.2">
      <c r="AC1651" s="20"/>
      <c r="AE1651" s="22"/>
      <c r="AF1651" s="22"/>
    </row>
    <row r="1652" spans="29:32" x14ac:dyDescent="0.2">
      <c r="AC1652" s="20"/>
      <c r="AE1652" s="22"/>
      <c r="AF1652" s="22"/>
    </row>
    <row r="1653" spans="29:32" x14ac:dyDescent="0.2">
      <c r="AC1653" s="20"/>
      <c r="AE1653" s="22"/>
      <c r="AF1653" s="22"/>
    </row>
    <row r="1654" spans="29:32" x14ac:dyDescent="0.2">
      <c r="AC1654" s="20"/>
      <c r="AE1654" s="22"/>
      <c r="AF1654" s="22"/>
    </row>
    <row r="1655" spans="29:32" x14ac:dyDescent="0.2">
      <c r="AC1655" s="20"/>
      <c r="AE1655" s="22"/>
      <c r="AF1655" s="22"/>
    </row>
    <row r="1656" spans="29:32" x14ac:dyDescent="0.2">
      <c r="AC1656" s="20"/>
      <c r="AE1656" s="22"/>
      <c r="AF1656" s="22"/>
    </row>
    <row r="1657" spans="29:32" x14ac:dyDescent="0.2">
      <c r="AC1657" s="20"/>
      <c r="AE1657" s="22"/>
      <c r="AF1657" s="22"/>
    </row>
    <row r="1658" spans="29:32" x14ac:dyDescent="0.2">
      <c r="AC1658" s="20"/>
      <c r="AE1658" s="22"/>
      <c r="AF1658" s="22"/>
    </row>
    <row r="1659" spans="29:32" x14ac:dyDescent="0.2">
      <c r="AC1659" s="20"/>
      <c r="AE1659" s="22"/>
      <c r="AF1659" s="22"/>
    </row>
    <row r="1660" spans="29:32" x14ac:dyDescent="0.2">
      <c r="AC1660" s="20"/>
      <c r="AE1660" s="22"/>
      <c r="AF1660" s="22"/>
    </row>
    <row r="1661" spans="29:32" x14ac:dyDescent="0.2">
      <c r="AC1661" s="20"/>
      <c r="AE1661" s="22"/>
      <c r="AF1661" s="22"/>
    </row>
    <row r="1662" spans="29:32" x14ac:dyDescent="0.2">
      <c r="AC1662" s="20"/>
      <c r="AE1662" s="22"/>
      <c r="AF1662" s="22"/>
    </row>
    <row r="1663" spans="29:32" x14ac:dyDescent="0.2">
      <c r="AC1663" s="20"/>
      <c r="AE1663" s="22"/>
      <c r="AF1663" s="22"/>
    </row>
    <row r="1664" spans="29:32" x14ac:dyDescent="0.2">
      <c r="AC1664" s="20"/>
      <c r="AE1664" s="22"/>
      <c r="AF1664" s="22"/>
    </row>
    <row r="1665" spans="29:32" x14ac:dyDescent="0.2">
      <c r="AC1665" s="20"/>
      <c r="AE1665" s="22"/>
      <c r="AF1665" s="22"/>
    </row>
    <row r="1666" spans="29:32" x14ac:dyDescent="0.2">
      <c r="AC1666" s="20"/>
      <c r="AE1666" s="22"/>
      <c r="AF1666" s="22"/>
    </row>
    <row r="1667" spans="29:32" x14ac:dyDescent="0.2">
      <c r="AC1667" s="20"/>
      <c r="AE1667" s="22"/>
      <c r="AF1667" s="22"/>
    </row>
    <row r="1668" spans="29:32" x14ac:dyDescent="0.2">
      <c r="AC1668" s="20"/>
      <c r="AE1668" s="22"/>
      <c r="AF1668" s="22"/>
    </row>
    <row r="1669" spans="29:32" x14ac:dyDescent="0.2">
      <c r="AC1669" s="20"/>
      <c r="AE1669" s="22"/>
      <c r="AF1669" s="22"/>
    </row>
    <row r="1670" spans="29:32" x14ac:dyDescent="0.2">
      <c r="AC1670" s="20"/>
      <c r="AE1670" s="22"/>
      <c r="AF1670" s="22"/>
    </row>
    <row r="1671" spans="29:32" x14ac:dyDescent="0.2">
      <c r="AC1671" s="20"/>
      <c r="AE1671" s="22"/>
      <c r="AF1671" s="22"/>
    </row>
    <row r="1672" spans="29:32" x14ac:dyDescent="0.2">
      <c r="AC1672" s="20"/>
      <c r="AE1672" s="22"/>
      <c r="AF1672" s="22"/>
    </row>
    <row r="1673" spans="29:32" x14ac:dyDescent="0.2">
      <c r="AC1673" s="20"/>
      <c r="AE1673" s="22"/>
      <c r="AF1673" s="22"/>
    </row>
    <row r="1674" spans="29:32" x14ac:dyDescent="0.2">
      <c r="AC1674" s="20"/>
      <c r="AE1674" s="22"/>
      <c r="AF1674" s="22"/>
    </row>
    <row r="1675" spans="29:32" x14ac:dyDescent="0.2">
      <c r="AC1675" s="20"/>
      <c r="AE1675" s="22"/>
      <c r="AF1675" s="22"/>
    </row>
    <row r="1676" spans="29:32" x14ac:dyDescent="0.2">
      <c r="AC1676" s="20"/>
      <c r="AE1676" s="22"/>
      <c r="AF1676" s="22"/>
    </row>
    <row r="1677" spans="29:32" x14ac:dyDescent="0.2">
      <c r="AC1677" s="20"/>
      <c r="AE1677" s="22"/>
      <c r="AF1677" s="22"/>
    </row>
    <row r="1678" spans="29:32" x14ac:dyDescent="0.2">
      <c r="AC1678" s="20"/>
      <c r="AE1678" s="22"/>
      <c r="AF1678" s="22"/>
    </row>
    <row r="1679" spans="29:32" x14ac:dyDescent="0.2">
      <c r="AC1679" s="20"/>
      <c r="AE1679" s="22"/>
      <c r="AF1679" s="22"/>
    </row>
    <row r="1680" spans="29:32" x14ac:dyDescent="0.2">
      <c r="AC1680" s="20"/>
      <c r="AE1680" s="22"/>
      <c r="AF1680" s="22"/>
    </row>
    <row r="1681" spans="29:32" x14ac:dyDescent="0.2">
      <c r="AC1681" s="20"/>
      <c r="AE1681" s="22"/>
      <c r="AF1681" s="22"/>
    </row>
    <row r="1682" spans="29:32" x14ac:dyDescent="0.2">
      <c r="AC1682" s="20"/>
      <c r="AE1682" s="22"/>
      <c r="AF1682" s="22"/>
    </row>
    <row r="1683" spans="29:32" x14ac:dyDescent="0.2">
      <c r="AC1683" s="20"/>
      <c r="AE1683" s="22"/>
      <c r="AF1683" s="22"/>
    </row>
    <row r="1684" spans="29:32" x14ac:dyDescent="0.2">
      <c r="AC1684" s="20"/>
      <c r="AE1684" s="22"/>
      <c r="AF1684" s="22"/>
    </row>
    <row r="1685" spans="29:32" x14ac:dyDescent="0.2">
      <c r="AC1685" s="20"/>
      <c r="AE1685" s="22"/>
      <c r="AF1685" s="22"/>
    </row>
    <row r="1686" spans="29:32" x14ac:dyDescent="0.2">
      <c r="AC1686" s="20"/>
      <c r="AE1686" s="22"/>
      <c r="AF1686" s="22"/>
    </row>
    <row r="1687" spans="29:32" x14ac:dyDescent="0.2">
      <c r="AC1687" s="20"/>
      <c r="AE1687" s="22"/>
      <c r="AF1687" s="22"/>
    </row>
    <row r="1688" spans="29:32" x14ac:dyDescent="0.2">
      <c r="AC1688" s="20"/>
      <c r="AE1688" s="22"/>
      <c r="AF1688" s="22"/>
    </row>
    <row r="1689" spans="29:32" x14ac:dyDescent="0.2">
      <c r="AC1689" s="20"/>
      <c r="AE1689" s="22"/>
      <c r="AF1689" s="22"/>
    </row>
    <row r="1690" spans="29:32" x14ac:dyDescent="0.2">
      <c r="AC1690" s="20"/>
      <c r="AE1690" s="22"/>
      <c r="AF1690" s="22"/>
    </row>
    <row r="1691" spans="29:32" x14ac:dyDescent="0.2">
      <c r="AC1691" s="20"/>
      <c r="AE1691" s="22"/>
      <c r="AF1691" s="22"/>
    </row>
    <row r="1692" spans="29:32" x14ac:dyDescent="0.2">
      <c r="AC1692" s="20"/>
      <c r="AE1692" s="22"/>
      <c r="AF1692" s="22"/>
    </row>
    <row r="1693" spans="29:32" x14ac:dyDescent="0.2">
      <c r="AC1693" s="20"/>
      <c r="AE1693" s="22"/>
      <c r="AF1693" s="22"/>
    </row>
    <row r="1694" spans="29:32" x14ac:dyDescent="0.2">
      <c r="AC1694" s="20"/>
      <c r="AE1694" s="22"/>
      <c r="AF1694" s="22"/>
    </row>
    <row r="1695" spans="29:32" x14ac:dyDescent="0.2">
      <c r="AC1695" s="20"/>
      <c r="AE1695" s="22"/>
      <c r="AF1695" s="22"/>
    </row>
    <row r="1696" spans="29:32" x14ac:dyDescent="0.2">
      <c r="AC1696" s="20"/>
      <c r="AE1696" s="22"/>
      <c r="AF1696" s="22"/>
    </row>
    <row r="1697" spans="29:32" x14ac:dyDescent="0.2">
      <c r="AC1697" s="20"/>
      <c r="AE1697" s="22"/>
      <c r="AF1697" s="22"/>
    </row>
    <row r="1698" spans="29:32" x14ac:dyDescent="0.2">
      <c r="AC1698" s="20"/>
      <c r="AE1698" s="22"/>
      <c r="AF1698" s="22"/>
    </row>
    <row r="1699" spans="29:32" x14ac:dyDescent="0.2">
      <c r="AC1699" s="20"/>
      <c r="AE1699" s="22"/>
      <c r="AF1699" s="22"/>
    </row>
    <row r="1700" spans="29:32" x14ac:dyDescent="0.2">
      <c r="AC1700" s="20"/>
      <c r="AE1700" s="22"/>
      <c r="AF1700" s="22"/>
    </row>
    <row r="1701" spans="29:32" x14ac:dyDescent="0.2">
      <c r="AC1701" s="20"/>
      <c r="AE1701" s="22"/>
      <c r="AF1701" s="22"/>
    </row>
    <row r="1702" spans="29:32" x14ac:dyDescent="0.2">
      <c r="AC1702" s="20"/>
      <c r="AE1702" s="22"/>
      <c r="AF1702" s="22"/>
    </row>
    <row r="1703" spans="29:32" x14ac:dyDescent="0.2">
      <c r="AC1703" s="20"/>
      <c r="AE1703" s="22"/>
      <c r="AF1703" s="22"/>
    </row>
    <row r="1704" spans="29:32" x14ac:dyDescent="0.2">
      <c r="AC1704" s="20"/>
      <c r="AE1704" s="22"/>
      <c r="AF1704" s="22"/>
    </row>
    <row r="1705" spans="29:32" x14ac:dyDescent="0.2">
      <c r="AC1705" s="20"/>
      <c r="AE1705" s="22"/>
      <c r="AF1705" s="22"/>
    </row>
    <row r="1706" spans="29:32" x14ac:dyDescent="0.2">
      <c r="AC1706" s="20"/>
      <c r="AE1706" s="22"/>
      <c r="AF1706" s="22"/>
    </row>
    <row r="1707" spans="29:32" x14ac:dyDescent="0.2">
      <c r="AC1707" s="20"/>
      <c r="AE1707" s="22"/>
      <c r="AF1707" s="22"/>
    </row>
    <row r="1708" spans="29:32" x14ac:dyDescent="0.2">
      <c r="AC1708" s="20"/>
      <c r="AE1708" s="22"/>
      <c r="AF1708" s="22"/>
    </row>
    <row r="1709" spans="29:32" x14ac:dyDescent="0.2">
      <c r="AC1709" s="20"/>
      <c r="AE1709" s="22"/>
      <c r="AF1709" s="22"/>
    </row>
    <row r="1710" spans="29:32" x14ac:dyDescent="0.2">
      <c r="AC1710" s="20"/>
      <c r="AE1710" s="22"/>
      <c r="AF1710" s="22"/>
    </row>
    <row r="1711" spans="29:32" x14ac:dyDescent="0.2">
      <c r="AC1711" s="20"/>
      <c r="AE1711" s="22"/>
      <c r="AF1711" s="22"/>
    </row>
    <row r="1712" spans="29:32" x14ac:dyDescent="0.2">
      <c r="AC1712" s="20"/>
      <c r="AE1712" s="22"/>
      <c r="AF1712" s="22"/>
    </row>
    <row r="1713" spans="29:32" x14ac:dyDescent="0.2">
      <c r="AC1713" s="20"/>
      <c r="AE1713" s="22"/>
      <c r="AF1713" s="22"/>
    </row>
    <row r="1714" spans="29:32" x14ac:dyDescent="0.2">
      <c r="AC1714" s="20"/>
      <c r="AE1714" s="22"/>
      <c r="AF1714" s="22"/>
    </row>
    <row r="1715" spans="29:32" x14ac:dyDescent="0.2">
      <c r="AC1715" s="20"/>
      <c r="AE1715" s="22"/>
      <c r="AF1715" s="22"/>
    </row>
    <row r="1716" spans="29:32" x14ac:dyDescent="0.2">
      <c r="AC1716" s="20"/>
      <c r="AE1716" s="22"/>
      <c r="AF1716" s="22"/>
    </row>
    <row r="1717" spans="29:32" x14ac:dyDescent="0.2">
      <c r="AC1717" s="20"/>
      <c r="AE1717" s="22"/>
      <c r="AF1717" s="22"/>
    </row>
    <row r="1718" spans="29:32" x14ac:dyDescent="0.2">
      <c r="AC1718" s="20"/>
      <c r="AE1718" s="22"/>
      <c r="AF1718" s="22"/>
    </row>
    <row r="1719" spans="29:32" x14ac:dyDescent="0.2">
      <c r="AC1719" s="20"/>
      <c r="AE1719" s="22"/>
      <c r="AF1719" s="22"/>
    </row>
    <row r="1720" spans="29:32" x14ac:dyDescent="0.2">
      <c r="AC1720" s="20"/>
      <c r="AE1720" s="22"/>
      <c r="AF1720" s="22"/>
    </row>
    <row r="1721" spans="29:32" x14ac:dyDescent="0.2">
      <c r="AC1721" s="20"/>
      <c r="AE1721" s="22"/>
      <c r="AF1721" s="22"/>
    </row>
    <row r="1722" spans="29:32" x14ac:dyDescent="0.2">
      <c r="AC1722" s="20"/>
      <c r="AE1722" s="22"/>
      <c r="AF1722" s="22"/>
    </row>
    <row r="1723" spans="29:32" x14ac:dyDescent="0.2">
      <c r="AC1723" s="20"/>
      <c r="AE1723" s="22"/>
      <c r="AF1723" s="22"/>
    </row>
    <row r="1724" spans="29:32" x14ac:dyDescent="0.2">
      <c r="AC1724" s="20"/>
      <c r="AE1724" s="22"/>
      <c r="AF1724" s="22"/>
    </row>
    <row r="1725" spans="29:32" x14ac:dyDescent="0.2">
      <c r="AC1725" s="20"/>
      <c r="AE1725" s="22"/>
      <c r="AF1725" s="22"/>
    </row>
    <row r="1726" spans="29:32" x14ac:dyDescent="0.2">
      <c r="AC1726" s="20"/>
      <c r="AE1726" s="22"/>
      <c r="AF1726" s="22"/>
    </row>
    <row r="1727" spans="29:32" x14ac:dyDescent="0.2">
      <c r="AC1727" s="20"/>
      <c r="AE1727" s="22"/>
      <c r="AF1727" s="22"/>
    </row>
    <row r="1728" spans="29:32" x14ac:dyDescent="0.2">
      <c r="AC1728" s="20"/>
      <c r="AE1728" s="22"/>
      <c r="AF1728" s="22"/>
    </row>
    <row r="1729" spans="29:32" x14ac:dyDescent="0.2">
      <c r="AC1729" s="20"/>
      <c r="AE1729" s="22"/>
      <c r="AF1729" s="22"/>
    </row>
    <row r="1730" spans="29:32" x14ac:dyDescent="0.2">
      <c r="AC1730" s="20"/>
      <c r="AE1730" s="22"/>
      <c r="AF1730" s="22"/>
    </row>
    <row r="1731" spans="29:32" x14ac:dyDescent="0.2">
      <c r="AC1731" s="20"/>
      <c r="AE1731" s="22"/>
      <c r="AF1731" s="22"/>
    </row>
    <row r="1732" spans="29:32" x14ac:dyDescent="0.2">
      <c r="AC1732" s="20"/>
      <c r="AE1732" s="22"/>
      <c r="AF1732" s="22"/>
    </row>
    <row r="1733" spans="29:32" x14ac:dyDescent="0.2">
      <c r="AC1733" s="20"/>
      <c r="AE1733" s="22"/>
      <c r="AF1733" s="22"/>
    </row>
    <row r="1734" spans="29:32" x14ac:dyDescent="0.2">
      <c r="AC1734" s="20"/>
      <c r="AE1734" s="22"/>
      <c r="AF1734" s="22"/>
    </row>
    <row r="1735" spans="29:32" x14ac:dyDescent="0.2">
      <c r="AC1735" s="20"/>
      <c r="AE1735" s="22"/>
      <c r="AF1735" s="22"/>
    </row>
    <row r="1736" spans="29:32" x14ac:dyDescent="0.2">
      <c r="AC1736" s="20"/>
      <c r="AE1736" s="22"/>
      <c r="AF1736" s="22"/>
    </row>
    <row r="1737" spans="29:32" x14ac:dyDescent="0.2">
      <c r="AC1737" s="20"/>
      <c r="AE1737" s="22"/>
      <c r="AF1737" s="22"/>
    </row>
    <row r="1738" spans="29:32" x14ac:dyDescent="0.2">
      <c r="AC1738" s="20"/>
      <c r="AE1738" s="22"/>
      <c r="AF1738" s="22"/>
    </row>
    <row r="1739" spans="29:32" x14ac:dyDescent="0.2">
      <c r="AC1739" s="20"/>
      <c r="AE1739" s="22"/>
      <c r="AF1739" s="22"/>
    </row>
    <row r="1740" spans="29:32" x14ac:dyDescent="0.2">
      <c r="AC1740" s="20"/>
      <c r="AE1740" s="22"/>
      <c r="AF1740" s="22"/>
    </row>
    <row r="1741" spans="29:32" x14ac:dyDescent="0.2">
      <c r="AC1741" s="20"/>
      <c r="AE1741" s="22"/>
      <c r="AF1741" s="22"/>
    </row>
    <row r="1742" spans="29:32" x14ac:dyDescent="0.2">
      <c r="AC1742" s="20"/>
      <c r="AE1742" s="22"/>
      <c r="AF1742" s="22"/>
    </row>
    <row r="1743" spans="29:32" x14ac:dyDescent="0.2">
      <c r="AC1743" s="20"/>
      <c r="AE1743" s="22"/>
      <c r="AF1743" s="22"/>
    </row>
    <row r="1744" spans="29:32" x14ac:dyDescent="0.2">
      <c r="AC1744" s="20"/>
      <c r="AE1744" s="22"/>
      <c r="AF1744" s="22"/>
    </row>
    <row r="1745" spans="29:32" x14ac:dyDescent="0.2">
      <c r="AC1745" s="20"/>
      <c r="AE1745" s="22"/>
      <c r="AF1745" s="22"/>
    </row>
    <row r="1746" spans="29:32" x14ac:dyDescent="0.2">
      <c r="AC1746" s="20"/>
      <c r="AE1746" s="22"/>
      <c r="AF1746" s="22"/>
    </row>
    <row r="1747" spans="29:32" x14ac:dyDescent="0.2">
      <c r="AC1747" s="20"/>
      <c r="AE1747" s="22"/>
      <c r="AF1747" s="22"/>
    </row>
    <row r="1748" spans="29:32" x14ac:dyDescent="0.2">
      <c r="AC1748" s="20"/>
      <c r="AE1748" s="22"/>
      <c r="AF1748" s="22"/>
    </row>
    <row r="1749" spans="29:32" x14ac:dyDescent="0.2">
      <c r="AC1749" s="20"/>
      <c r="AE1749" s="22"/>
      <c r="AF1749" s="22"/>
    </row>
    <row r="1750" spans="29:32" x14ac:dyDescent="0.2">
      <c r="AC1750" s="20"/>
      <c r="AE1750" s="22"/>
      <c r="AF1750" s="22"/>
    </row>
    <row r="1751" spans="29:32" x14ac:dyDescent="0.2">
      <c r="AC1751" s="20"/>
      <c r="AE1751" s="22"/>
      <c r="AF1751" s="22"/>
    </row>
    <row r="1752" spans="29:32" x14ac:dyDescent="0.2">
      <c r="AC1752" s="20"/>
      <c r="AE1752" s="22"/>
      <c r="AF1752" s="22"/>
    </row>
    <row r="1753" spans="29:32" x14ac:dyDescent="0.2">
      <c r="AC1753" s="20"/>
      <c r="AE1753" s="22"/>
      <c r="AF1753" s="22"/>
    </row>
    <row r="1754" spans="29:32" x14ac:dyDescent="0.2">
      <c r="AC1754" s="20"/>
      <c r="AE1754" s="22"/>
      <c r="AF1754" s="22"/>
    </row>
    <row r="1755" spans="29:32" x14ac:dyDescent="0.2">
      <c r="AC1755" s="20"/>
      <c r="AE1755" s="22"/>
      <c r="AF1755" s="22"/>
    </row>
    <row r="1756" spans="29:32" x14ac:dyDescent="0.2">
      <c r="AC1756" s="20"/>
      <c r="AE1756" s="22"/>
      <c r="AF1756" s="22"/>
    </row>
    <row r="1757" spans="29:32" x14ac:dyDescent="0.2">
      <c r="AC1757" s="20"/>
      <c r="AE1757" s="22"/>
      <c r="AF1757" s="22"/>
    </row>
    <row r="1758" spans="29:32" x14ac:dyDescent="0.2">
      <c r="AC1758" s="20"/>
      <c r="AE1758" s="22"/>
      <c r="AF1758" s="22"/>
    </row>
    <row r="1759" spans="29:32" x14ac:dyDescent="0.2">
      <c r="AC1759" s="20"/>
      <c r="AE1759" s="22"/>
      <c r="AF1759" s="22"/>
    </row>
    <row r="1760" spans="29:32" x14ac:dyDescent="0.2">
      <c r="AC1760" s="20"/>
      <c r="AE1760" s="22"/>
      <c r="AF1760" s="22"/>
    </row>
    <row r="1761" spans="29:32" x14ac:dyDescent="0.2">
      <c r="AC1761" s="20"/>
      <c r="AE1761" s="22"/>
      <c r="AF1761" s="22"/>
    </row>
    <row r="1762" spans="29:32" x14ac:dyDescent="0.2">
      <c r="AC1762" s="20"/>
      <c r="AE1762" s="22"/>
      <c r="AF1762" s="22"/>
    </row>
    <row r="1763" spans="29:32" x14ac:dyDescent="0.2">
      <c r="AC1763" s="20"/>
      <c r="AE1763" s="22"/>
      <c r="AF1763" s="22"/>
    </row>
    <row r="1764" spans="29:32" x14ac:dyDescent="0.2">
      <c r="AC1764" s="20"/>
      <c r="AE1764" s="22"/>
      <c r="AF1764" s="22"/>
    </row>
    <row r="1765" spans="29:32" x14ac:dyDescent="0.2">
      <c r="AC1765" s="20"/>
      <c r="AE1765" s="22"/>
      <c r="AF1765" s="22"/>
    </row>
    <row r="1766" spans="29:32" x14ac:dyDescent="0.2">
      <c r="AC1766" s="20"/>
      <c r="AE1766" s="22"/>
      <c r="AF1766" s="22"/>
    </row>
    <row r="1767" spans="29:32" x14ac:dyDescent="0.2">
      <c r="AC1767" s="20"/>
      <c r="AE1767" s="22"/>
      <c r="AF1767" s="22"/>
    </row>
    <row r="1768" spans="29:32" x14ac:dyDescent="0.2">
      <c r="AC1768" s="20"/>
      <c r="AE1768" s="22"/>
      <c r="AF1768" s="22"/>
    </row>
    <row r="1769" spans="29:32" x14ac:dyDescent="0.2">
      <c r="AC1769" s="20"/>
      <c r="AE1769" s="22"/>
      <c r="AF1769" s="22"/>
    </row>
    <row r="1770" spans="29:32" x14ac:dyDescent="0.2">
      <c r="AC1770" s="20"/>
      <c r="AE1770" s="22"/>
      <c r="AF1770" s="22"/>
    </row>
    <row r="1771" spans="29:32" x14ac:dyDescent="0.2">
      <c r="AC1771" s="20"/>
      <c r="AE1771" s="22"/>
      <c r="AF1771" s="22"/>
    </row>
    <row r="1772" spans="29:32" x14ac:dyDescent="0.2">
      <c r="AC1772" s="20"/>
      <c r="AE1772" s="22"/>
      <c r="AF1772" s="22"/>
    </row>
    <row r="1773" spans="29:32" x14ac:dyDescent="0.2">
      <c r="AC1773" s="20"/>
      <c r="AE1773" s="22"/>
      <c r="AF1773" s="22"/>
    </row>
    <row r="1774" spans="29:32" x14ac:dyDescent="0.2">
      <c r="AC1774" s="20"/>
      <c r="AE1774" s="22"/>
      <c r="AF1774" s="22"/>
    </row>
    <row r="1775" spans="29:32" x14ac:dyDescent="0.2">
      <c r="AC1775" s="20"/>
      <c r="AE1775" s="22"/>
      <c r="AF1775" s="22"/>
    </row>
    <row r="1776" spans="29:32" x14ac:dyDescent="0.2">
      <c r="AC1776" s="20"/>
      <c r="AE1776" s="22"/>
      <c r="AF1776" s="22"/>
    </row>
    <row r="1777" spans="29:32" x14ac:dyDescent="0.2">
      <c r="AC1777" s="20"/>
      <c r="AE1777" s="22"/>
      <c r="AF1777" s="22"/>
    </row>
    <row r="1778" spans="29:32" x14ac:dyDescent="0.2">
      <c r="AC1778" s="20"/>
      <c r="AE1778" s="22"/>
      <c r="AF1778" s="22"/>
    </row>
    <row r="1779" spans="29:32" x14ac:dyDescent="0.2">
      <c r="AC1779" s="20"/>
      <c r="AE1779" s="22"/>
      <c r="AF1779" s="22"/>
    </row>
    <row r="1780" spans="29:32" x14ac:dyDescent="0.2">
      <c r="AC1780" s="20"/>
      <c r="AE1780" s="22"/>
      <c r="AF1780" s="22"/>
    </row>
    <row r="1781" spans="29:32" x14ac:dyDescent="0.2">
      <c r="AC1781" s="20"/>
      <c r="AE1781" s="22"/>
      <c r="AF1781" s="22"/>
    </row>
    <row r="1782" spans="29:32" x14ac:dyDescent="0.2">
      <c r="AC1782" s="20"/>
      <c r="AE1782" s="22"/>
      <c r="AF1782" s="22"/>
    </row>
    <row r="1783" spans="29:32" x14ac:dyDescent="0.2">
      <c r="AC1783" s="20"/>
      <c r="AE1783" s="22"/>
      <c r="AF1783" s="22"/>
    </row>
    <row r="1784" spans="29:32" x14ac:dyDescent="0.2">
      <c r="AC1784" s="20"/>
      <c r="AE1784" s="22"/>
      <c r="AF1784" s="22"/>
    </row>
    <row r="1785" spans="29:32" x14ac:dyDescent="0.2">
      <c r="AC1785" s="20"/>
      <c r="AE1785" s="22"/>
      <c r="AF1785" s="22"/>
    </row>
    <row r="1786" spans="29:32" x14ac:dyDescent="0.2">
      <c r="AC1786" s="20"/>
      <c r="AE1786" s="22"/>
      <c r="AF1786" s="22"/>
    </row>
    <row r="1787" spans="29:32" x14ac:dyDescent="0.2">
      <c r="AC1787" s="20"/>
      <c r="AE1787" s="22"/>
      <c r="AF1787" s="22"/>
    </row>
    <row r="1788" spans="29:32" x14ac:dyDescent="0.2">
      <c r="AC1788" s="20"/>
      <c r="AE1788" s="22"/>
      <c r="AF1788" s="22"/>
    </row>
    <row r="1789" spans="29:32" x14ac:dyDescent="0.2">
      <c r="AC1789" s="20"/>
      <c r="AE1789" s="22"/>
      <c r="AF1789" s="22"/>
    </row>
    <row r="1790" spans="29:32" x14ac:dyDescent="0.2">
      <c r="AC1790" s="20"/>
      <c r="AE1790" s="22"/>
      <c r="AF1790" s="22"/>
    </row>
    <row r="1791" spans="29:32" x14ac:dyDescent="0.2">
      <c r="AC1791" s="20"/>
      <c r="AE1791" s="22"/>
      <c r="AF1791" s="22"/>
    </row>
    <row r="1792" spans="29:32" x14ac:dyDescent="0.2">
      <c r="AC1792" s="20"/>
      <c r="AE1792" s="22"/>
      <c r="AF1792" s="22"/>
    </row>
    <row r="1793" spans="29:32" x14ac:dyDescent="0.2">
      <c r="AC1793" s="20"/>
      <c r="AE1793" s="22"/>
      <c r="AF1793" s="22"/>
    </row>
    <row r="1794" spans="29:32" x14ac:dyDescent="0.2">
      <c r="AC1794" s="20"/>
      <c r="AE1794" s="22"/>
      <c r="AF1794" s="22"/>
    </row>
    <row r="1795" spans="29:32" x14ac:dyDescent="0.2">
      <c r="AC1795" s="20"/>
      <c r="AE1795" s="22"/>
      <c r="AF1795" s="22"/>
    </row>
    <row r="1796" spans="29:32" x14ac:dyDescent="0.2">
      <c r="AC1796" s="20"/>
      <c r="AE1796" s="22"/>
      <c r="AF1796" s="22"/>
    </row>
    <row r="1797" spans="29:32" x14ac:dyDescent="0.2">
      <c r="AC1797" s="20"/>
      <c r="AE1797" s="22"/>
      <c r="AF1797" s="22"/>
    </row>
    <row r="1798" spans="29:32" x14ac:dyDescent="0.2">
      <c r="AC1798" s="20"/>
      <c r="AE1798" s="22"/>
      <c r="AF1798" s="22"/>
    </row>
    <row r="1799" spans="29:32" x14ac:dyDescent="0.2">
      <c r="AC1799" s="20"/>
      <c r="AE1799" s="22"/>
      <c r="AF1799" s="22"/>
    </row>
    <row r="1800" spans="29:32" x14ac:dyDescent="0.2">
      <c r="AC1800" s="20"/>
      <c r="AE1800" s="22"/>
      <c r="AF1800" s="22"/>
    </row>
    <row r="1801" spans="29:32" x14ac:dyDescent="0.2">
      <c r="AC1801" s="20"/>
      <c r="AE1801" s="22"/>
      <c r="AF1801" s="22"/>
    </row>
    <row r="1802" spans="29:32" x14ac:dyDescent="0.2">
      <c r="AC1802" s="20"/>
      <c r="AE1802" s="22"/>
      <c r="AF1802" s="22"/>
    </row>
    <row r="1803" spans="29:32" x14ac:dyDescent="0.2">
      <c r="AC1803" s="20"/>
      <c r="AE1803" s="22"/>
      <c r="AF1803" s="22"/>
    </row>
    <row r="1804" spans="29:32" x14ac:dyDescent="0.2">
      <c r="AC1804" s="20"/>
      <c r="AE1804" s="22"/>
      <c r="AF1804" s="22"/>
    </row>
    <row r="1805" spans="29:32" x14ac:dyDescent="0.2">
      <c r="AC1805" s="20"/>
      <c r="AE1805" s="22"/>
      <c r="AF1805" s="22"/>
    </row>
    <row r="1806" spans="29:32" x14ac:dyDescent="0.2">
      <c r="AC1806" s="20"/>
      <c r="AE1806" s="22"/>
      <c r="AF1806" s="22"/>
    </row>
    <row r="1807" spans="29:32" x14ac:dyDescent="0.2">
      <c r="AC1807" s="20"/>
      <c r="AE1807" s="22"/>
      <c r="AF1807" s="22"/>
    </row>
    <row r="1808" spans="29:32" x14ac:dyDescent="0.2">
      <c r="AC1808" s="20"/>
      <c r="AE1808" s="22"/>
      <c r="AF1808" s="22"/>
    </row>
    <row r="1809" spans="29:32" x14ac:dyDescent="0.2">
      <c r="AC1809" s="20"/>
      <c r="AE1809" s="22"/>
      <c r="AF1809" s="22"/>
    </row>
    <row r="1810" spans="29:32" x14ac:dyDescent="0.2">
      <c r="AC1810" s="20"/>
      <c r="AE1810" s="22"/>
      <c r="AF1810" s="22"/>
    </row>
    <row r="1811" spans="29:32" x14ac:dyDescent="0.2">
      <c r="AC1811" s="20"/>
      <c r="AE1811" s="22"/>
      <c r="AF1811" s="22"/>
    </row>
    <row r="1812" spans="29:32" x14ac:dyDescent="0.2">
      <c r="AC1812" s="20"/>
      <c r="AE1812" s="22"/>
      <c r="AF1812" s="22"/>
    </row>
    <row r="1813" spans="29:32" x14ac:dyDescent="0.2">
      <c r="AC1813" s="20"/>
      <c r="AE1813" s="22"/>
      <c r="AF1813" s="22"/>
    </row>
    <row r="1814" spans="29:32" x14ac:dyDescent="0.2">
      <c r="AC1814" s="20"/>
      <c r="AE1814" s="22"/>
      <c r="AF1814" s="22"/>
    </row>
    <row r="1815" spans="29:32" x14ac:dyDescent="0.2">
      <c r="AC1815" s="20"/>
      <c r="AE1815" s="22"/>
      <c r="AF1815" s="22"/>
    </row>
    <row r="1816" spans="29:32" x14ac:dyDescent="0.2">
      <c r="AC1816" s="20"/>
      <c r="AE1816" s="22"/>
      <c r="AF1816" s="22"/>
    </row>
    <row r="1817" spans="29:32" x14ac:dyDescent="0.2">
      <c r="AC1817" s="20"/>
      <c r="AE1817" s="22"/>
      <c r="AF1817" s="22"/>
    </row>
    <row r="1818" spans="29:32" x14ac:dyDescent="0.2">
      <c r="AC1818" s="20"/>
      <c r="AE1818" s="22"/>
      <c r="AF1818" s="22"/>
    </row>
    <row r="1819" spans="29:32" x14ac:dyDescent="0.2">
      <c r="AC1819" s="20"/>
      <c r="AE1819" s="22"/>
      <c r="AF1819" s="22"/>
    </row>
    <row r="1820" spans="29:32" x14ac:dyDescent="0.2">
      <c r="AC1820" s="20"/>
      <c r="AE1820" s="22"/>
      <c r="AF1820" s="22"/>
    </row>
    <row r="1821" spans="29:32" x14ac:dyDescent="0.2">
      <c r="AC1821" s="20"/>
      <c r="AE1821" s="22"/>
      <c r="AF1821" s="22"/>
    </row>
    <row r="1822" spans="29:32" x14ac:dyDescent="0.2">
      <c r="AC1822" s="20"/>
      <c r="AE1822" s="22"/>
      <c r="AF1822" s="22"/>
    </row>
    <row r="1823" spans="29:32" x14ac:dyDescent="0.2">
      <c r="AC1823" s="20"/>
      <c r="AE1823" s="22"/>
      <c r="AF1823" s="22"/>
    </row>
    <row r="1824" spans="29:32" x14ac:dyDescent="0.2">
      <c r="AC1824" s="20"/>
      <c r="AE1824" s="22"/>
      <c r="AF1824" s="22"/>
    </row>
    <row r="1825" spans="29:32" x14ac:dyDescent="0.2">
      <c r="AC1825" s="20"/>
      <c r="AE1825" s="22"/>
      <c r="AF1825" s="22"/>
    </row>
    <row r="1826" spans="29:32" x14ac:dyDescent="0.2">
      <c r="AC1826" s="20"/>
      <c r="AE1826" s="22"/>
      <c r="AF1826" s="22"/>
    </row>
    <row r="1827" spans="29:32" x14ac:dyDescent="0.2">
      <c r="AC1827" s="20"/>
      <c r="AE1827" s="22"/>
      <c r="AF1827" s="22"/>
    </row>
    <row r="1828" spans="29:32" x14ac:dyDescent="0.2">
      <c r="AC1828" s="20"/>
      <c r="AE1828" s="22"/>
      <c r="AF1828" s="22"/>
    </row>
    <row r="1829" spans="29:32" x14ac:dyDescent="0.2">
      <c r="AC1829" s="20"/>
      <c r="AE1829" s="22"/>
      <c r="AF1829" s="22"/>
    </row>
    <row r="1830" spans="29:32" x14ac:dyDescent="0.2">
      <c r="AC1830" s="20"/>
      <c r="AE1830" s="22"/>
      <c r="AF1830" s="22"/>
    </row>
    <row r="1831" spans="29:32" x14ac:dyDescent="0.2">
      <c r="AC1831" s="20"/>
      <c r="AE1831" s="22"/>
      <c r="AF1831" s="22"/>
    </row>
    <row r="1832" spans="29:32" x14ac:dyDescent="0.2">
      <c r="AC1832" s="20"/>
      <c r="AE1832" s="22"/>
      <c r="AF1832" s="22"/>
    </row>
    <row r="1833" spans="29:32" x14ac:dyDescent="0.2">
      <c r="AC1833" s="20"/>
      <c r="AE1833" s="22"/>
      <c r="AF1833" s="22"/>
    </row>
    <row r="1834" spans="29:32" x14ac:dyDescent="0.2">
      <c r="AC1834" s="20"/>
      <c r="AE1834" s="22"/>
      <c r="AF1834" s="22"/>
    </row>
    <row r="1835" spans="29:32" x14ac:dyDescent="0.2">
      <c r="AC1835" s="20"/>
      <c r="AE1835" s="22"/>
      <c r="AF1835" s="22"/>
    </row>
    <row r="1836" spans="29:32" x14ac:dyDescent="0.2">
      <c r="AC1836" s="20"/>
      <c r="AE1836" s="22"/>
      <c r="AF1836" s="22"/>
    </row>
    <row r="1837" spans="29:32" x14ac:dyDescent="0.2">
      <c r="AC1837" s="20"/>
      <c r="AE1837" s="22"/>
      <c r="AF1837" s="22"/>
    </row>
    <row r="1838" spans="29:32" x14ac:dyDescent="0.2">
      <c r="AC1838" s="20"/>
      <c r="AE1838" s="22"/>
      <c r="AF1838" s="22"/>
    </row>
    <row r="1839" spans="29:32" x14ac:dyDescent="0.2">
      <c r="AC1839" s="20"/>
      <c r="AE1839" s="22"/>
      <c r="AF1839" s="22"/>
    </row>
    <row r="1840" spans="29:32" x14ac:dyDescent="0.2">
      <c r="AC1840" s="20"/>
      <c r="AE1840" s="22"/>
      <c r="AF1840" s="22"/>
    </row>
    <row r="1841" spans="29:32" x14ac:dyDescent="0.2">
      <c r="AC1841" s="20"/>
      <c r="AE1841" s="22"/>
      <c r="AF1841" s="22"/>
    </row>
    <row r="1842" spans="29:32" x14ac:dyDescent="0.2">
      <c r="AC1842" s="20"/>
      <c r="AE1842" s="22"/>
      <c r="AF1842" s="22"/>
    </row>
    <row r="1843" spans="29:32" x14ac:dyDescent="0.2">
      <c r="AC1843" s="20"/>
      <c r="AE1843" s="22"/>
      <c r="AF1843" s="22"/>
    </row>
    <row r="1844" spans="29:32" x14ac:dyDescent="0.2">
      <c r="AC1844" s="20"/>
      <c r="AE1844" s="22"/>
      <c r="AF1844" s="22"/>
    </row>
    <row r="1845" spans="29:32" x14ac:dyDescent="0.2">
      <c r="AC1845" s="20"/>
      <c r="AE1845" s="22"/>
      <c r="AF1845" s="22"/>
    </row>
    <row r="1846" spans="29:32" x14ac:dyDescent="0.2">
      <c r="AC1846" s="20"/>
      <c r="AE1846" s="22"/>
      <c r="AF1846" s="22"/>
    </row>
    <row r="1847" spans="29:32" x14ac:dyDescent="0.2">
      <c r="AC1847" s="20"/>
      <c r="AE1847" s="22"/>
      <c r="AF1847" s="22"/>
    </row>
    <row r="1848" spans="29:32" x14ac:dyDescent="0.2">
      <c r="AC1848" s="20"/>
      <c r="AE1848" s="22"/>
      <c r="AF1848" s="22"/>
    </row>
    <row r="1849" spans="29:32" x14ac:dyDescent="0.2">
      <c r="AC1849" s="20"/>
      <c r="AE1849" s="22"/>
      <c r="AF1849" s="22"/>
    </row>
    <row r="1850" spans="29:32" x14ac:dyDescent="0.2">
      <c r="AC1850" s="20"/>
      <c r="AE1850" s="22"/>
      <c r="AF1850" s="22"/>
    </row>
    <row r="1851" spans="29:32" x14ac:dyDescent="0.2">
      <c r="AC1851" s="20"/>
      <c r="AE1851" s="22"/>
      <c r="AF1851" s="22"/>
    </row>
    <row r="1852" spans="29:32" x14ac:dyDescent="0.2">
      <c r="AC1852" s="20"/>
      <c r="AE1852" s="22"/>
      <c r="AF1852" s="22"/>
    </row>
    <row r="1853" spans="29:32" x14ac:dyDescent="0.2">
      <c r="AC1853" s="20"/>
      <c r="AE1853" s="22"/>
      <c r="AF1853" s="22"/>
    </row>
    <row r="1854" spans="29:32" x14ac:dyDescent="0.2">
      <c r="AC1854" s="20"/>
      <c r="AE1854" s="22"/>
      <c r="AF1854" s="22"/>
    </row>
    <row r="1855" spans="29:32" x14ac:dyDescent="0.2">
      <c r="AC1855" s="20"/>
      <c r="AE1855" s="22"/>
      <c r="AF1855" s="22"/>
    </row>
    <row r="1856" spans="29:32" x14ac:dyDescent="0.2">
      <c r="AC1856" s="20"/>
      <c r="AE1856" s="22"/>
      <c r="AF1856" s="22"/>
    </row>
    <row r="1857" spans="29:32" x14ac:dyDescent="0.2">
      <c r="AC1857" s="20"/>
      <c r="AE1857" s="22"/>
      <c r="AF1857" s="22"/>
    </row>
    <row r="1858" spans="29:32" x14ac:dyDescent="0.2">
      <c r="AC1858" s="20"/>
      <c r="AE1858" s="22"/>
      <c r="AF1858" s="22"/>
    </row>
    <row r="1859" spans="29:32" x14ac:dyDescent="0.2">
      <c r="AC1859" s="20"/>
      <c r="AE1859" s="22"/>
      <c r="AF1859" s="22"/>
    </row>
    <row r="1860" spans="29:32" x14ac:dyDescent="0.2">
      <c r="AC1860" s="20"/>
      <c r="AE1860" s="22"/>
      <c r="AF1860" s="22"/>
    </row>
    <row r="1861" spans="29:32" x14ac:dyDescent="0.2">
      <c r="AC1861" s="20"/>
      <c r="AE1861" s="22"/>
      <c r="AF1861" s="22"/>
    </row>
    <row r="1862" spans="29:32" x14ac:dyDescent="0.2">
      <c r="AC1862" s="20"/>
      <c r="AE1862" s="22"/>
      <c r="AF1862" s="22"/>
    </row>
    <row r="1863" spans="29:32" x14ac:dyDescent="0.2">
      <c r="AC1863" s="20"/>
      <c r="AE1863" s="22"/>
      <c r="AF1863" s="22"/>
    </row>
    <row r="1864" spans="29:32" x14ac:dyDescent="0.2">
      <c r="AC1864" s="20"/>
      <c r="AE1864" s="22"/>
      <c r="AF1864" s="22"/>
    </row>
    <row r="1865" spans="29:32" x14ac:dyDescent="0.2">
      <c r="AC1865" s="20"/>
      <c r="AE1865" s="22"/>
      <c r="AF1865" s="22"/>
    </row>
    <row r="1866" spans="29:32" x14ac:dyDescent="0.2">
      <c r="AC1866" s="20"/>
      <c r="AE1866" s="22"/>
      <c r="AF1866" s="22"/>
    </row>
    <row r="1867" spans="29:32" x14ac:dyDescent="0.2">
      <c r="AC1867" s="20"/>
      <c r="AE1867" s="22"/>
      <c r="AF1867" s="22"/>
    </row>
    <row r="1868" spans="29:32" x14ac:dyDescent="0.2">
      <c r="AC1868" s="20"/>
      <c r="AE1868" s="22"/>
      <c r="AF1868" s="22"/>
    </row>
    <row r="1869" spans="29:32" x14ac:dyDescent="0.2">
      <c r="AC1869" s="20"/>
      <c r="AE1869" s="22"/>
      <c r="AF1869" s="22"/>
    </row>
    <row r="1870" spans="29:32" x14ac:dyDescent="0.2">
      <c r="AC1870" s="20"/>
      <c r="AE1870" s="22"/>
      <c r="AF1870" s="22"/>
    </row>
    <row r="1871" spans="29:32" x14ac:dyDescent="0.2">
      <c r="AC1871" s="20"/>
      <c r="AE1871" s="22"/>
      <c r="AF1871" s="22"/>
    </row>
    <row r="1872" spans="29:32" x14ac:dyDescent="0.2">
      <c r="AC1872" s="20"/>
      <c r="AE1872" s="22"/>
      <c r="AF1872" s="22"/>
    </row>
    <row r="1873" spans="29:32" x14ac:dyDescent="0.2">
      <c r="AC1873" s="20"/>
      <c r="AE1873" s="22"/>
      <c r="AF1873" s="22"/>
    </row>
    <row r="1874" spans="29:32" x14ac:dyDescent="0.2">
      <c r="AC1874" s="20"/>
      <c r="AE1874" s="22"/>
      <c r="AF1874" s="22"/>
    </row>
    <row r="1875" spans="29:32" x14ac:dyDescent="0.2">
      <c r="AC1875" s="20"/>
      <c r="AE1875" s="22"/>
      <c r="AF1875" s="22"/>
    </row>
    <row r="1876" spans="29:32" x14ac:dyDescent="0.2">
      <c r="AC1876" s="20"/>
      <c r="AE1876" s="22"/>
      <c r="AF1876" s="22"/>
    </row>
    <row r="1877" spans="29:32" x14ac:dyDescent="0.2">
      <c r="AC1877" s="20"/>
      <c r="AE1877" s="22"/>
      <c r="AF1877" s="22"/>
    </row>
    <row r="1878" spans="29:32" x14ac:dyDescent="0.2">
      <c r="AC1878" s="20"/>
      <c r="AE1878" s="22"/>
      <c r="AF1878" s="22"/>
    </row>
    <row r="1879" spans="29:32" x14ac:dyDescent="0.2">
      <c r="AC1879" s="20"/>
      <c r="AE1879" s="22"/>
      <c r="AF1879" s="22"/>
    </row>
    <row r="1880" spans="29:32" x14ac:dyDescent="0.2">
      <c r="AC1880" s="20"/>
      <c r="AE1880" s="22"/>
      <c r="AF1880" s="22"/>
    </row>
    <row r="1881" spans="29:32" x14ac:dyDescent="0.2">
      <c r="AC1881" s="20"/>
      <c r="AE1881" s="22"/>
      <c r="AF1881" s="22"/>
    </row>
    <row r="1882" spans="29:32" x14ac:dyDescent="0.2">
      <c r="AC1882" s="20"/>
      <c r="AE1882" s="22"/>
      <c r="AF1882" s="22"/>
    </row>
    <row r="1883" spans="29:32" x14ac:dyDescent="0.2">
      <c r="AC1883" s="20"/>
      <c r="AE1883" s="22"/>
      <c r="AF1883" s="22"/>
    </row>
    <row r="1884" spans="29:32" x14ac:dyDescent="0.2">
      <c r="AC1884" s="20"/>
      <c r="AE1884" s="22"/>
      <c r="AF1884" s="22"/>
    </row>
    <row r="1885" spans="29:32" x14ac:dyDescent="0.2">
      <c r="AC1885" s="20"/>
      <c r="AE1885" s="22"/>
      <c r="AF1885" s="22"/>
    </row>
    <row r="1886" spans="29:32" x14ac:dyDescent="0.2">
      <c r="AC1886" s="20"/>
      <c r="AE1886" s="22"/>
      <c r="AF1886" s="22"/>
    </row>
    <row r="1887" spans="29:32" x14ac:dyDescent="0.2">
      <c r="AC1887" s="20"/>
      <c r="AE1887" s="22"/>
      <c r="AF1887" s="22"/>
    </row>
    <row r="1888" spans="29:32" x14ac:dyDescent="0.2">
      <c r="AC1888" s="20"/>
      <c r="AE1888" s="22"/>
      <c r="AF1888" s="22"/>
    </row>
    <row r="1889" spans="29:32" x14ac:dyDescent="0.2">
      <c r="AC1889" s="20"/>
      <c r="AE1889" s="22"/>
      <c r="AF1889" s="22"/>
    </row>
    <row r="1890" spans="29:32" x14ac:dyDescent="0.2">
      <c r="AC1890" s="20"/>
      <c r="AE1890" s="22"/>
      <c r="AF1890" s="22"/>
    </row>
    <row r="1891" spans="29:32" x14ac:dyDescent="0.2">
      <c r="AC1891" s="20"/>
      <c r="AE1891" s="22"/>
      <c r="AF1891" s="22"/>
    </row>
    <row r="1892" spans="29:32" x14ac:dyDescent="0.2">
      <c r="AC1892" s="20"/>
      <c r="AE1892" s="22"/>
      <c r="AF1892" s="22"/>
    </row>
    <row r="1893" spans="29:32" x14ac:dyDescent="0.2">
      <c r="AC1893" s="20"/>
      <c r="AE1893" s="22"/>
      <c r="AF1893" s="22"/>
    </row>
    <row r="1894" spans="29:32" x14ac:dyDescent="0.2">
      <c r="AC1894" s="20"/>
      <c r="AE1894" s="22"/>
      <c r="AF1894" s="22"/>
    </row>
    <row r="1895" spans="29:32" x14ac:dyDescent="0.2">
      <c r="AC1895" s="20"/>
      <c r="AE1895" s="22"/>
      <c r="AF1895" s="22"/>
    </row>
    <row r="1896" spans="29:32" x14ac:dyDescent="0.2">
      <c r="AC1896" s="20"/>
      <c r="AE1896" s="22"/>
      <c r="AF1896" s="22"/>
    </row>
    <row r="1897" spans="29:32" x14ac:dyDescent="0.2">
      <c r="AC1897" s="20"/>
      <c r="AE1897" s="22"/>
      <c r="AF1897" s="22"/>
    </row>
    <row r="1898" spans="29:32" x14ac:dyDescent="0.2">
      <c r="AC1898" s="20"/>
      <c r="AE1898" s="22"/>
      <c r="AF1898" s="22"/>
    </row>
    <row r="1899" spans="29:32" x14ac:dyDescent="0.2">
      <c r="AC1899" s="20"/>
      <c r="AE1899" s="22"/>
      <c r="AF1899" s="22"/>
    </row>
    <row r="1900" spans="29:32" x14ac:dyDescent="0.2">
      <c r="AC1900" s="20"/>
      <c r="AE1900" s="22"/>
      <c r="AF1900" s="22"/>
    </row>
    <row r="1901" spans="29:32" x14ac:dyDescent="0.2">
      <c r="AC1901" s="20"/>
      <c r="AE1901" s="22"/>
      <c r="AF1901" s="22"/>
    </row>
    <row r="1902" spans="29:32" x14ac:dyDescent="0.2">
      <c r="AC1902" s="20"/>
      <c r="AE1902" s="22"/>
      <c r="AF1902" s="22"/>
    </row>
    <row r="1903" spans="29:32" x14ac:dyDescent="0.2">
      <c r="AC1903" s="20"/>
      <c r="AE1903" s="22"/>
      <c r="AF1903" s="22"/>
    </row>
    <row r="1904" spans="29:32" x14ac:dyDescent="0.2">
      <c r="AC1904" s="20"/>
      <c r="AE1904" s="22"/>
      <c r="AF1904" s="22"/>
    </row>
    <row r="1905" spans="29:32" x14ac:dyDescent="0.2">
      <c r="AC1905" s="20"/>
      <c r="AE1905" s="22"/>
      <c r="AF1905" s="22"/>
    </row>
    <row r="1906" spans="29:32" x14ac:dyDescent="0.2">
      <c r="AC1906" s="20"/>
      <c r="AE1906" s="22"/>
      <c r="AF1906" s="22"/>
    </row>
    <row r="1907" spans="29:32" x14ac:dyDescent="0.2">
      <c r="AC1907" s="20"/>
      <c r="AE1907" s="22"/>
      <c r="AF1907" s="22"/>
    </row>
    <row r="1908" spans="29:32" x14ac:dyDescent="0.2">
      <c r="AC1908" s="20"/>
      <c r="AE1908" s="22"/>
      <c r="AF1908" s="22"/>
    </row>
    <row r="1909" spans="29:32" x14ac:dyDescent="0.2">
      <c r="AC1909" s="20"/>
      <c r="AE1909" s="22"/>
      <c r="AF1909" s="22"/>
    </row>
    <row r="1910" spans="29:32" x14ac:dyDescent="0.2">
      <c r="AC1910" s="20"/>
      <c r="AE1910" s="22"/>
      <c r="AF1910" s="22"/>
    </row>
    <row r="1911" spans="29:32" x14ac:dyDescent="0.2">
      <c r="AC1911" s="20"/>
      <c r="AE1911" s="22"/>
      <c r="AF1911" s="22"/>
    </row>
    <row r="1912" spans="29:32" x14ac:dyDescent="0.2">
      <c r="AC1912" s="20"/>
      <c r="AE1912" s="22"/>
      <c r="AF1912" s="22"/>
    </row>
    <row r="1913" spans="29:32" x14ac:dyDescent="0.2">
      <c r="AC1913" s="20"/>
      <c r="AE1913" s="22"/>
      <c r="AF1913" s="22"/>
    </row>
    <row r="1914" spans="29:32" x14ac:dyDescent="0.2">
      <c r="AC1914" s="20"/>
      <c r="AE1914" s="22"/>
      <c r="AF1914" s="22"/>
    </row>
    <row r="1915" spans="29:32" x14ac:dyDescent="0.2">
      <c r="AC1915" s="20"/>
      <c r="AE1915" s="22"/>
      <c r="AF1915" s="22"/>
    </row>
    <row r="1916" spans="29:32" x14ac:dyDescent="0.2">
      <c r="AC1916" s="20"/>
      <c r="AE1916" s="22"/>
      <c r="AF1916" s="22"/>
    </row>
    <row r="1917" spans="29:32" x14ac:dyDescent="0.2">
      <c r="AC1917" s="20"/>
      <c r="AE1917" s="22"/>
      <c r="AF1917" s="22"/>
    </row>
    <row r="1918" spans="29:32" x14ac:dyDescent="0.2">
      <c r="AC1918" s="20"/>
      <c r="AE1918" s="22"/>
      <c r="AF1918" s="22"/>
    </row>
    <row r="1919" spans="29:32" x14ac:dyDescent="0.2">
      <c r="AC1919" s="20"/>
      <c r="AE1919" s="22"/>
      <c r="AF1919" s="22"/>
    </row>
    <row r="1920" spans="29:32" x14ac:dyDescent="0.2">
      <c r="AC1920" s="20"/>
      <c r="AE1920" s="22"/>
      <c r="AF1920" s="22"/>
    </row>
    <row r="1921" spans="29:32" x14ac:dyDescent="0.2">
      <c r="AC1921" s="20"/>
      <c r="AE1921" s="22"/>
      <c r="AF1921" s="22"/>
    </row>
    <row r="1922" spans="29:32" x14ac:dyDescent="0.2">
      <c r="AC1922" s="20"/>
      <c r="AE1922" s="22"/>
      <c r="AF1922" s="22"/>
    </row>
    <row r="1923" spans="29:32" x14ac:dyDescent="0.2">
      <c r="AC1923" s="20"/>
      <c r="AE1923" s="22"/>
      <c r="AF1923" s="22"/>
    </row>
    <row r="1924" spans="29:32" x14ac:dyDescent="0.2">
      <c r="AC1924" s="20"/>
      <c r="AE1924" s="22"/>
      <c r="AF1924" s="22"/>
    </row>
    <row r="1925" spans="29:32" x14ac:dyDescent="0.2">
      <c r="AC1925" s="20"/>
      <c r="AE1925" s="22"/>
      <c r="AF1925" s="22"/>
    </row>
    <row r="1926" spans="29:32" x14ac:dyDescent="0.2">
      <c r="AC1926" s="20"/>
      <c r="AE1926" s="22"/>
      <c r="AF1926" s="22"/>
    </row>
    <row r="1927" spans="29:32" x14ac:dyDescent="0.2">
      <c r="AC1927" s="20"/>
      <c r="AE1927" s="22"/>
      <c r="AF1927" s="22"/>
    </row>
    <row r="1928" spans="29:32" x14ac:dyDescent="0.2">
      <c r="AC1928" s="20"/>
      <c r="AE1928" s="22"/>
      <c r="AF1928" s="22"/>
    </row>
    <row r="1929" spans="29:32" x14ac:dyDescent="0.2">
      <c r="AC1929" s="20"/>
      <c r="AE1929" s="22"/>
      <c r="AF1929" s="22"/>
    </row>
    <row r="1930" spans="29:32" x14ac:dyDescent="0.2">
      <c r="AC1930" s="20"/>
      <c r="AE1930" s="22"/>
      <c r="AF1930" s="22"/>
    </row>
    <row r="1931" spans="29:32" x14ac:dyDescent="0.2">
      <c r="AC1931" s="20"/>
      <c r="AE1931" s="22"/>
      <c r="AF1931" s="22"/>
    </row>
    <row r="1932" spans="29:32" x14ac:dyDescent="0.2">
      <c r="AC1932" s="20"/>
      <c r="AE1932" s="22"/>
      <c r="AF1932" s="22"/>
    </row>
    <row r="1933" spans="29:32" x14ac:dyDescent="0.2">
      <c r="AC1933" s="20"/>
      <c r="AE1933" s="22"/>
      <c r="AF1933" s="22"/>
    </row>
    <row r="1934" spans="29:32" x14ac:dyDescent="0.2">
      <c r="AC1934" s="20"/>
      <c r="AE1934" s="22"/>
      <c r="AF1934" s="22"/>
    </row>
    <row r="1935" spans="29:32" x14ac:dyDescent="0.2">
      <c r="AC1935" s="20"/>
      <c r="AE1935" s="22"/>
      <c r="AF1935" s="22"/>
    </row>
    <row r="1936" spans="29:32" x14ac:dyDescent="0.2">
      <c r="AC1936" s="20"/>
      <c r="AE1936" s="22"/>
      <c r="AF1936" s="22"/>
    </row>
    <row r="1937" spans="29:32" x14ac:dyDescent="0.2">
      <c r="AC1937" s="20"/>
      <c r="AE1937" s="22"/>
      <c r="AF1937" s="22"/>
    </row>
    <row r="1938" spans="29:32" x14ac:dyDescent="0.2">
      <c r="AC1938" s="20"/>
      <c r="AE1938" s="22"/>
      <c r="AF1938" s="22"/>
    </row>
    <row r="1939" spans="29:32" x14ac:dyDescent="0.2">
      <c r="AC1939" s="20"/>
      <c r="AE1939" s="22"/>
      <c r="AF1939" s="22"/>
    </row>
    <row r="1940" spans="29:32" x14ac:dyDescent="0.2">
      <c r="AC1940" s="20"/>
      <c r="AE1940" s="22"/>
      <c r="AF1940" s="22"/>
    </row>
    <row r="1941" spans="29:32" x14ac:dyDescent="0.2">
      <c r="AC1941" s="20"/>
      <c r="AE1941" s="22"/>
      <c r="AF1941" s="22"/>
    </row>
    <row r="1942" spans="29:32" x14ac:dyDescent="0.2">
      <c r="AC1942" s="20"/>
      <c r="AE1942" s="22"/>
      <c r="AF1942" s="22"/>
    </row>
    <row r="1943" spans="29:32" x14ac:dyDescent="0.2">
      <c r="AC1943" s="20"/>
      <c r="AE1943" s="22"/>
      <c r="AF1943" s="22"/>
    </row>
    <row r="1944" spans="29:32" x14ac:dyDescent="0.2">
      <c r="AC1944" s="20"/>
      <c r="AE1944" s="22"/>
      <c r="AF1944" s="22"/>
    </row>
    <row r="1945" spans="29:32" x14ac:dyDescent="0.2">
      <c r="AC1945" s="20"/>
      <c r="AE1945" s="22"/>
      <c r="AF1945" s="22"/>
    </row>
    <row r="1946" spans="29:32" x14ac:dyDescent="0.2">
      <c r="AC1946" s="20"/>
      <c r="AE1946" s="22"/>
      <c r="AF1946" s="22"/>
    </row>
    <row r="1947" spans="29:32" x14ac:dyDescent="0.2">
      <c r="AC1947" s="20"/>
      <c r="AE1947" s="22"/>
      <c r="AF1947" s="22"/>
    </row>
    <row r="1948" spans="29:32" x14ac:dyDescent="0.2">
      <c r="AC1948" s="20"/>
      <c r="AE1948" s="22"/>
      <c r="AF1948" s="22"/>
    </row>
    <row r="1949" spans="29:32" x14ac:dyDescent="0.2">
      <c r="AC1949" s="20"/>
      <c r="AE1949" s="22"/>
      <c r="AF1949" s="22"/>
    </row>
    <row r="1950" spans="29:32" x14ac:dyDescent="0.2">
      <c r="AC1950" s="20"/>
      <c r="AE1950" s="22"/>
      <c r="AF1950" s="22"/>
    </row>
    <row r="1951" spans="29:32" x14ac:dyDescent="0.2">
      <c r="AC1951" s="20"/>
      <c r="AE1951" s="22"/>
      <c r="AF1951" s="22"/>
    </row>
    <row r="1952" spans="29:32" x14ac:dyDescent="0.2">
      <c r="AC1952" s="20"/>
      <c r="AE1952" s="22"/>
      <c r="AF1952" s="22"/>
    </row>
    <row r="1953" spans="29:32" x14ac:dyDescent="0.2">
      <c r="AC1953" s="20"/>
      <c r="AE1953" s="22"/>
      <c r="AF1953" s="22"/>
    </row>
    <row r="1954" spans="29:32" x14ac:dyDescent="0.2">
      <c r="AC1954" s="20"/>
      <c r="AE1954" s="22"/>
      <c r="AF1954" s="22"/>
    </row>
    <row r="1955" spans="29:32" x14ac:dyDescent="0.2">
      <c r="AC1955" s="20"/>
      <c r="AE1955" s="22"/>
      <c r="AF1955" s="22"/>
    </row>
    <row r="1956" spans="29:32" x14ac:dyDescent="0.2">
      <c r="AC1956" s="20"/>
      <c r="AE1956" s="22"/>
      <c r="AF1956" s="22"/>
    </row>
    <row r="1957" spans="29:32" x14ac:dyDescent="0.2">
      <c r="AC1957" s="20"/>
      <c r="AE1957" s="22"/>
      <c r="AF1957" s="22"/>
    </row>
    <row r="1958" spans="29:32" x14ac:dyDescent="0.2">
      <c r="AC1958" s="20"/>
      <c r="AE1958" s="22"/>
      <c r="AF1958" s="22"/>
    </row>
    <row r="1959" spans="29:32" x14ac:dyDescent="0.2">
      <c r="AC1959" s="20"/>
      <c r="AE1959" s="22"/>
      <c r="AF1959" s="22"/>
    </row>
    <row r="1960" spans="29:32" x14ac:dyDescent="0.2">
      <c r="AC1960" s="20"/>
      <c r="AE1960" s="22"/>
      <c r="AF1960" s="22"/>
    </row>
    <row r="1961" spans="29:32" x14ac:dyDescent="0.2">
      <c r="AC1961" s="20"/>
      <c r="AE1961" s="22"/>
      <c r="AF1961" s="22"/>
    </row>
    <row r="1962" spans="29:32" x14ac:dyDescent="0.2">
      <c r="AC1962" s="20"/>
      <c r="AE1962" s="22"/>
      <c r="AF1962" s="22"/>
    </row>
    <row r="1963" spans="29:32" x14ac:dyDescent="0.2">
      <c r="AC1963" s="20"/>
      <c r="AE1963" s="22"/>
      <c r="AF1963" s="22"/>
    </row>
    <row r="1964" spans="29:32" x14ac:dyDescent="0.2">
      <c r="AC1964" s="20"/>
      <c r="AE1964" s="22"/>
      <c r="AF1964" s="22"/>
    </row>
    <row r="1965" spans="29:32" x14ac:dyDescent="0.2">
      <c r="AC1965" s="20"/>
      <c r="AE1965" s="22"/>
      <c r="AF1965" s="22"/>
    </row>
    <row r="1966" spans="29:32" x14ac:dyDescent="0.2">
      <c r="AC1966" s="20"/>
      <c r="AE1966" s="22"/>
      <c r="AF1966" s="22"/>
    </row>
    <row r="1967" spans="29:32" x14ac:dyDescent="0.2">
      <c r="AC1967" s="20"/>
      <c r="AE1967" s="22"/>
      <c r="AF1967" s="22"/>
    </row>
    <row r="1968" spans="29:32" x14ac:dyDescent="0.2">
      <c r="AC1968" s="20"/>
      <c r="AE1968" s="22"/>
      <c r="AF1968" s="22"/>
    </row>
    <row r="1969" spans="29:32" x14ac:dyDescent="0.2">
      <c r="AC1969" s="20"/>
      <c r="AE1969" s="22"/>
      <c r="AF1969" s="22"/>
    </row>
    <row r="1970" spans="29:32" x14ac:dyDescent="0.2">
      <c r="AC1970" s="20"/>
      <c r="AE1970" s="22"/>
      <c r="AF1970" s="22"/>
    </row>
    <row r="1971" spans="29:32" x14ac:dyDescent="0.2">
      <c r="AC1971" s="20"/>
      <c r="AE1971" s="22"/>
      <c r="AF1971" s="22"/>
    </row>
    <row r="1972" spans="29:32" x14ac:dyDescent="0.2">
      <c r="AC1972" s="20"/>
      <c r="AE1972" s="22"/>
      <c r="AF1972" s="22"/>
    </row>
    <row r="1973" spans="29:32" x14ac:dyDescent="0.2">
      <c r="AC1973" s="20"/>
      <c r="AE1973" s="22"/>
      <c r="AF1973" s="22"/>
    </row>
    <row r="1974" spans="29:32" x14ac:dyDescent="0.2">
      <c r="AC1974" s="20"/>
      <c r="AE1974" s="22"/>
      <c r="AF1974" s="22"/>
    </row>
    <row r="1975" spans="29:32" x14ac:dyDescent="0.2">
      <c r="AC1975" s="20"/>
      <c r="AE1975" s="22"/>
      <c r="AF1975" s="22"/>
    </row>
    <row r="1976" spans="29:32" x14ac:dyDescent="0.2">
      <c r="AC1976" s="20"/>
      <c r="AE1976" s="22"/>
      <c r="AF1976" s="22"/>
    </row>
    <row r="1977" spans="29:32" x14ac:dyDescent="0.2">
      <c r="AC1977" s="20"/>
      <c r="AE1977" s="22"/>
      <c r="AF1977" s="22"/>
    </row>
    <row r="1978" spans="29:32" x14ac:dyDescent="0.2">
      <c r="AC1978" s="20"/>
      <c r="AE1978" s="22"/>
      <c r="AF1978" s="22"/>
    </row>
    <row r="1979" spans="29:32" x14ac:dyDescent="0.2">
      <c r="AC1979" s="20"/>
      <c r="AE1979" s="22"/>
      <c r="AF1979" s="22"/>
    </row>
    <row r="1980" spans="29:32" x14ac:dyDescent="0.2">
      <c r="AC1980" s="20"/>
      <c r="AE1980" s="22"/>
      <c r="AF1980" s="22"/>
    </row>
    <row r="1981" spans="29:32" x14ac:dyDescent="0.2">
      <c r="AC1981" s="20"/>
      <c r="AE1981" s="22"/>
      <c r="AF1981" s="22"/>
    </row>
    <row r="1982" spans="29:32" x14ac:dyDescent="0.2">
      <c r="AC1982" s="20"/>
      <c r="AE1982" s="22"/>
      <c r="AF1982" s="22"/>
    </row>
    <row r="1983" spans="29:32" x14ac:dyDescent="0.2">
      <c r="AC1983" s="20"/>
      <c r="AE1983" s="22"/>
      <c r="AF1983" s="22"/>
    </row>
    <row r="1984" spans="29:32" x14ac:dyDescent="0.2">
      <c r="AC1984" s="20"/>
      <c r="AE1984" s="22"/>
      <c r="AF1984" s="22"/>
    </row>
    <row r="1985" spans="29:32" x14ac:dyDescent="0.2">
      <c r="AC1985" s="20"/>
      <c r="AE1985" s="22"/>
      <c r="AF1985" s="22"/>
    </row>
    <row r="1986" spans="29:32" x14ac:dyDescent="0.2">
      <c r="AC1986" s="20"/>
      <c r="AE1986" s="22"/>
      <c r="AF1986" s="22"/>
    </row>
    <row r="1987" spans="29:32" x14ac:dyDescent="0.2">
      <c r="AC1987" s="20"/>
      <c r="AE1987" s="22"/>
      <c r="AF1987" s="22"/>
    </row>
    <row r="1988" spans="29:32" x14ac:dyDescent="0.2">
      <c r="AC1988" s="20"/>
      <c r="AE1988" s="22"/>
      <c r="AF1988" s="22"/>
    </row>
    <row r="1989" spans="29:32" x14ac:dyDescent="0.2">
      <c r="AC1989" s="20"/>
      <c r="AE1989" s="22"/>
      <c r="AF1989" s="22"/>
    </row>
    <row r="1990" spans="29:32" x14ac:dyDescent="0.2">
      <c r="AC1990" s="20"/>
      <c r="AE1990" s="22"/>
      <c r="AF1990" s="22"/>
    </row>
    <row r="1991" spans="29:32" x14ac:dyDescent="0.2">
      <c r="AC1991" s="20"/>
      <c r="AE1991" s="22"/>
      <c r="AF1991" s="22"/>
    </row>
    <row r="1992" spans="29:32" x14ac:dyDescent="0.2">
      <c r="AC1992" s="20"/>
      <c r="AE1992" s="22"/>
      <c r="AF1992" s="22"/>
    </row>
    <row r="1993" spans="29:32" x14ac:dyDescent="0.2">
      <c r="AC1993" s="20"/>
      <c r="AE1993" s="22"/>
      <c r="AF1993" s="22"/>
    </row>
    <row r="1994" spans="29:32" x14ac:dyDescent="0.2">
      <c r="AC1994" s="20"/>
      <c r="AE1994" s="22"/>
      <c r="AF1994" s="22"/>
    </row>
    <row r="1995" spans="29:32" x14ac:dyDescent="0.2">
      <c r="AC1995" s="20"/>
      <c r="AE1995" s="22"/>
      <c r="AF1995" s="22"/>
    </row>
    <row r="1996" spans="29:32" x14ac:dyDescent="0.2">
      <c r="AC1996" s="20"/>
      <c r="AE1996" s="22"/>
      <c r="AF1996" s="22"/>
    </row>
    <row r="1997" spans="29:32" x14ac:dyDescent="0.2">
      <c r="AC1997" s="20"/>
      <c r="AE1997" s="22"/>
      <c r="AF1997" s="22"/>
    </row>
    <row r="1998" spans="29:32" x14ac:dyDescent="0.2">
      <c r="AC1998" s="20"/>
      <c r="AE1998" s="22"/>
      <c r="AF1998" s="22"/>
    </row>
    <row r="1999" spans="29:32" x14ac:dyDescent="0.2">
      <c r="AC1999" s="20"/>
      <c r="AE1999" s="22"/>
      <c r="AF1999" s="22"/>
    </row>
    <row r="2000" spans="29:32" x14ac:dyDescent="0.2">
      <c r="AC2000" s="20"/>
      <c r="AE2000" s="22"/>
      <c r="AF2000" s="22"/>
    </row>
    <row r="2001" spans="29:32" x14ac:dyDescent="0.2">
      <c r="AC2001" s="20"/>
      <c r="AE2001" s="22"/>
      <c r="AF2001" s="22"/>
    </row>
    <row r="2002" spans="29:32" x14ac:dyDescent="0.2">
      <c r="AC2002" s="20"/>
      <c r="AE2002" s="22"/>
      <c r="AF2002" s="22"/>
    </row>
    <row r="2003" spans="29:32" x14ac:dyDescent="0.2">
      <c r="AC2003" s="20"/>
      <c r="AE2003" s="22"/>
      <c r="AF2003" s="22"/>
    </row>
    <row r="2004" spans="29:32" x14ac:dyDescent="0.2">
      <c r="AC2004" s="20"/>
      <c r="AE2004" s="22"/>
      <c r="AF2004" s="22"/>
    </row>
    <row r="2005" spans="29:32" x14ac:dyDescent="0.2">
      <c r="AC2005" s="20"/>
      <c r="AE2005" s="22"/>
      <c r="AF2005" s="22"/>
    </row>
    <row r="2006" spans="29:32" x14ac:dyDescent="0.2">
      <c r="AC2006" s="20"/>
      <c r="AE2006" s="22"/>
      <c r="AF2006" s="22"/>
    </row>
    <row r="2007" spans="29:32" x14ac:dyDescent="0.2">
      <c r="AC2007" s="20"/>
      <c r="AE2007" s="22"/>
      <c r="AF2007" s="22"/>
    </row>
    <row r="2008" spans="29:32" x14ac:dyDescent="0.2">
      <c r="AC2008" s="20"/>
      <c r="AE2008" s="22"/>
      <c r="AF2008" s="22"/>
    </row>
    <row r="2009" spans="29:32" x14ac:dyDescent="0.2">
      <c r="AC2009" s="20"/>
      <c r="AE2009" s="22"/>
      <c r="AF2009" s="22"/>
    </row>
    <row r="2010" spans="29:32" x14ac:dyDescent="0.2">
      <c r="AC2010" s="20"/>
      <c r="AE2010" s="22"/>
      <c r="AF2010" s="22"/>
    </row>
    <row r="2011" spans="29:32" x14ac:dyDescent="0.2">
      <c r="AC2011" s="20"/>
      <c r="AE2011" s="22"/>
      <c r="AF2011" s="22"/>
    </row>
    <row r="2012" spans="29:32" x14ac:dyDescent="0.2">
      <c r="AC2012" s="20"/>
      <c r="AE2012" s="22"/>
      <c r="AF2012" s="22"/>
    </row>
    <row r="2013" spans="29:32" x14ac:dyDescent="0.2">
      <c r="AC2013" s="20"/>
      <c r="AE2013" s="22"/>
      <c r="AF2013" s="22"/>
    </row>
    <row r="2014" spans="29:32" x14ac:dyDescent="0.2">
      <c r="AC2014" s="20"/>
      <c r="AE2014" s="22"/>
      <c r="AF2014" s="22"/>
    </row>
    <row r="2015" spans="29:32" x14ac:dyDescent="0.2">
      <c r="AC2015" s="20"/>
      <c r="AE2015" s="22"/>
      <c r="AF2015" s="22"/>
    </row>
    <row r="2016" spans="29:32" x14ac:dyDescent="0.2">
      <c r="AC2016" s="20"/>
      <c r="AE2016" s="22"/>
      <c r="AF2016" s="22"/>
    </row>
    <row r="2017" spans="29:32" x14ac:dyDescent="0.2">
      <c r="AC2017" s="20"/>
      <c r="AE2017" s="22"/>
      <c r="AF2017" s="22"/>
    </row>
    <row r="2018" spans="29:32" x14ac:dyDescent="0.2">
      <c r="AC2018" s="20"/>
      <c r="AE2018" s="22"/>
      <c r="AF2018" s="22"/>
    </row>
    <row r="2019" spans="29:32" x14ac:dyDescent="0.2">
      <c r="AC2019" s="20"/>
      <c r="AE2019" s="22"/>
      <c r="AF2019" s="22"/>
    </row>
    <row r="2020" spans="29:32" x14ac:dyDescent="0.2">
      <c r="AC2020" s="20"/>
      <c r="AE2020" s="22"/>
      <c r="AF2020" s="22"/>
    </row>
    <row r="2021" spans="29:32" x14ac:dyDescent="0.2">
      <c r="AC2021" s="20"/>
      <c r="AE2021" s="22"/>
      <c r="AF2021" s="22"/>
    </row>
    <row r="2022" spans="29:32" x14ac:dyDescent="0.2">
      <c r="AC2022" s="20"/>
      <c r="AE2022" s="22"/>
      <c r="AF2022" s="22"/>
    </row>
    <row r="2023" spans="29:32" x14ac:dyDescent="0.2">
      <c r="AC2023" s="20"/>
      <c r="AE2023" s="22"/>
      <c r="AF2023" s="22"/>
    </row>
    <row r="2024" spans="29:32" x14ac:dyDescent="0.2">
      <c r="AC2024" s="20"/>
      <c r="AE2024" s="22"/>
      <c r="AF2024" s="22"/>
    </row>
    <row r="2025" spans="29:32" x14ac:dyDescent="0.2">
      <c r="AC2025" s="20"/>
      <c r="AE2025" s="22"/>
      <c r="AF2025" s="22"/>
    </row>
    <row r="2026" spans="29:32" x14ac:dyDescent="0.2">
      <c r="AC2026" s="20"/>
      <c r="AE2026" s="22"/>
      <c r="AF2026" s="22"/>
    </row>
    <row r="2027" spans="29:32" x14ac:dyDescent="0.2">
      <c r="AC2027" s="20"/>
      <c r="AE2027" s="22"/>
      <c r="AF2027" s="22"/>
    </row>
    <row r="2028" spans="29:32" x14ac:dyDescent="0.2">
      <c r="AC2028" s="20"/>
      <c r="AE2028" s="22"/>
      <c r="AF2028" s="22"/>
    </row>
    <row r="2029" spans="29:32" x14ac:dyDescent="0.2">
      <c r="AC2029" s="20"/>
      <c r="AE2029" s="22"/>
      <c r="AF2029" s="22"/>
    </row>
    <row r="2030" spans="29:32" x14ac:dyDescent="0.2">
      <c r="AC2030" s="20"/>
      <c r="AE2030" s="22"/>
      <c r="AF2030" s="22"/>
    </row>
    <row r="2031" spans="29:32" x14ac:dyDescent="0.2">
      <c r="AC2031" s="20"/>
      <c r="AE2031" s="22"/>
      <c r="AF2031" s="22"/>
    </row>
    <row r="2032" spans="29:32" x14ac:dyDescent="0.2">
      <c r="AC2032" s="20"/>
      <c r="AE2032" s="22"/>
      <c r="AF2032" s="22"/>
    </row>
    <row r="2033" spans="29:32" x14ac:dyDescent="0.2">
      <c r="AC2033" s="20"/>
      <c r="AE2033" s="22"/>
      <c r="AF2033" s="22"/>
    </row>
    <row r="2034" spans="29:32" x14ac:dyDescent="0.2">
      <c r="AC2034" s="20"/>
      <c r="AE2034" s="22"/>
      <c r="AF2034" s="22"/>
    </row>
    <row r="2035" spans="29:32" x14ac:dyDescent="0.2">
      <c r="AC2035" s="20"/>
      <c r="AE2035" s="22"/>
      <c r="AF2035" s="22"/>
    </row>
    <row r="2036" spans="29:32" x14ac:dyDescent="0.2">
      <c r="AC2036" s="20"/>
      <c r="AE2036" s="22"/>
      <c r="AF2036" s="22"/>
    </row>
    <row r="2037" spans="29:32" x14ac:dyDescent="0.2">
      <c r="AC2037" s="20"/>
      <c r="AE2037" s="22"/>
      <c r="AF2037" s="22"/>
    </row>
    <row r="2038" spans="29:32" x14ac:dyDescent="0.2">
      <c r="AC2038" s="20"/>
      <c r="AE2038" s="22"/>
      <c r="AF2038" s="22"/>
    </row>
    <row r="2039" spans="29:32" x14ac:dyDescent="0.2">
      <c r="AC2039" s="20"/>
      <c r="AE2039" s="22"/>
      <c r="AF2039" s="22"/>
    </row>
    <row r="2040" spans="29:32" x14ac:dyDescent="0.2">
      <c r="AC2040" s="20"/>
      <c r="AE2040" s="22"/>
      <c r="AF2040" s="22"/>
    </row>
    <row r="2041" spans="29:32" x14ac:dyDescent="0.2">
      <c r="AC2041" s="20"/>
      <c r="AE2041" s="22"/>
      <c r="AF2041" s="22"/>
    </row>
    <row r="2042" spans="29:32" x14ac:dyDescent="0.2">
      <c r="AC2042" s="20"/>
      <c r="AE2042" s="22"/>
      <c r="AF2042" s="22"/>
    </row>
    <row r="2043" spans="29:32" x14ac:dyDescent="0.2">
      <c r="AC2043" s="20"/>
      <c r="AE2043" s="22"/>
      <c r="AF2043" s="22"/>
    </row>
    <row r="2044" spans="29:32" x14ac:dyDescent="0.2">
      <c r="AC2044" s="20"/>
      <c r="AE2044" s="22"/>
      <c r="AF2044" s="22"/>
    </row>
    <row r="2045" spans="29:32" x14ac:dyDescent="0.2">
      <c r="AC2045" s="20"/>
      <c r="AE2045" s="22"/>
      <c r="AF2045" s="22"/>
    </row>
    <row r="2046" spans="29:32" x14ac:dyDescent="0.2">
      <c r="AC2046" s="20"/>
      <c r="AE2046" s="22"/>
      <c r="AF2046" s="22"/>
    </row>
    <row r="2047" spans="29:32" x14ac:dyDescent="0.2">
      <c r="AC2047" s="20"/>
      <c r="AE2047" s="22"/>
      <c r="AF2047" s="22"/>
    </row>
    <row r="2048" spans="29:32" x14ac:dyDescent="0.2">
      <c r="AC2048" s="20"/>
      <c r="AE2048" s="22"/>
      <c r="AF2048" s="22"/>
    </row>
    <row r="2049" spans="29:32" x14ac:dyDescent="0.2">
      <c r="AC2049" s="20"/>
      <c r="AE2049" s="22"/>
      <c r="AF2049" s="22"/>
    </row>
    <row r="2050" spans="29:32" x14ac:dyDescent="0.2">
      <c r="AC2050" s="20"/>
      <c r="AE2050" s="22"/>
      <c r="AF2050" s="22"/>
    </row>
    <row r="2051" spans="29:32" x14ac:dyDescent="0.2">
      <c r="AC2051" s="20"/>
      <c r="AE2051" s="22"/>
      <c r="AF2051" s="22"/>
    </row>
    <row r="2052" spans="29:32" x14ac:dyDescent="0.2">
      <c r="AC2052" s="20"/>
      <c r="AE2052" s="22"/>
      <c r="AF2052" s="22"/>
    </row>
    <row r="2053" spans="29:32" x14ac:dyDescent="0.2">
      <c r="AC2053" s="20"/>
      <c r="AE2053" s="22"/>
      <c r="AF2053" s="22"/>
    </row>
    <row r="2054" spans="29:32" x14ac:dyDescent="0.2">
      <c r="AC2054" s="20"/>
      <c r="AE2054" s="22"/>
      <c r="AF2054" s="22"/>
    </row>
    <row r="2055" spans="29:32" x14ac:dyDescent="0.2">
      <c r="AC2055" s="20"/>
      <c r="AE2055" s="22"/>
      <c r="AF2055" s="22"/>
    </row>
    <row r="2056" spans="29:32" x14ac:dyDescent="0.2">
      <c r="AC2056" s="20"/>
      <c r="AE2056" s="22"/>
      <c r="AF2056" s="22"/>
    </row>
    <row r="2057" spans="29:32" x14ac:dyDescent="0.2">
      <c r="AC2057" s="20"/>
      <c r="AE2057" s="22"/>
      <c r="AF2057" s="22"/>
    </row>
    <row r="2058" spans="29:32" x14ac:dyDescent="0.2">
      <c r="AC2058" s="20"/>
      <c r="AE2058" s="22"/>
      <c r="AF2058" s="22"/>
    </row>
    <row r="2059" spans="29:32" x14ac:dyDescent="0.2">
      <c r="AC2059" s="20"/>
      <c r="AE2059" s="22"/>
      <c r="AF2059" s="22"/>
    </row>
    <row r="2060" spans="29:32" x14ac:dyDescent="0.2">
      <c r="AC2060" s="20"/>
      <c r="AE2060" s="22"/>
      <c r="AF2060" s="22"/>
    </row>
    <row r="2061" spans="29:32" x14ac:dyDescent="0.2">
      <c r="AC2061" s="20"/>
      <c r="AE2061" s="22"/>
      <c r="AF2061" s="22"/>
    </row>
    <row r="2062" spans="29:32" x14ac:dyDescent="0.2">
      <c r="AC2062" s="20"/>
      <c r="AE2062" s="22"/>
      <c r="AF2062" s="22"/>
    </row>
    <row r="2063" spans="29:32" x14ac:dyDescent="0.2">
      <c r="AC2063" s="20"/>
      <c r="AE2063" s="22"/>
      <c r="AF2063" s="22"/>
    </row>
    <row r="2064" spans="29:32" x14ac:dyDescent="0.2">
      <c r="AC2064" s="20"/>
      <c r="AE2064" s="22"/>
      <c r="AF2064" s="22"/>
    </row>
    <row r="2065" spans="29:32" x14ac:dyDescent="0.2">
      <c r="AC2065" s="20"/>
      <c r="AE2065" s="22"/>
      <c r="AF2065" s="22"/>
    </row>
    <row r="2066" spans="29:32" x14ac:dyDescent="0.2">
      <c r="AC2066" s="20"/>
      <c r="AE2066" s="22"/>
      <c r="AF2066" s="22"/>
    </row>
    <row r="2067" spans="29:32" x14ac:dyDescent="0.2">
      <c r="AC2067" s="20"/>
      <c r="AE2067" s="22"/>
      <c r="AF2067" s="22"/>
    </row>
    <row r="2068" spans="29:32" x14ac:dyDescent="0.2">
      <c r="AC2068" s="20"/>
      <c r="AE2068" s="22"/>
      <c r="AF2068" s="22"/>
    </row>
    <row r="2069" spans="29:32" x14ac:dyDescent="0.2">
      <c r="AC2069" s="20"/>
      <c r="AE2069" s="22"/>
      <c r="AF2069" s="22"/>
    </row>
    <row r="2070" spans="29:32" x14ac:dyDescent="0.2">
      <c r="AC2070" s="20"/>
      <c r="AE2070" s="22"/>
      <c r="AF2070" s="22"/>
    </row>
    <row r="2071" spans="29:32" x14ac:dyDescent="0.2">
      <c r="AC2071" s="20"/>
      <c r="AE2071" s="22"/>
      <c r="AF2071" s="22"/>
    </row>
    <row r="2072" spans="29:32" x14ac:dyDescent="0.2">
      <c r="AC2072" s="20"/>
      <c r="AE2072" s="22"/>
      <c r="AF2072" s="22"/>
    </row>
    <row r="2073" spans="29:32" x14ac:dyDescent="0.2">
      <c r="AC2073" s="20"/>
      <c r="AE2073" s="22"/>
      <c r="AF2073" s="22"/>
    </row>
    <row r="2074" spans="29:32" x14ac:dyDescent="0.2">
      <c r="AC2074" s="20"/>
      <c r="AE2074" s="22"/>
      <c r="AF2074" s="22"/>
    </row>
    <row r="2075" spans="29:32" x14ac:dyDescent="0.2">
      <c r="AC2075" s="20"/>
      <c r="AE2075" s="22"/>
      <c r="AF2075" s="22"/>
    </row>
    <row r="2076" spans="29:32" x14ac:dyDescent="0.2">
      <c r="AC2076" s="20"/>
      <c r="AE2076" s="22"/>
      <c r="AF2076" s="22"/>
    </row>
    <row r="2077" spans="29:32" x14ac:dyDescent="0.2">
      <c r="AC2077" s="20"/>
      <c r="AE2077" s="22"/>
      <c r="AF2077" s="22"/>
    </row>
    <row r="2078" spans="29:32" x14ac:dyDescent="0.2">
      <c r="AC2078" s="20"/>
      <c r="AE2078" s="22"/>
      <c r="AF2078" s="22"/>
    </row>
    <row r="2079" spans="29:32" x14ac:dyDescent="0.2">
      <c r="AC2079" s="20"/>
      <c r="AE2079" s="22"/>
      <c r="AF2079" s="22"/>
    </row>
    <row r="2080" spans="29:32" x14ac:dyDescent="0.2">
      <c r="AC2080" s="20"/>
      <c r="AE2080" s="22"/>
      <c r="AF2080" s="22"/>
    </row>
    <row r="2081" spans="29:32" x14ac:dyDescent="0.2">
      <c r="AC2081" s="20"/>
      <c r="AE2081" s="22"/>
      <c r="AF2081" s="22"/>
    </row>
    <row r="2082" spans="29:32" x14ac:dyDescent="0.2">
      <c r="AC2082" s="20"/>
      <c r="AE2082" s="22"/>
      <c r="AF2082" s="22"/>
    </row>
    <row r="2083" spans="29:32" x14ac:dyDescent="0.2">
      <c r="AC2083" s="20"/>
      <c r="AE2083" s="22"/>
      <c r="AF2083" s="22"/>
    </row>
    <row r="2084" spans="29:32" x14ac:dyDescent="0.2">
      <c r="AC2084" s="20"/>
      <c r="AE2084" s="22"/>
      <c r="AF2084" s="22"/>
    </row>
    <row r="2085" spans="29:32" x14ac:dyDescent="0.2">
      <c r="AC2085" s="20"/>
      <c r="AE2085" s="22"/>
      <c r="AF2085" s="22"/>
    </row>
    <row r="2086" spans="29:32" x14ac:dyDescent="0.2">
      <c r="AC2086" s="20"/>
      <c r="AE2086" s="22"/>
      <c r="AF2086" s="22"/>
    </row>
    <row r="2087" spans="29:32" x14ac:dyDescent="0.2">
      <c r="AC2087" s="20"/>
      <c r="AE2087" s="22"/>
      <c r="AF2087" s="22"/>
    </row>
    <row r="2088" spans="29:32" x14ac:dyDescent="0.2">
      <c r="AC2088" s="20"/>
      <c r="AE2088" s="22"/>
      <c r="AF2088" s="22"/>
    </row>
    <row r="2089" spans="29:32" x14ac:dyDescent="0.2">
      <c r="AC2089" s="20"/>
      <c r="AE2089" s="22"/>
      <c r="AF2089" s="22"/>
    </row>
    <row r="2090" spans="29:32" x14ac:dyDescent="0.2">
      <c r="AC2090" s="20"/>
      <c r="AE2090" s="22"/>
      <c r="AF2090" s="22"/>
    </row>
    <row r="2091" spans="29:32" x14ac:dyDescent="0.2">
      <c r="AC2091" s="20"/>
      <c r="AE2091" s="22"/>
      <c r="AF2091" s="22"/>
    </row>
    <row r="2092" spans="29:32" x14ac:dyDescent="0.2">
      <c r="AC2092" s="20"/>
      <c r="AE2092" s="22"/>
      <c r="AF2092" s="22"/>
    </row>
    <row r="2093" spans="29:32" x14ac:dyDescent="0.2">
      <c r="AC2093" s="20"/>
      <c r="AE2093" s="22"/>
      <c r="AF2093" s="22"/>
    </row>
    <row r="2094" spans="29:32" x14ac:dyDescent="0.2">
      <c r="AC2094" s="20"/>
      <c r="AE2094" s="22"/>
      <c r="AF2094" s="22"/>
    </row>
    <row r="2095" spans="29:32" x14ac:dyDescent="0.2">
      <c r="AC2095" s="20"/>
      <c r="AE2095" s="22"/>
      <c r="AF2095" s="22"/>
    </row>
    <row r="2096" spans="29:32" x14ac:dyDescent="0.2">
      <c r="AC2096" s="20"/>
      <c r="AE2096" s="22"/>
      <c r="AF2096" s="22"/>
    </row>
    <row r="2097" spans="29:32" x14ac:dyDescent="0.2">
      <c r="AC2097" s="20"/>
      <c r="AE2097" s="22"/>
      <c r="AF2097" s="22"/>
    </row>
    <row r="2098" spans="29:32" x14ac:dyDescent="0.2">
      <c r="AC2098" s="20"/>
      <c r="AE2098" s="22"/>
      <c r="AF2098" s="22"/>
    </row>
    <row r="2099" spans="29:32" x14ac:dyDescent="0.2">
      <c r="AC2099" s="20"/>
      <c r="AE2099" s="22"/>
      <c r="AF2099" s="22"/>
    </row>
    <row r="2100" spans="29:32" x14ac:dyDescent="0.2">
      <c r="AC2100" s="20"/>
      <c r="AE2100" s="22"/>
      <c r="AF2100" s="22"/>
    </row>
    <row r="2101" spans="29:32" x14ac:dyDescent="0.2">
      <c r="AC2101" s="20"/>
      <c r="AE2101" s="22"/>
      <c r="AF2101" s="22"/>
    </row>
    <row r="2102" spans="29:32" x14ac:dyDescent="0.2">
      <c r="AC2102" s="20"/>
      <c r="AE2102" s="22"/>
      <c r="AF2102" s="22"/>
    </row>
    <row r="2103" spans="29:32" x14ac:dyDescent="0.2">
      <c r="AC2103" s="20"/>
      <c r="AE2103" s="22"/>
      <c r="AF2103" s="22"/>
    </row>
    <row r="2104" spans="29:32" x14ac:dyDescent="0.2">
      <c r="AC2104" s="20"/>
      <c r="AE2104" s="22"/>
      <c r="AF2104" s="22"/>
    </row>
    <row r="2105" spans="29:32" x14ac:dyDescent="0.2">
      <c r="AC2105" s="20"/>
      <c r="AE2105" s="22"/>
      <c r="AF2105" s="22"/>
    </row>
    <row r="2106" spans="29:32" x14ac:dyDescent="0.2">
      <c r="AC2106" s="20"/>
      <c r="AE2106" s="22"/>
      <c r="AF2106" s="22"/>
    </row>
    <row r="2107" spans="29:32" x14ac:dyDescent="0.2">
      <c r="AC2107" s="20"/>
      <c r="AE2107" s="22"/>
      <c r="AF2107" s="22"/>
    </row>
    <row r="2108" spans="29:32" x14ac:dyDescent="0.2">
      <c r="AC2108" s="20"/>
      <c r="AE2108" s="22"/>
      <c r="AF2108" s="22"/>
    </row>
    <row r="2109" spans="29:32" x14ac:dyDescent="0.2">
      <c r="AC2109" s="20"/>
      <c r="AE2109" s="22"/>
      <c r="AF2109" s="22"/>
    </row>
    <row r="2110" spans="29:32" x14ac:dyDescent="0.2">
      <c r="AC2110" s="20"/>
      <c r="AE2110" s="22"/>
      <c r="AF2110" s="22"/>
    </row>
    <row r="2111" spans="29:32" x14ac:dyDescent="0.2">
      <c r="AC2111" s="20"/>
      <c r="AE2111" s="22"/>
      <c r="AF2111" s="22"/>
    </row>
    <row r="2112" spans="29:32" x14ac:dyDescent="0.2">
      <c r="AC2112" s="20"/>
      <c r="AE2112" s="22"/>
      <c r="AF2112" s="22"/>
    </row>
    <row r="2113" spans="29:32" x14ac:dyDescent="0.2">
      <c r="AC2113" s="20"/>
      <c r="AE2113" s="22"/>
      <c r="AF2113" s="22"/>
    </row>
    <row r="2114" spans="29:32" x14ac:dyDescent="0.2">
      <c r="AC2114" s="20"/>
      <c r="AE2114" s="22"/>
      <c r="AF2114" s="22"/>
    </row>
    <row r="2115" spans="29:32" x14ac:dyDescent="0.2">
      <c r="AC2115" s="20"/>
      <c r="AE2115" s="22"/>
      <c r="AF2115" s="22"/>
    </row>
    <row r="2116" spans="29:32" x14ac:dyDescent="0.2">
      <c r="AC2116" s="20"/>
      <c r="AE2116" s="22"/>
      <c r="AF2116" s="22"/>
    </row>
    <row r="2117" spans="29:32" x14ac:dyDescent="0.2">
      <c r="AC2117" s="20"/>
      <c r="AE2117" s="22"/>
      <c r="AF2117" s="22"/>
    </row>
    <row r="2118" spans="29:32" x14ac:dyDescent="0.2">
      <c r="AC2118" s="20"/>
      <c r="AE2118" s="22"/>
      <c r="AF2118" s="22"/>
    </row>
    <row r="2119" spans="29:32" x14ac:dyDescent="0.2">
      <c r="AC2119" s="20"/>
      <c r="AE2119" s="22"/>
      <c r="AF2119" s="22"/>
    </row>
    <row r="2120" spans="29:32" x14ac:dyDescent="0.2">
      <c r="AC2120" s="20"/>
      <c r="AE2120" s="22"/>
      <c r="AF2120" s="22"/>
    </row>
    <row r="2121" spans="29:32" x14ac:dyDescent="0.2">
      <c r="AC2121" s="20"/>
      <c r="AE2121" s="22"/>
      <c r="AF2121" s="22"/>
    </row>
    <row r="2122" spans="29:32" x14ac:dyDescent="0.2">
      <c r="AC2122" s="20"/>
      <c r="AE2122" s="22"/>
      <c r="AF2122" s="22"/>
    </row>
    <row r="2123" spans="29:32" x14ac:dyDescent="0.2">
      <c r="AC2123" s="20"/>
      <c r="AE2123" s="22"/>
      <c r="AF2123" s="22"/>
    </row>
    <row r="2124" spans="29:32" x14ac:dyDescent="0.2">
      <c r="AC2124" s="20"/>
      <c r="AE2124" s="22"/>
      <c r="AF2124" s="22"/>
    </row>
    <row r="2125" spans="29:32" x14ac:dyDescent="0.2">
      <c r="AC2125" s="20"/>
      <c r="AE2125" s="22"/>
      <c r="AF2125" s="22"/>
    </row>
    <row r="2126" spans="29:32" x14ac:dyDescent="0.2">
      <c r="AC2126" s="20"/>
      <c r="AE2126" s="22"/>
      <c r="AF2126" s="22"/>
    </row>
    <row r="2127" spans="29:32" x14ac:dyDescent="0.2">
      <c r="AC2127" s="20"/>
      <c r="AE2127" s="22"/>
      <c r="AF2127" s="22"/>
    </row>
    <row r="2128" spans="29:32" x14ac:dyDescent="0.2">
      <c r="AC2128" s="20"/>
      <c r="AE2128" s="22"/>
      <c r="AF2128" s="22"/>
    </row>
    <row r="2129" spans="29:32" x14ac:dyDescent="0.2">
      <c r="AC2129" s="20"/>
      <c r="AE2129" s="22"/>
      <c r="AF2129" s="22"/>
    </row>
    <row r="2130" spans="29:32" x14ac:dyDescent="0.2">
      <c r="AC2130" s="20"/>
      <c r="AE2130" s="22"/>
      <c r="AF2130" s="22"/>
    </row>
    <row r="2131" spans="29:32" x14ac:dyDescent="0.2">
      <c r="AC2131" s="20"/>
      <c r="AE2131" s="22"/>
      <c r="AF2131" s="22"/>
    </row>
    <row r="2132" spans="29:32" x14ac:dyDescent="0.2">
      <c r="AC2132" s="20"/>
      <c r="AE2132" s="22"/>
      <c r="AF2132" s="22"/>
    </row>
    <row r="2133" spans="29:32" x14ac:dyDescent="0.2">
      <c r="AC2133" s="20"/>
      <c r="AE2133" s="22"/>
      <c r="AF2133" s="22"/>
    </row>
    <row r="2134" spans="29:32" x14ac:dyDescent="0.2">
      <c r="AC2134" s="20"/>
      <c r="AE2134" s="22"/>
      <c r="AF2134" s="22"/>
    </row>
    <row r="2135" spans="29:32" x14ac:dyDescent="0.2">
      <c r="AC2135" s="20"/>
      <c r="AE2135" s="22"/>
      <c r="AF2135" s="22"/>
    </row>
    <row r="2136" spans="29:32" x14ac:dyDescent="0.2">
      <c r="AC2136" s="20"/>
      <c r="AE2136" s="22"/>
      <c r="AF2136" s="22"/>
    </row>
    <row r="2137" spans="29:32" x14ac:dyDescent="0.2">
      <c r="AC2137" s="20"/>
      <c r="AE2137" s="22"/>
      <c r="AF2137" s="22"/>
    </row>
    <row r="2138" spans="29:32" x14ac:dyDescent="0.2">
      <c r="AC2138" s="20"/>
      <c r="AE2138" s="22"/>
      <c r="AF2138" s="22"/>
    </row>
    <row r="2139" spans="29:32" x14ac:dyDescent="0.2">
      <c r="AC2139" s="20"/>
      <c r="AE2139" s="22"/>
      <c r="AF2139" s="22"/>
    </row>
    <row r="2140" spans="29:32" x14ac:dyDescent="0.2">
      <c r="AC2140" s="20"/>
      <c r="AE2140" s="22"/>
      <c r="AF2140" s="22"/>
    </row>
    <row r="2141" spans="29:32" x14ac:dyDescent="0.2">
      <c r="AC2141" s="20"/>
      <c r="AE2141" s="22"/>
      <c r="AF2141" s="22"/>
    </row>
    <row r="2142" spans="29:32" x14ac:dyDescent="0.2">
      <c r="AC2142" s="20"/>
      <c r="AE2142" s="22"/>
      <c r="AF2142" s="22"/>
    </row>
    <row r="2143" spans="29:32" x14ac:dyDescent="0.2">
      <c r="AC2143" s="20"/>
      <c r="AE2143" s="22"/>
      <c r="AF2143" s="22"/>
    </row>
    <row r="2144" spans="29:32" x14ac:dyDescent="0.2">
      <c r="AC2144" s="20"/>
      <c r="AE2144" s="22"/>
      <c r="AF2144" s="22"/>
    </row>
    <row r="2145" spans="29:32" x14ac:dyDescent="0.2">
      <c r="AC2145" s="20"/>
      <c r="AE2145" s="22"/>
      <c r="AF2145" s="22"/>
    </row>
    <row r="2146" spans="29:32" x14ac:dyDescent="0.2">
      <c r="AC2146" s="20"/>
      <c r="AE2146" s="22"/>
      <c r="AF2146" s="22"/>
    </row>
    <row r="2147" spans="29:32" x14ac:dyDescent="0.2">
      <c r="AC2147" s="20"/>
      <c r="AE2147" s="22"/>
      <c r="AF2147" s="22"/>
    </row>
    <row r="2148" spans="29:32" x14ac:dyDescent="0.2">
      <c r="AC2148" s="20"/>
      <c r="AE2148" s="22"/>
      <c r="AF2148" s="22"/>
    </row>
    <row r="2149" spans="29:32" x14ac:dyDescent="0.2">
      <c r="AC2149" s="20"/>
      <c r="AE2149" s="22"/>
      <c r="AF2149" s="22"/>
    </row>
    <row r="2150" spans="29:32" x14ac:dyDescent="0.2">
      <c r="AC2150" s="20"/>
      <c r="AE2150" s="22"/>
      <c r="AF2150" s="22"/>
    </row>
    <row r="2151" spans="29:32" x14ac:dyDescent="0.2">
      <c r="AC2151" s="20"/>
      <c r="AE2151" s="22"/>
      <c r="AF2151" s="22"/>
    </row>
    <row r="2152" spans="29:32" x14ac:dyDescent="0.2">
      <c r="AC2152" s="20"/>
      <c r="AE2152" s="22"/>
      <c r="AF2152" s="22"/>
    </row>
    <row r="2153" spans="29:32" x14ac:dyDescent="0.2">
      <c r="AC2153" s="20"/>
      <c r="AE2153" s="22"/>
      <c r="AF2153" s="22"/>
    </row>
    <row r="2154" spans="29:32" x14ac:dyDescent="0.2">
      <c r="AC2154" s="20"/>
      <c r="AE2154" s="22"/>
      <c r="AF2154" s="22"/>
    </row>
    <row r="2155" spans="29:32" x14ac:dyDescent="0.2">
      <c r="AC2155" s="20"/>
      <c r="AE2155" s="22"/>
      <c r="AF2155" s="22"/>
    </row>
    <row r="2156" spans="29:32" x14ac:dyDescent="0.2">
      <c r="AC2156" s="20"/>
      <c r="AE2156" s="22"/>
      <c r="AF2156" s="22"/>
    </row>
    <row r="2157" spans="29:32" x14ac:dyDescent="0.2">
      <c r="AC2157" s="20"/>
      <c r="AE2157" s="22"/>
      <c r="AF2157" s="22"/>
    </row>
    <row r="2158" spans="29:32" x14ac:dyDescent="0.2">
      <c r="AC2158" s="20"/>
      <c r="AE2158" s="22"/>
      <c r="AF2158" s="22"/>
    </row>
    <row r="2159" spans="29:32" x14ac:dyDescent="0.2">
      <c r="AC2159" s="20"/>
      <c r="AE2159" s="22"/>
      <c r="AF2159" s="22"/>
    </row>
    <row r="2160" spans="29:32" x14ac:dyDescent="0.2">
      <c r="AC2160" s="20"/>
      <c r="AE2160" s="22"/>
      <c r="AF2160" s="22"/>
    </row>
    <row r="2161" spans="29:32" x14ac:dyDescent="0.2">
      <c r="AC2161" s="20"/>
      <c r="AE2161" s="22"/>
      <c r="AF2161" s="22"/>
    </row>
    <row r="2162" spans="29:32" x14ac:dyDescent="0.2">
      <c r="AC2162" s="20"/>
      <c r="AE2162" s="22"/>
      <c r="AF2162" s="22"/>
    </row>
    <row r="2163" spans="29:32" x14ac:dyDescent="0.2">
      <c r="AC2163" s="20"/>
      <c r="AE2163" s="22"/>
      <c r="AF2163" s="22"/>
    </row>
    <row r="2164" spans="29:32" x14ac:dyDescent="0.2">
      <c r="AC2164" s="20"/>
      <c r="AE2164" s="22"/>
      <c r="AF2164" s="22"/>
    </row>
    <row r="2165" spans="29:32" x14ac:dyDescent="0.2">
      <c r="AC2165" s="20"/>
      <c r="AE2165" s="22"/>
      <c r="AF2165" s="22"/>
    </row>
    <row r="2166" spans="29:32" x14ac:dyDescent="0.2">
      <c r="AC2166" s="20"/>
      <c r="AE2166" s="22"/>
      <c r="AF2166" s="22"/>
    </row>
    <row r="2167" spans="29:32" x14ac:dyDescent="0.2">
      <c r="AC2167" s="20"/>
      <c r="AE2167" s="22"/>
      <c r="AF2167" s="22"/>
    </row>
    <row r="2168" spans="29:32" x14ac:dyDescent="0.2">
      <c r="AC2168" s="20"/>
      <c r="AE2168" s="22"/>
      <c r="AF2168" s="22"/>
    </row>
    <row r="2169" spans="29:32" x14ac:dyDescent="0.2">
      <c r="AC2169" s="20"/>
      <c r="AE2169" s="22"/>
      <c r="AF2169" s="22"/>
    </row>
    <row r="2170" spans="29:32" x14ac:dyDescent="0.2">
      <c r="AC2170" s="20"/>
      <c r="AE2170" s="22"/>
      <c r="AF2170" s="22"/>
    </row>
    <row r="2171" spans="29:32" x14ac:dyDescent="0.2">
      <c r="AC2171" s="20"/>
      <c r="AE2171" s="22"/>
      <c r="AF2171" s="22"/>
    </row>
    <row r="2172" spans="29:32" x14ac:dyDescent="0.2">
      <c r="AC2172" s="20"/>
      <c r="AE2172" s="22"/>
      <c r="AF2172" s="22"/>
    </row>
    <row r="2173" spans="29:32" x14ac:dyDescent="0.2">
      <c r="AC2173" s="20"/>
      <c r="AE2173" s="22"/>
      <c r="AF2173" s="22"/>
    </row>
    <row r="2174" spans="29:32" x14ac:dyDescent="0.2">
      <c r="AC2174" s="20"/>
      <c r="AE2174" s="22"/>
      <c r="AF2174" s="22"/>
    </row>
    <row r="2175" spans="29:32" x14ac:dyDescent="0.2">
      <c r="AC2175" s="20"/>
      <c r="AE2175" s="22"/>
      <c r="AF2175" s="22"/>
    </row>
    <row r="2176" spans="29:32" x14ac:dyDescent="0.2">
      <c r="AC2176" s="20"/>
      <c r="AE2176" s="22"/>
      <c r="AF2176" s="22"/>
    </row>
    <row r="2177" spans="29:32" x14ac:dyDescent="0.2">
      <c r="AC2177" s="20"/>
      <c r="AE2177" s="22"/>
      <c r="AF2177" s="22"/>
    </row>
    <row r="2178" spans="29:32" x14ac:dyDescent="0.2">
      <c r="AC2178" s="20"/>
      <c r="AE2178" s="22"/>
      <c r="AF2178" s="22"/>
    </row>
    <row r="2179" spans="29:32" x14ac:dyDescent="0.2">
      <c r="AC2179" s="20"/>
      <c r="AE2179" s="22"/>
      <c r="AF2179" s="22"/>
    </row>
    <row r="2180" spans="29:32" x14ac:dyDescent="0.2">
      <c r="AC2180" s="20"/>
      <c r="AE2180" s="22"/>
      <c r="AF2180" s="22"/>
    </row>
    <row r="2181" spans="29:32" x14ac:dyDescent="0.2">
      <c r="AC2181" s="20"/>
      <c r="AE2181" s="22"/>
      <c r="AF2181" s="22"/>
    </row>
    <row r="2182" spans="29:32" x14ac:dyDescent="0.2">
      <c r="AC2182" s="20"/>
      <c r="AE2182" s="22"/>
      <c r="AF2182" s="22"/>
    </row>
    <row r="2183" spans="29:32" x14ac:dyDescent="0.2">
      <c r="AC2183" s="20"/>
      <c r="AE2183" s="22"/>
      <c r="AF2183" s="22"/>
    </row>
    <row r="2184" spans="29:32" x14ac:dyDescent="0.2">
      <c r="AC2184" s="20"/>
      <c r="AE2184" s="22"/>
      <c r="AF2184" s="22"/>
    </row>
    <row r="2185" spans="29:32" x14ac:dyDescent="0.2">
      <c r="AC2185" s="20"/>
      <c r="AE2185" s="22"/>
      <c r="AF2185" s="22"/>
    </row>
    <row r="2186" spans="29:32" x14ac:dyDescent="0.2">
      <c r="AC2186" s="20"/>
      <c r="AE2186" s="22"/>
      <c r="AF2186" s="22"/>
    </row>
    <row r="2187" spans="29:32" x14ac:dyDescent="0.2">
      <c r="AC2187" s="20"/>
      <c r="AE2187" s="22"/>
      <c r="AF2187" s="22"/>
    </row>
    <row r="2188" spans="29:32" x14ac:dyDescent="0.2">
      <c r="AC2188" s="20"/>
      <c r="AE2188" s="22"/>
      <c r="AF2188" s="22"/>
    </row>
    <row r="2189" spans="29:32" x14ac:dyDescent="0.2">
      <c r="AC2189" s="20"/>
      <c r="AE2189" s="22"/>
      <c r="AF2189" s="22"/>
    </row>
    <row r="2190" spans="29:32" x14ac:dyDescent="0.2">
      <c r="AC2190" s="20"/>
      <c r="AE2190" s="22"/>
      <c r="AF2190" s="22"/>
    </row>
    <row r="2191" spans="29:32" x14ac:dyDescent="0.2">
      <c r="AC2191" s="20"/>
      <c r="AE2191" s="22"/>
      <c r="AF2191" s="22"/>
    </row>
    <row r="2192" spans="29:32" x14ac:dyDescent="0.2">
      <c r="AC2192" s="20"/>
      <c r="AE2192" s="22"/>
      <c r="AF2192" s="22"/>
    </row>
    <row r="2193" spans="29:32" x14ac:dyDescent="0.2">
      <c r="AC2193" s="20"/>
      <c r="AE2193" s="22"/>
      <c r="AF2193" s="22"/>
    </row>
    <row r="2194" spans="29:32" x14ac:dyDescent="0.2">
      <c r="AC2194" s="20"/>
      <c r="AE2194" s="22"/>
      <c r="AF2194" s="22"/>
    </row>
    <row r="2195" spans="29:32" x14ac:dyDescent="0.2">
      <c r="AC2195" s="20"/>
      <c r="AE2195" s="22"/>
      <c r="AF2195" s="22"/>
    </row>
    <row r="2196" spans="29:32" x14ac:dyDescent="0.2">
      <c r="AC2196" s="20"/>
      <c r="AE2196" s="22"/>
      <c r="AF2196" s="22"/>
    </row>
    <row r="2197" spans="29:32" x14ac:dyDescent="0.2">
      <c r="AC2197" s="20"/>
      <c r="AE2197" s="22"/>
      <c r="AF2197" s="22"/>
    </row>
    <row r="2198" spans="29:32" x14ac:dyDescent="0.2">
      <c r="AC2198" s="20"/>
      <c r="AE2198" s="22"/>
      <c r="AF2198" s="22"/>
    </row>
    <row r="2199" spans="29:32" x14ac:dyDescent="0.2">
      <c r="AC2199" s="20"/>
      <c r="AE2199" s="22"/>
      <c r="AF2199" s="22"/>
    </row>
    <row r="2200" spans="29:32" x14ac:dyDescent="0.2">
      <c r="AC2200" s="20"/>
      <c r="AE2200" s="22"/>
      <c r="AF2200" s="22"/>
    </row>
    <row r="2201" spans="29:32" x14ac:dyDescent="0.2">
      <c r="AC2201" s="20"/>
      <c r="AE2201" s="22"/>
      <c r="AF2201" s="22"/>
    </row>
    <row r="2202" spans="29:32" x14ac:dyDescent="0.2">
      <c r="AC2202" s="20"/>
      <c r="AE2202" s="22"/>
      <c r="AF2202" s="22"/>
    </row>
    <row r="2203" spans="29:32" x14ac:dyDescent="0.2">
      <c r="AC2203" s="20"/>
      <c r="AE2203" s="22"/>
      <c r="AF2203" s="22"/>
    </row>
    <row r="2204" spans="29:32" x14ac:dyDescent="0.2">
      <c r="AC2204" s="20"/>
      <c r="AE2204" s="22"/>
      <c r="AF2204" s="22"/>
    </row>
    <row r="2205" spans="29:32" x14ac:dyDescent="0.2">
      <c r="AC2205" s="20"/>
      <c r="AE2205" s="22"/>
      <c r="AF2205" s="22"/>
    </row>
    <row r="2206" spans="29:32" x14ac:dyDescent="0.2">
      <c r="AC2206" s="20"/>
      <c r="AE2206" s="22"/>
      <c r="AF2206" s="22"/>
    </row>
    <row r="2207" spans="29:32" x14ac:dyDescent="0.2">
      <c r="AC2207" s="20"/>
      <c r="AE2207" s="22"/>
      <c r="AF2207" s="22"/>
    </row>
    <row r="2208" spans="29:32" x14ac:dyDescent="0.2">
      <c r="AC2208" s="20"/>
      <c r="AE2208" s="22"/>
      <c r="AF2208" s="22"/>
    </row>
    <row r="2209" spans="29:32" x14ac:dyDescent="0.2">
      <c r="AC2209" s="20"/>
      <c r="AE2209" s="22"/>
      <c r="AF2209" s="22"/>
    </row>
    <row r="2210" spans="29:32" x14ac:dyDescent="0.2">
      <c r="AC2210" s="20"/>
      <c r="AE2210" s="22"/>
      <c r="AF2210" s="22"/>
    </row>
    <row r="2211" spans="29:32" x14ac:dyDescent="0.2">
      <c r="AC2211" s="20"/>
      <c r="AE2211" s="22"/>
      <c r="AF2211" s="22"/>
    </row>
    <row r="2212" spans="29:32" x14ac:dyDescent="0.2">
      <c r="AC2212" s="20"/>
      <c r="AE2212" s="22"/>
      <c r="AF2212" s="22"/>
    </row>
    <row r="2213" spans="29:32" x14ac:dyDescent="0.2">
      <c r="AC2213" s="20"/>
      <c r="AE2213" s="22"/>
      <c r="AF2213" s="22"/>
    </row>
    <row r="2214" spans="29:32" x14ac:dyDescent="0.2">
      <c r="AC2214" s="20"/>
      <c r="AE2214" s="22"/>
      <c r="AF2214" s="22"/>
    </row>
    <row r="2215" spans="29:32" x14ac:dyDescent="0.2">
      <c r="AC2215" s="20"/>
      <c r="AE2215" s="22"/>
      <c r="AF2215" s="22"/>
    </row>
    <row r="2216" spans="29:32" x14ac:dyDescent="0.2">
      <c r="AC2216" s="20"/>
      <c r="AE2216" s="22"/>
      <c r="AF2216" s="22"/>
    </row>
    <row r="2217" spans="29:32" x14ac:dyDescent="0.2">
      <c r="AC2217" s="20"/>
      <c r="AE2217" s="22"/>
      <c r="AF2217" s="22"/>
    </row>
    <row r="2218" spans="29:32" x14ac:dyDescent="0.2">
      <c r="AC2218" s="20"/>
      <c r="AE2218" s="22"/>
      <c r="AF2218" s="22"/>
    </row>
    <row r="2219" spans="29:32" x14ac:dyDescent="0.2">
      <c r="AC2219" s="20"/>
      <c r="AE2219" s="22"/>
      <c r="AF2219" s="22"/>
    </row>
    <row r="2220" spans="29:32" x14ac:dyDescent="0.2">
      <c r="AC2220" s="20"/>
      <c r="AE2220" s="22"/>
      <c r="AF2220" s="22"/>
    </row>
    <row r="2221" spans="29:32" x14ac:dyDescent="0.2">
      <c r="AC2221" s="20"/>
      <c r="AE2221" s="22"/>
      <c r="AF2221" s="22"/>
    </row>
    <row r="2222" spans="29:32" x14ac:dyDescent="0.2">
      <c r="AC2222" s="20"/>
      <c r="AE2222" s="22"/>
      <c r="AF2222" s="22"/>
    </row>
    <row r="2223" spans="29:32" x14ac:dyDescent="0.2">
      <c r="AC2223" s="20"/>
      <c r="AE2223" s="22"/>
      <c r="AF2223" s="22"/>
    </row>
    <row r="2224" spans="29:32" x14ac:dyDescent="0.2">
      <c r="AC2224" s="20"/>
      <c r="AE2224" s="22"/>
      <c r="AF2224" s="22"/>
    </row>
    <row r="2225" spans="29:32" x14ac:dyDescent="0.2">
      <c r="AC2225" s="20"/>
      <c r="AE2225" s="22"/>
      <c r="AF2225" s="22"/>
    </row>
    <row r="2226" spans="29:32" x14ac:dyDescent="0.2">
      <c r="AC2226" s="20"/>
      <c r="AE2226" s="22"/>
      <c r="AF2226" s="22"/>
    </row>
    <row r="2227" spans="29:32" x14ac:dyDescent="0.2">
      <c r="AC2227" s="20"/>
      <c r="AE2227" s="22"/>
      <c r="AF2227" s="22"/>
    </row>
    <row r="2228" spans="29:32" x14ac:dyDescent="0.2">
      <c r="AC2228" s="20"/>
      <c r="AE2228" s="22"/>
      <c r="AF2228" s="22"/>
    </row>
    <row r="2229" spans="29:32" x14ac:dyDescent="0.2">
      <c r="AC2229" s="20"/>
      <c r="AE2229" s="22"/>
      <c r="AF2229" s="22"/>
    </row>
    <row r="2230" spans="29:32" x14ac:dyDescent="0.2">
      <c r="AC2230" s="20"/>
      <c r="AE2230" s="22"/>
      <c r="AF2230" s="22"/>
    </row>
    <row r="2231" spans="29:32" x14ac:dyDescent="0.2">
      <c r="AC2231" s="20"/>
      <c r="AE2231" s="22"/>
      <c r="AF2231" s="22"/>
    </row>
    <row r="2232" spans="29:32" x14ac:dyDescent="0.2">
      <c r="AC2232" s="20"/>
      <c r="AE2232" s="22"/>
      <c r="AF2232" s="22"/>
    </row>
    <row r="2233" spans="29:32" x14ac:dyDescent="0.2">
      <c r="AC2233" s="20"/>
      <c r="AE2233" s="22"/>
      <c r="AF2233" s="22"/>
    </row>
    <row r="2234" spans="29:32" x14ac:dyDescent="0.2">
      <c r="AC2234" s="20"/>
      <c r="AE2234" s="22"/>
      <c r="AF2234" s="22"/>
    </row>
    <row r="2235" spans="29:32" x14ac:dyDescent="0.2">
      <c r="AC2235" s="20"/>
      <c r="AE2235" s="22"/>
      <c r="AF2235" s="22"/>
    </row>
    <row r="2236" spans="29:32" x14ac:dyDescent="0.2">
      <c r="AC2236" s="20"/>
      <c r="AE2236" s="22"/>
      <c r="AF2236" s="22"/>
    </row>
    <row r="2237" spans="29:32" x14ac:dyDescent="0.2">
      <c r="AC2237" s="20"/>
      <c r="AE2237" s="22"/>
      <c r="AF2237" s="22"/>
    </row>
    <row r="2238" spans="29:32" x14ac:dyDescent="0.2">
      <c r="AC2238" s="20"/>
      <c r="AE2238" s="22"/>
      <c r="AF2238" s="22"/>
    </row>
    <row r="2239" spans="29:32" x14ac:dyDescent="0.2">
      <c r="AC2239" s="20"/>
      <c r="AE2239" s="22"/>
      <c r="AF2239" s="22"/>
    </row>
    <row r="2240" spans="29:32" x14ac:dyDescent="0.2">
      <c r="AC2240" s="20"/>
      <c r="AE2240" s="22"/>
      <c r="AF2240" s="22"/>
    </row>
    <row r="2241" spans="29:32" x14ac:dyDescent="0.2">
      <c r="AC2241" s="20"/>
      <c r="AE2241" s="22"/>
      <c r="AF2241" s="22"/>
    </row>
    <row r="2242" spans="29:32" x14ac:dyDescent="0.2">
      <c r="AC2242" s="20"/>
      <c r="AE2242" s="22"/>
      <c r="AF2242" s="22"/>
    </row>
    <row r="2243" spans="29:32" x14ac:dyDescent="0.2">
      <c r="AC2243" s="20"/>
      <c r="AE2243" s="22"/>
      <c r="AF2243" s="22"/>
    </row>
    <row r="2244" spans="29:32" x14ac:dyDescent="0.2">
      <c r="AC2244" s="20"/>
      <c r="AE2244" s="22"/>
      <c r="AF2244" s="22"/>
    </row>
    <row r="2245" spans="29:32" x14ac:dyDescent="0.2">
      <c r="AC2245" s="20"/>
      <c r="AE2245" s="22"/>
      <c r="AF2245" s="22"/>
    </row>
    <row r="2246" spans="29:32" x14ac:dyDescent="0.2">
      <c r="AC2246" s="20"/>
      <c r="AE2246" s="22"/>
      <c r="AF2246" s="22"/>
    </row>
    <row r="2247" spans="29:32" x14ac:dyDescent="0.2">
      <c r="AC2247" s="20"/>
      <c r="AE2247" s="22"/>
      <c r="AF2247" s="22"/>
    </row>
    <row r="2248" spans="29:32" x14ac:dyDescent="0.2">
      <c r="AC2248" s="20"/>
      <c r="AE2248" s="22"/>
      <c r="AF2248" s="22"/>
    </row>
    <row r="2249" spans="29:32" x14ac:dyDescent="0.2">
      <c r="AC2249" s="20"/>
      <c r="AE2249" s="22"/>
      <c r="AF2249" s="22"/>
    </row>
    <row r="2250" spans="29:32" x14ac:dyDescent="0.2">
      <c r="AC2250" s="20"/>
      <c r="AE2250" s="22"/>
      <c r="AF2250" s="22"/>
    </row>
    <row r="2251" spans="29:32" x14ac:dyDescent="0.2">
      <c r="AC2251" s="20"/>
      <c r="AE2251" s="22"/>
      <c r="AF2251" s="22"/>
    </row>
    <row r="2252" spans="29:32" x14ac:dyDescent="0.2">
      <c r="AC2252" s="20"/>
      <c r="AE2252" s="22"/>
      <c r="AF2252" s="22"/>
    </row>
    <row r="2253" spans="29:32" x14ac:dyDescent="0.2">
      <c r="AC2253" s="20"/>
      <c r="AE2253" s="22"/>
      <c r="AF2253" s="22"/>
    </row>
    <row r="2254" spans="29:32" x14ac:dyDescent="0.2">
      <c r="AC2254" s="20"/>
      <c r="AE2254" s="22"/>
      <c r="AF2254" s="22"/>
    </row>
    <row r="2255" spans="29:32" x14ac:dyDescent="0.2">
      <c r="AC2255" s="20"/>
      <c r="AE2255" s="22"/>
      <c r="AF2255" s="22"/>
    </row>
    <row r="2256" spans="29:32" x14ac:dyDescent="0.2">
      <c r="AC2256" s="20"/>
      <c r="AE2256" s="22"/>
      <c r="AF2256" s="22"/>
    </row>
    <row r="2257" spans="29:32" x14ac:dyDescent="0.2">
      <c r="AC2257" s="20"/>
      <c r="AE2257" s="22"/>
      <c r="AF2257" s="22"/>
    </row>
    <row r="2258" spans="29:32" x14ac:dyDescent="0.2">
      <c r="AC2258" s="20"/>
      <c r="AE2258" s="22"/>
      <c r="AF2258" s="22"/>
    </row>
    <row r="2259" spans="29:32" x14ac:dyDescent="0.2">
      <c r="AC2259" s="20"/>
      <c r="AE2259" s="22"/>
      <c r="AF2259" s="22"/>
    </row>
    <row r="2260" spans="29:32" x14ac:dyDescent="0.2">
      <c r="AC2260" s="20"/>
      <c r="AE2260" s="22"/>
      <c r="AF2260" s="22"/>
    </row>
    <row r="2261" spans="29:32" x14ac:dyDescent="0.2">
      <c r="AC2261" s="20"/>
      <c r="AE2261" s="22"/>
      <c r="AF2261" s="22"/>
    </row>
    <row r="2262" spans="29:32" x14ac:dyDescent="0.2">
      <c r="AC2262" s="20"/>
      <c r="AE2262" s="22"/>
      <c r="AF2262" s="22"/>
    </row>
    <row r="2263" spans="29:32" x14ac:dyDescent="0.2">
      <c r="AC2263" s="20"/>
      <c r="AE2263" s="22"/>
      <c r="AF2263" s="22"/>
    </row>
    <row r="2264" spans="29:32" x14ac:dyDescent="0.2">
      <c r="AC2264" s="20"/>
      <c r="AE2264" s="22"/>
      <c r="AF2264" s="22"/>
    </row>
    <row r="2265" spans="29:32" x14ac:dyDescent="0.2">
      <c r="AC2265" s="20"/>
      <c r="AE2265" s="22"/>
      <c r="AF2265" s="22"/>
    </row>
    <row r="2266" spans="29:32" x14ac:dyDescent="0.2">
      <c r="AC2266" s="20"/>
      <c r="AE2266" s="22"/>
      <c r="AF2266" s="22"/>
    </row>
    <row r="2267" spans="29:32" x14ac:dyDescent="0.2">
      <c r="AC2267" s="20"/>
      <c r="AE2267" s="22"/>
      <c r="AF2267" s="22"/>
    </row>
    <row r="2268" spans="29:32" x14ac:dyDescent="0.2">
      <c r="AC2268" s="20"/>
      <c r="AE2268" s="22"/>
      <c r="AF2268" s="22"/>
    </row>
    <row r="2269" spans="29:32" x14ac:dyDescent="0.2">
      <c r="AC2269" s="20"/>
      <c r="AE2269" s="22"/>
      <c r="AF2269" s="22"/>
    </row>
    <row r="2270" spans="29:32" x14ac:dyDescent="0.2">
      <c r="AC2270" s="20"/>
      <c r="AE2270" s="22"/>
      <c r="AF2270" s="22"/>
    </row>
    <row r="2271" spans="29:32" x14ac:dyDescent="0.2">
      <c r="AC2271" s="20"/>
      <c r="AE2271" s="22"/>
      <c r="AF2271" s="22"/>
    </row>
    <row r="2272" spans="29:32" x14ac:dyDescent="0.2">
      <c r="AC2272" s="20"/>
      <c r="AE2272" s="22"/>
      <c r="AF2272" s="22"/>
    </row>
    <row r="2273" spans="29:32" x14ac:dyDescent="0.2">
      <c r="AC2273" s="20"/>
      <c r="AE2273" s="22"/>
      <c r="AF2273" s="22"/>
    </row>
    <row r="2274" spans="29:32" x14ac:dyDescent="0.2">
      <c r="AC2274" s="20"/>
      <c r="AE2274" s="22"/>
      <c r="AF2274" s="22"/>
    </row>
    <row r="2275" spans="29:32" x14ac:dyDescent="0.2">
      <c r="AC2275" s="20"/>
      <c r="AE2275" s="22"/>
      <c r="AF2275" s="22"/>
    </row>
    <row r="2276" spans="29:32" x14ac:dyDescent="0.2">
      <c r="AC2276" s="20"/>
      <c r="AE2276" s="22"/>
      <c r="AF2276" s="22"/>
    </row>
    <row r="2277" spans="29:32" x14ac:dyDescent="0.2">
      <c r="AC2277" s="20"/>
      <c r="AE2277" s="22"/>
      <c r="AF2277" s="22"/>
    </row>
    <row r="2278" spans="29:32" x14ac:dyDescent="0.2">
      <c r="AC2278" s="20"/>
      <c r="AE2278" s="22"/>
      <c r="AF2278" s="22"/>
    </row>
    <row r="2279" spans="29:32" x14ac:dyDescent="0.2">
      <c r="AC2279" s="20"/>
      <c r="AE2279" s="22"/>
      <c r="AF2279" s="22"/>
    </row>
    <row r="2280" spans="29:32" x14ac:dyDescent="0.2">
      <c r="AC2280" s="20"/>
      <c r="AE2280" s="22"/>
      <c r="AF2280" s="22"/>
    </row>
    <row r="2281" spans="29:32" x14ac:dyDescent="0.2">
      <c r="AC2281" s="20"/>
      <c r="AE2281" s="22"/>
      <c r="AF2281" s="22"/>
    </row>
    <row r="2282" spans="29:32" x14ac:dyDescent="0.2">
      <c r="AC2282" s="20"/>
      <c r="AE2282" s="22"/>
      <c r="AF2282" s="22"/>
    </row>
    <row r="2283" spans="29:32" x14ac:dyDescent="0.2">
      <c r="AC2283" s="20"/>
      <c r="AE2283" s="22"/>
      <c r="AF2283" s="22"/>
    </row>
    <row r="2284" spans="29:32" x14ac:dyDescent="0.2">
      <c r="AC2284" s="20"/>
      <c r="AE2284" s="22"/>
      <c r="AF2284" s="22"/>
    </row>
    <row r="2285" spans="29:32" x14ac:dyDescent="0.2">
      <c r="AC2285" s="20"/>
      <c r="AE2285" s="22"/>
      <c r="AF2285" s="22"/>
    </row>
    <row r="2286" spans="29:32" x14ac:dyDescent="0.2">
      <c r="AC2286" s="20"/>
      <c r="AE2286" s="22"/>
      <c r="AF2286" s="22"/>
    </row>
    <row r="2287" spans="29:32" x14ac:dyDescent="0.2">
      <c r="AC2287" s="20"/>
      <c r="AE2287" s="22"/>
      <c r="AF2287" s="22"/>
    </row>
    <row r="2288" spans="29:32" x14ac:dyDescent="0.2">
      <c r="AC2288" s="20"/>
      <c r="AE2288" s="22"/>
      <c r="AF2288" s="22"/>
    </row>
    <row r="2289" spans="29:32" x14ac:dyDescent="0.2">
      <c r="AC2289" s="20"/>
      <c r="AE2289" s="22"/>
      <c r="AF2289" s="22"/>
    </row>
    <row r="2290" spans="29:32" x14ac:dyDescent="0.2">
      <c r="AC2290" s="20"/>
      <c r="AE2290" s="22"/>
      <c r="AF2290" s="22"/>
    </row>
    <row r="2291" spans="29:32" x14ac:dyDescent="0.2">
      <c r="AC2291" s="20"/>
      <c r="AE2291" s="22"/>
      <c r="AF2291" s="22"/>
    </row>
    <row r="2292" spans="29:32" x14ac:dyDescent="0.2">
      <c r="AC2292" s="20"/>
      <c r="AE2292" s="22"/>
      <c r="AF2292" s="22"/>
    </row>
    <row r="2293" spans="29:32" x14ac:dyDescent="0.2">
      <c r="AC2293" s="20"/>
      <c r="AE2293" s="22"/>
      <c r="AF2293" s="22"/>
    </row>
    <row r="2294" spans="29:32" x14ac:dyDescent="0.2">
      <c r="AC2294" s="20"/>
      <c r="AE2294" s="22"/>
      <c r="AF2294" s="22"/>
    </row>
    <row r="2295" spans="29:32" x14ac:dyDescent="0.2">
      <c r="AC2295" s="20"/>
      <c r="AE2295" s="22"/>
      <c r="AF2295" s="22"/>
    </row>
    <row r="2296" spans="29:32" x14ac:dyDescent="0.2">
      <c r="AC2296" s="20"/>
      <c r="AE2296" s="22"/>
      <c r="AF2296" s="22"/>
    </row>
    <row r="2297" spans="29:32" x14ac:dyDescent="0.2">
      <c r="AC2297" s="20"/>
      <c r="AE2297" s="22"/>
      <c r="AF2297" s="22"/>
    </row>
    <row r="2298" spans="29:32" x14ac:dyDescent="0.2">
      <c r="AC2298" s="20"/>
      <c r="AE2298" s="22"/>
      <c r="AF2298" s="22"/>
    </row>
    <row r="2299" spans="29:32" x14ac:dyDescent="0.2">
      <c r="AC2299" s="20"/>
      <c r="AE2299" s="22"/>
      <c r="AF2299" s="22"/>
    </row>
    <row r="2300" spans="29:32" x14ac:dyDescent="0.2">
      <c r="AC2300" s="20"/>
      <c r="AE2300" s="22"/>
      <c r="AF2300" s="22"/>
    </row>
    <row r="2301" spans="29:32" x14ac:dyDescent="0.2">
      <c r="AC2301" s="20"/>
      <c r="AE2301" s="22"/>
      <c r="AF2301" s="22"/>
    </row>
    <row r="2302" spans="29:32" x14ac:dyDescent="0.2">
      <c r="AC2302" s="20"/>
      <c r="AE2302" s="22"/>
      <c r="AF2302" s="22"/>
    </row>
    <row r="2303" spans="29:32" x14ac:dyDescent="0.2">
      <c r="AC2303" s="20"/>
      <c r="AE2303" s="22"/>
      <c r="AF2303" s="22"/>
    </row>
    <row r="2304" spans="29:32" x14ac:dyDescent="0.2">
      <c r="AC2304" s="20"/>
      <c r="AE2304" s="22"/>
      <c r="AF2304" s="22"/>
    </row>
    <row r="2305" spans="29:32" x14ac:dyDescent="0.2">
      <c r="AC2305" s="20"/>
      <c r="AE2305" s="22"/>
      <c r="AF2305" s="22"/>
    </row>
    <row r="2306" spans="29:32" x14ac:dyDescent="0.2">
      <c r="AC2306" s="20"/>
      <c r="AE2306" s="22"/>
      <c r="AF2306" s="22"/>
    </row>
    <row r="2307" spans="29:32" x14ac:dyDescent="0.2">
      <c r="AC2307" s="20"/>
      <c r="AE2307" s="22"/>
      <c r="AF2307" s="22"/>
    </row>
    <row r="2308" spans="29:32" x14ac:dyDescent="0.2">
      <c r="AC2308" s="20"/>
      <c r="AE2308" s="22"/>
      <c r="AF2308" s="22"/>
    </row>
    <row r="2309" spans="29:32" x14ac:dyDescent="0.2">
      <c r="AC2309" s="20"/>
      <c r="AE2309" s="22"/>
      <c r="AF2309" s="22"/>
    </row>
    <row r="2310" spans="29:32" x14ac:dyDescent="0.2">
      <c r="AC2310" s="20"/>
      <c r="AE2310" s="22"/>
      <c r="AF2310" s="22"/>
    </row>
    <row r="2311" spans="29:32" x14ac:dyDescent="0.2">
      <c r="AC2311" s="20"/>
      <c r="AE2311" s="22"/>
      <c r="AF2311" s="22"/>
    </row>
    <row r="2312" spans="29:32" x14ac:dyDescent="0.2">
      <c r="AC2312" s="20"/>
      <c r="AE2312" s="22"/>
      <c r="AF2312" s="22"/>
    </row>
    <row r="2313" spans="29:32" x14ac:dyDescent="0.2">
      <c r="AC2313" s="20"/>
      <c r="AE2313" s="22"/>
      <c r="AF2313" s="22"/>
    </row>
    <row r="2314" spans="29:32" x14ac:dyDescent="0.2">
      <c r="AC2314" s="20"/>
      <c r="AE2314" s="22"/>
      <c r="AF2314" s="22"/>
    </row>
    <row r="2315" spans="29:32" x14ac:dyDescent="0.2">
      <c r="AC2315" s="20"/>
      <c r="AE2315" s="22"/>
      <c r="AF2315" s="22"/>
    </row>
    <row r="2316" spans="29:32" x14ac:dyDescent="0.2">
      <c r="AC2316" s="20"/>
      <c r="AE2316" s="22"/>
      <c r="AF2316" s="22"/>
    </row>
    <row r="2317" spans="29:32" x14ac:dyDescent="0.2">
      <c r="AC2317" s="20"/>
      <c r="AE2317" s="22"/>
      <c r="AF2317" s="22"/>
    </row>
    <row r="2318" spans="29:32" x14ac:dyDescent="0.2">
      <c r="AC2318" s="20"/>
      <c r="AE2318" s="22"/>
      <c r="AF2318" s="22"/>
    </row>
    <row r="2319" spans="29:32" x14ac:dyDescent="0.2">
      <c r="AC2319" s="20"/>
      <c r="AE2319" s="22"/>
      <c r="AF2319" s="22"/>
    </row>
    <row r="2320" spans="29:32" x14ac:dyDescent="0.2">
      <c r="AC2320" s="20"/>
      <c r="AE2320" s="22"/>
      <c r="AF2320" s="22"/>
    </row>
    <row r="2321" spans="29:32" x14ac:dyDescent="0.2">
      <c r="AC2321" s="20"/>
      <c r="AE2321" s="22"/>
      <c r="AF2321" s="22"/>
    </row>
    <row r="2322" spans="29:32" x14ac:dyDescent="0.2">
      <c r="AC2322" s="20"/>
      <c r="AE2322" s="22"/>
      <c r="AF2322" s="22"/>
    </row>
    <row r="2323" spans="29:32" x14ac:dyDescent="0.2">
      <c r="AC2323" s="20"/>
      <c r="AE2323" s="22"/>
      <c r="AF2323" s="22"/>
    </row>
    <row r="2324" spans="29:32" x14ac:dyDescent="0.2">
      <c r="AC2324" s="20"/>
      <c r="AE2324" s="22"/>
      <c r="AF2324" s="22"/>
    </row>
    <row r="2325" spans="29:32" x14ac:dyDescent="0.2">
      <c r="AC2325" s="20"/>
      <c r="AE2325" s="22"/>
      <c r="AF2325" s="22"/>
    </row>
    <row r="2326" spans="29:32" x14ac:dyDescent="0.2">
      <c r="AC2326" s="20"/>
      <c r="AE2326" s="22"/>
      <c r="AF2326" s="22"/>
    </row>
    <row r="2327" spans="29:32" x14ac:dyDescent="0.2">
      <c r="AC2327" s="20"/>
      <c r="AE2327" s="22"/>
      <c r="AF2327" s="22"/>
    </row>
    <row r="2328" spans="29:32" x14ac:dyDescent="0.2">
      <c r="AC2328" s="20"/>
      <c r="AE2328" s="22"/>
      <c r="AF2328" s="22"/>
    </row>
    <row r="2329" spans="29:32" x14ac:dyDescent="0.2">
      <c r="AC2329" s="20"/>
      <c r="AE2329" s="22"/>
      <c r="AF2329" s="22"/>
    </row>
    <row r="2330" spans="29:32" x14ac:dyDescent="0.2">
      <c r="AC2330" s="20"/>
      <c r="AE2330" s="22"/>
      <c r="AF2330" s="22"/>
    </row>
    <row r="2331" spans="29:32" x14ac:dyDescent="0.2">
      <c r="AC2331" s="20"/>
      <c r="AE2331" s="22"/>
      <c r="AF2331" s="22"/>
    </row>
    <row r="2332" spans="29:32" x14ac:dyDescent="0.2">
      <c r="AC2332" s="20"/>
      <c r="AE2332" s="22"/>
      <c r="AF2332" s="22"/>
    </row>
    <row r="2333" spans="29:32" x14ac:dyDescent="0.2">
      <c r="AC2333" s="20"/>
      <c r="AE2333" s="22"/>
      <c r="AF2333" s="22"/>
    </row>
    <row r="2334" spans="29:32" x14ac:dyDescent="0.2">
      <c r="AC2334" s="20"/>
      <c r="AE2334" s="22"/>
      <c r="AF2334" s="22"/>
    </row>
    <row r="2335" spans="29:32" x14ac:dyDescent="0.2">
      <c r="AC2335" s="20"/>
      <c r="AE2335" s="22"/>
      <c r="AF2335" s="22"/>
    </row>
    <row r="2336" spans="29:32" x14ac:dyDescent="0.2">
      <c r="AC2336" s="20"/>
      <c r="AE2336" s="22"/>
      <c r="AF2336" s="22"/>
    </row>
    <row r="2337" spans="29:32" x14ac:dyDescent="0.2">
      <c r="AC2337" s="20"/>
      <c r="AE2337" s="22"/>
      <c r="AF2337" s="22"/>
    </row>
    <row r="2338" spans="29:32" x14ac:dyDescent="0.2">
      <c r="AC2338" s="20"/>
      <c r="AE2338" s="22"/>
      <c r="AF2338" s="22"/>
    </row>
    <row r="2339" spans="29:32" x14ac:dyDescent="0.2">
      <c r="AC2339" s="20"/>
      <c r="AE2339" s="22"/>
      <c r="AF2339" s="22"/>
    </row>
    <row r="2340" spans="29:32" x14ac:dyDescent="0.2">
      <c r="AC2340" s="20"/>
      <c r="AE2340" s="22"/>
      <c r="AF2340" s="22"/>
    </row>
    <row r="2341" spans="29:32" x14ac:dyDescent="0.2">
      <c r="AC2341" s="20"/>
      <c r="AE2341" s="22"/>
      <c r="AF2341" s="22"/>
    </row>
    <row r="2342" spans="29:32" x14ac:dyDescent="0.2">
      <c r="AC2342" s="20"/>
      <c r="AE2342" s="22"/>
      <c r="AF2342" s="22"/>
    </row>
    <row r="2343" spans="29:32" x14ac:dyDescent="0.2">
      <c r="AC2343" s="20"/>
      <c r="AE2343" s="22"/>
      <c r="AF2343" s="22"/>
    </row>
    <row r="2344" spans="29:32" x14ac:dyDescent="0.2">
      <c r="AC2344" s="20"/>
      <c r="AE2344" s="22"/>
      <c r="AF2344" s="22"/>
    </row>
    <row r="2345" spans="29:32" x14ac:dyDescent="0.2">
      <c r="AC2345" s="20"/>
      <c r="AE2345" s="22"/>
      <c r="AF2345" s="22"/>
    </row>
    <row r="2346" spans="29:32" x14ac:dyDescent="0.2">
      <c r="AC2346" s="20"/>
      <c r="AE2346" s="22"/>
      <c r="AF2346" s="22"/>
    </row>
    <row r="2347" spans="29:32" x14ac:dyDescent="0.2">
      <c r="AC2347" s="20"/>
      <c r="AE2347" s="22"/>
      <c r="AF2347" s="22"/>
    </row>
    <row r="2348" spans="29:32" x14ac:dyDescent="0.2">
      <c r="AC2348" s="20"/>
      <c r="AE2348" s="22"/>
      <c r="AF2348" s="22"/>
    </row>
    <row r="2349" spans="29:32" x14ac:dyDescent="0.2">
      <c r="AC2349" s="20"/>
      <c r="AE2349" s="22"/>
      <c r="AF2349" s="22"/>
    </row>
    <row r="2350" spans="29:32" x14ac:dyDescent="0.2">
      <c r="AC2350" s="20"/>
      <c r="AE2350" s="22"/>
      <c r="AF2350" s="22"/>
    </row>
    <row r="2351" spans="29:32" x14ac:dyDescent="0.2">
      <c r="AC2351" s="20"/>
      <c r="AE2351" s="22"/>
      <c r="AF2351" s="22"/>
    </row>
    <row r="2352" spans="29:32" x14ac:dyDescent="0.2">
      <c r="AC2352" s="20"/>
      <c r="AE2352" s="22"/>
      <c r="AF2352" s="22"/>
    </row>
    <row r="2353" spans="29:32" x14ac:dyDescent="0.2">
      <c r="AC2353" s="20"/>
      <c r="AE2353" s="22"/>
      <c r="AF2353" s="22"/>
    </row>
    <row r="2354" spans="29:32" x14ac:dyDescent="0.2">
      <c r="AC2354" s="20"/>
      <c r="AE2354" s="22"/>
      <c r="AF2354" s="22"/>
    </row>
    <row r="2355" spans="29:32" x14ac:dyDescent="0.2">
      <c r="AC2355" s="20"/>
      <c r="AE2355" s="22"/>
      <c r="AF2355" s="22"/>
    </row>
    <row r="2356" spans="29:32" x14ac:dyDescent="0.2">
      <c r="AC2356" s="20"/>
      <c r="AE2356" s="22"/>
      <c r="AF2356" s="22"/>
    </row>
    <row r="2357" spans="29:32" x14ac:dyDescent="0.2">
      <c r="AC2357" s="20"/>
      <c r="AE2357" s="22"/>
      <c r="AF2357" s="22"/>
    </row>
    <row r="2358" spans="29:32" x14ac:dyDescent="0.2">
      <c r="AC2358" s="20"/>
      <c r="AE2358" s="22"/>
      <c r="AF2358" s="22"/>
    </row>
    <row r="2359" spans="29:32" x14ac:dyDescent="0.2">
      <c r="AC2359" s="20"/>
      <c r="AE2359" s="22"/>
      <c r="AF2359" s="22"/>
    </row>
    <row r="2360" spans="29:32" x14ac:dyDescent="0.2">
      <c r="AC2360" s="20"/>
      <c r="AE2360" s="22"/>
      <c r="AF2360" s="22"/>
    </row>
    <row r="2361" spans="29:32" x14ac:dyDescent="0.2">
      <c r="AC2361" s="20"/>
      <c r="AE2361" s="22"/>
      <c r="AF2361" s="22"/>
    </row>
    <row r="2362" spans="29:32" x14ac:dyDescent="0.2">
      <c r="AC2362" s="20"/>
      <c r="AE2362" s="22"/>
      <c r="AF2362" s="22"/>
    </row>
    <row r="2363" spans="29:32" x14ac:dyDescent="0.2">
      <c r="AC2363" s="20"/>
      <c r="AE2363" s="22"/>
      <c r="AF2363" s="22"/>
    </row>
    <row r="2364" spans="29:32" x14ac:dyDescent="0.2">
      <c r="AC2364" s="20"/>
      <c r="AE2364" s="22"/>
      <c r="AF2364" s="22"/>
    </row>
    <row r="2365" spans="29:32" x14ac:dyDescent="0.2">
      <c r="AC2365" s="20"/>
      <c r="AE2365" s="22"/>
      <c r="AF2365" s="22"/>
    </row>
    <row r="2366" spans="29:32" x14ac:dyDescent="0.2">
      <c r="AC2366" s="20"/>
      <c r="AE2366" s="22"/>
      <c r="AF2366" s="22"/>
    </row>
    <row r="2367" spans="29:32" x14ac:dyDescent="0.2">
      <c r="AC2367" s="20"/>
      <c r="AE2367" s="22"/>
      <c r="AF2367" s="22"/>
    </row>
    <row r="2368" spans="29:32" x14ac:dyDescent="0.2">
      <c r="AC2368" s="20"/>
      <c r="AE2368" s="22"/>
      <c r="AF2368" s="22"/>
    </row>
    <row r="2369" spans="29:32" x14ac:dyDescent="0.2">
      <c r="AC2369" s="20"/>
      <c r="AE2369" s="22"/>
      <c r="AF2369" s="22"/>
    </row>
    <row r="2370" spans="29:32" x14ac:dyDescent="0.2">
      <c r="AC2370" s="20"/>
      <c r="AE2370" s="22"/>
      <c r="AF2370" s="22"/>
    </row>
    <row r="2371" spans="29:32" x14ac:dyDescent="0.2">
      <c r="AC2371" s="20"/>
      <c r="AE2371" s="22"/>
      <c r="AF2371" s="22"/>
    </row>
    <row r="2372" spans="29:32" x14ac:dyDescent="0.2">
      <c r="AC2372" s="20"/>
      <c r="AE2372" s="22"/>
      <c r="AF2372" s="22"/>
    </row>
    <row r="2373" spans="29:32" x14ac:dyDescent="0.2">
      <c r="AC2373" s="20"/>
      <c r="AE2373" s="22"/>
      <c r="AF2373" s="22"/>
    </row>
    <row r="2374" spans="29:32" x14ac:dyDescent="0.2">
      <c r="AC2374" s="20"/>
      <c r="AE2374" s="22"/>
      <c r="AF2374" s="22"/>
    </row>
    <row r="2375" spans="29:32" x14ac:dyDescent="0.2">
      <c r="AC2375" s="20"/>
      <c r="AE2375" s="22"/>
      <c r="AF2375" s="22"/>
    </row>
    <row r="2376" spans="29:32" x14ac:dyDescent="0.2">
      <c r="AC2376" s="20"/>
      <c r="AE2376" s="22"/>
      <c r="AF2376" s="22"/>
    </row>
    <row r="2377" spans="29:32" x14ac:dyDescent="0.2">
      <c r="AC2377" s="20"/>
      <c r="AE2377" s="22"/>
      <c r="AF2377" s="22"/>
    </row>
    <row r="2378" spans="29:32" x14ac:dyDescent="0.2">
      <c r="AC2378" s="20"/>
      <c r="AE2378" s="22"/>
      <c r="AF2378" s="22"/>
    </row>
    <row r="2379" spans="29:32" x14ac:dyDescent="0.2">
      <c r="AC2379" s="20"/>
      <c r="AE2379" s="22"/>
      <c r="AF2379" s="22"/>
    </row>
    <row r="2380" spans="29:32" x14ac:dyDescent="0.2">
      <c r="AC2380" s="20"/>
      <c r="AE2380" s="22"/>
      <c r="AF2380" s="22"/>
    </row>
    <row r="2381" spans="29:32" x14ac:dyDescent="0.2">
      <c r="AC2381" s="20"/>
      <c r="AE2381" s="22"/>
      <c r="AF2381" s="22"/>
    </row>
    <row r="2382" spans="29:32" x14ac:dyDescent="0.2">
      <c r="AC2382" s="20"/>
      <c r="AE2382" s="22"/>
      <c r="AF2382" s="22"/>
    </row>
    <row r="2383" spans="29:32" x14ac:dyDescent="0.2">
      <c r="AC2383" s="20"/>
      <c r="AE2383" s="22"/>
      <c r="AF2383" s="22"/>
    </row>
    <row r="2384" spans="29:32" x14ac:dyDescent="0.2">
      <c r="AC2384" s="20"/>
      <c r="AE2384" s="22"/>
      <c r="AF2384" s="22"/>
    </row>
    <row r="2385" spans="29:32" x14ac:dyDescent="0.2">
      <c r="AC2385" s="20"/>
      <c r="AE2385" s="22"/>
      <c r="AF2385" s="22"/>
    </row>
    <row r="2386" spans="29:32" x14ac:dyDescent="0.2">
      <c r="AC2386" s="20"/>
      <c r="AE2386" s="22"/>
      <c r="AF2386" s="22"/>
    </row>
    <row r="2387" spans="29:32" x14ac:dyDescent="0.2">
      <c r="AC2387" s="20"/>
      <c r="AE2387" s="22"/>
      <c r="AF2387" s="22"/>
    </row>
    <row r="2388" spans="29:32" x14ac:dyDescent="0.2">
      <c r="AC2388" s="20"/>
      <c r="AE2388" s="22"/>
      <c r="AF2388" s="22"/>
    </row>
    <row r="2389" spans="29:32" x14ac:dyDescent="0.2">
      <c r="AC2389" s="20"/>
      <c r="AE2389" s="22"/>
      <c r="AF2389" s="22"/>
    </row>
    <row r="2390" spans="29:32" x14ac:dyDescent="0.2">
      <c r="AC2390" s="20"/>
      <c r="AE2390" s="22"/>
      <c r="AF2390" s="22"/>
    </row>
    <row r="2391" spans="29:32" x14ac:dyDescent="0.2">
      <c r="AC2391" s="20"/>
      <c r="AE2391" s="22"/>
      <c r="AF2391" s="22"/>
    </row>
    <row r="2392" spans="29:32" x14ac:dyDescent="0.2">
      <c r="AC2392" s="20"/>
      <c r="AE2392" s="22"/>
      <c r="AF2392" s="22"/>
    </row>
    <row r="2393" spans="29:32" x14ac:dyDescent="0.2">
      <c r="AC2393" s="20"/>
      <c r="AE2393" s="22"/>
      <c r="AF2393" s="22"/>
    </row>
    <row r="2394" spans="29:32" x14ac:dyDescent="0.2">
      <c r="AC2394" s="20"/>
      <c r="AE2394" s="22"/>
      <c r="AF2394" s="22"/>
    </row>
    <row r="2395" spans="29:32" x14ac:dyDescent="0.2">
      <c r="AC2395" s="20"/>
      <c r="AE2395" s="22"/>
      <c r="AF2395" s="22"/>
    </row>
    <row r="2396" spans="29:32" x14ac:dyDescent="0.2">
      <c r="AC2396" s="20"/>
      <c r="AE2396" s="22"/>
      <c r="AF2396" s="22"/>
    </row>
    <row r="2397" spans="29:32" x14ac:dyDescent="0.2">
      <c r="AC2397" s="20"/>
      <c r="AE2397" s="22"/>
      <c r="AF2397" s="22"/>
    </row>
    <row r="2398" spans="29:32" x14ac:dyDescent="0.2">
      <c r="AC2398" s="20"/>
      <c r="AE2398" s="22"/>
      <c r="AF2398" s="22"/>
    </row>
    <row r="2399" spans="29:32" x14ac:dyDescent="0.2">
      <c r="AC2399" s="20"/>
      <c r="AE2399" s="22"/>
      <c r="AF2399" s="22"/>
    </row>
    <row r="2400" spans="29:32" x14ac:dyDescent="0.2">
      <c r="AC2400" s="20"/>
      <c r="AE2400" s="22"/>
      <c r="AF2400" s="22"/>
    </row>
    <row r="2401" spans="29:32" x14ac:dyDescent="0.2">
      <c r="AC2401" s="20"/>
      <c r="AE2401" s="22"/>
      <c r="AF2401" s="22"/>
    </row>
    <row r="2402" spans="29:32" x14ac:dyDescent="0.2">
      <c r="AC2402" s="20"/>
      <c r="AE2402" s="22"/>
      <c r="AF2402" s="22"/>
    </row>
    <row r="2403" spans="29:32" x14ac:dyDescent="0.2">
      <c r="AC2403" s="20"/>
      <c r="AE2403" s="22"/>
      <c r="AF2403" s="22"/>
    </row>
    <row r="2404" spans="29:32" x14ac:dyDescent="0.2">
      <c r="AC2404" s="20"/>
      <c r="AE2404" s="22"/>
      <c r="AF2404" s="22"/>
    </row>
    <row r="2405" spans="29:32" x14ac:dyDescent="0.2">
      <c r="AC2405" s="20"/>
      <c r="AE2405" s="22"/>
      <c r="AF2405" s="22"/>
    </row>
    <row r="2406" spans="29:32" x14ac:dyDescent="0.2">
      <c r="AC2406" s="20"/>
      <c r="AE2406" s="22"/>
      <c r="AF2406" s="22"/>
    </row>
    <row r="2407" spans="29:32" x14ac:dyDescent="0.2">
      <c r="AC2407" s="20"/>
      <c r="AE2407" s="22"/>
      <c r="AF2407" s="22"/>
    </row>
    <row r="2408" spans="29:32" x14ac:dyDescent="0.2">
      <c r="AC2408" s="20"/>
      <c r="AE2408" s="22"/>
      <c r="AF2408" s="22"/>
    </row>
    <row r="2409" spans="29:32" x14ac:dyDescent="0.2">
      <c r="AC2409" s="20"/>
      <c r="AE2409" s="22"/>
      <c r="AF2409" s="22"/>
    </row>
    <row r="2410" spans="29:32" x14ac:dyDescent="0.2">
      <c r="AC2410" s="20"/>
      <c r="AE2410" s="22"/>
      <c r="AF2410" s="22"/>
    </row>
    <row r="2411" spans="29:32" x14ac:dyDescent="0.2">
      <c r="AC2411" s="20"/>
      <c r="AE2411" s="22"/>
      <c r="AF2411" s="22"/>
    </row>
    <row r="2412" spans="29:32" x14ac:dyDescent="0.2">
      <c r="AC2412" s="20"/>
      <c r="AE2412" s="22"/>
      <c r="AF2412" s="22"/>
    </row>
    <row r="2413" spans="29:32" x14ac:dyDescent="0.2">
      <c r="AC2413" s="20"/>
      <c r="AE2413" s="22"/>
      <c r="AF2413" s="22"/>
    </row>
    <row r="2414" spans="29:32" x14ac:dyDescent="0.2">
      <c r="AC2414" s="20"/>
      <c r="AE2414" s="22"/>
      <c r="AF2414" s="22"/>
    </row>
    <row r="2415" spans="29:32" x14ac:dyDescent="0.2">
      <c r="AC2415" s="20"/>
      <c r="AE2415" s="22"/>
      <c r="AF2415" s="22"/>
    </row>
    <row r="2416" spans="29:32" x14ac:dyDescent="0.2">
      <c r="AC2416" s="20"/>
      <c r="AE2416" s="22"/>
      <c r="AF2416" s="22"/>
    </row>
    <row r="2417" spans="29:32" x14ac:dyDescent="0.2">
      <c r="AC2417" s="20"/>
      <c r="AE2417" s="22"/>
      <c r="AF2417" s="22"/>
    </row>
    <row r="2418" spans="29:32" x14ac:dyDescent="0.2">
      <c r="AC2418" s="20"/>
      <c r="AE2418" s="22"/>
      <c r="AF2418" s="22"/>
    </row>
    <row r="2419" spans="29:32" x14ac:dyDescent="0.2">
      <c r="AC2419" s="20"/>
      <c r="AE2419" s="22"/>
      <c r="AF2419" s="22"/>
    </row>
    <row r="2420" spans="29:32" x14ac:dyDescent="0.2">
      <c r="AC2420" s="20"/>
      <c r="AE2420" s="22"/>
      <c r="AF2420" s="22"/>
    </row>
    <row r="2421" spans="29:32" x14ac:dyDescent="0.2">
      <c r="AC2421" s="20"/>
      <c r="AE2421" s="22"/>
      <c r="AF2421" s="22"/>
    </row>
    <row r="2422" spans="29:32" x14ac:dyDescent="0.2">
      <c r="AC2422" s="20"/>
      <c r="AE2422" s="22"/>
      <c r="AF2422" s="22"/>
    </row>
    <row r="2423" spans="29:32" x14ac:dyDescent="0.2">
      <c r="AC2423" s="20"/>
      <c r="AE2423" s="22"/>
      <c r="AF2423" s="22"/>
    </row>
    <row r="2424" spans="29:32" x14ac:dyDescent="0.2">
      <c r="AC2424" s="20"/>
      <c r="AE2424" s="22"/>
      <c r="AF2424" s="22"/>
    </row>
    <row r="2425" spans="29:32" x14ac:dyDescent="0.2">
      <c r="AC2425" s="20"/>
      <c r="AE2425" s="22"/>
      <c r="AF2425" s="22"/>
    </row>
    <row r="2426" spans="29:32" x14ac:dyDescent="0.2">
      <c r="AC2426" s="20"/>
      <c r="AE2426" s="22"/>
      <c r="AF2426" s="22"/>
    </row>
    <row r="2427" spans="29:32" x14ac:dyDescent="0.2">
      <c r="AC2427" s="20"/>
      <c r="AE2427" s="22"/>
      <c r="AF2427" s="22"/>
    </row>
    <row r="2428" spans="29:32" x14ac:dyDescent="0.2">
      <c r="AC2428" s="20"/>
      <c r="AE2428" s="22"/>
      <c r="AF2428" s="22"/>
    </row>
    <row r="2429" spans="29:32" x14ac:dyDescent="0.2">
      <c r="AC2429" s="20"/>
      <c r="AE2429" s="22"/>
      <c r="AF2429" s="22"/>
    </row>
    <row r="2430" spans="29:32" x14ac:dyDescent="0.2">
      <c r="AC2430" s="20"/>
      <c r="AE2430" s="22"/>
      <c r="AF2430" s="22"/>
    </row>
    <row r="2431" spans="29:32" x14ac:dyDescent="0.2">
      <c r="AC2431" s="20"/>
      <c r="AE2431" s="22"/>
      <c r="AF2431" s="22"/>
    </row>
    <row r="2432" spans="29:32" x14ac:dyDescent="0.2">
      <c r="AC2432" s="20"/>
      <c r="AE2432" s="22"/>
      <c r="AF2432" s="22"/>
    </row>
    <row r="2433" spans="29:32" x14ac:dyDescent="0.2">
      <c r="AC2433" s="20"/>
      <c r="AE2433" s="22"/>
      <c r="AF2433" s="22"/>
    </row>
    <row r="2434" spans="29:32" x14ac:dyDescent="0.2">
      <c r="AC2434" s="20"/>
      <c r="AE2434" s="22"/>
      <c r="AF2434" s="22"/>
    </row>
    <row r="2435" spans="29:32" x14ac:dyDescent="0.2">
      <c r="AC2435" s="20"/>
      <c r="AE2435" s="22"/>
      <c r="AF2435" s="22"/>
    </row>
    <row r="2436" spans="29:32" x14ac:dyDescent="0.2">
      <c r="AC2436" s="20"/>
      <c r="AE2436" s="22"/>
      <c r="AF2436" s="22"/>
    </row>
    <row r="2437" spans="29:32" x14ac:dyDescent="0.2">
      <c r="AC2437" s="20"/>
      <c r="AE2437" s="22"/>
      <c r="AF2437" s="22"/>
    </row>
    <row r="2438" spans="29:32" x14ac:dyDescent="0.2">
      <c r="AC2438" s="20"/>
      <c r="AE2438" s="22"/>
      <c r="AF2438" s="22"/>
    </row>
    <row r="2439" spans="29:32" x14ac:dyDescent="0.2">
      <c r="AC2439" s="20"/>
      <c r="AE2439" s="22"/>
      <c r="AF2439" s="22"/>
    </row>
    <row r="2440" spans="29:32" x14ac:dyDescent="0.2">
      <c r="AC2440" s="20"/>
      <c r="AE2440" s="22"/>
      <c r="AF2440" s="22"/>
    </row>
    <row r="2441" spans="29:32" x14ac:dyDescent="0.2">
      <c r="AC2441" s="20"/>
      <c r="AE2441" s="22"/>
      <c r="AF2441" s="22"/>
    </row>
    <row r="2442" spans="29:32" x14ac:dyDescent="0.2">
      <c r="AC2442" s="20"/>
      <c r="AE2442" s="22"/>
      <c r="AF2442" s="22"/>
    </row>
    <row r="2443" spans="29:32" x14ac:dyDescent="0.2">
      <c r="AC2443" s="20"/>
      <c r="AE2443" s="22"/>
      <c r="AF2443" s="22"/>
    </row>
    <row r="2444" spans="29:32" x14ac:dyDescent="0.2">
      <c r="AC2444" s="20"/>
      <c r="AE2444" s="22"/>
      <c r="AF2444" s="22"/>
    </row>
    <row r="2445" spans="29:32" x14ac:dyDescent="0.2">
      <c r="AC2445" s="20"/>
      <c r="AE2445" s="22"/>
      <c r="AF2445" s="22"/>
    </row>
    <row r="2446" spans="29:32" x14ac:dyDescent="0.2">
      <c r="AC2446" s="20"/>
      <c r="AE2446" s="22"/>
      <c r="AF2446" s="22"/>
    </row>
    <row r="2447" spans="29:32" x14ac:dyDescent="0.2">
      <c r="AC2447" s="20"/>
      <c r="AE2447" s="22"/>
      <c r="AF2447" s="22"/>
    </row>
    <row r="2448" spans="29:32" x14ac:dyDescent="0.2">
      <c r="AC2448" s="20"/>
      <c r="AE2448" s="22"/>
      <c r="AF2448" s="22"/>
    </row>
    <row r="2449" spans="29:32" x14ac:dyDescent="0.2">
      <c r="AC2449" s="20"/>
      <c r="AE2449" s="22"/>
      <c r="AF2449" s="22"/>
    </row>
    <row r="2450" spans="29:32" x14ac:dyDescent="0.2">
      <c r="AC2450" s="20"/>
      <c r="AE2450" s="22"/>
      <c r="AF2450" s="22"/>
    </row>
    <row r="2451" spans="29:32" x14ac:dyDescent="0.2">
      <c r="AC2451" s="20"/>
      <c r="AE2451" s="22"/>
      <c r="AF2451" s="22"/>
    </row>
    <row r="2452" spans="29:32" x14ac:dyDescent="0.2">
      <c r="AC2452" s="20"/>
      <c r="AE2452" s="22"/>
      <c r="AF2452" s="22"/>
    </row>
    <row r="2453" spans="29:32" x14ac:dyDescent="0.2">
      <c r="AC2453" s="20"/>
      <c r="AE2453" s="22"/>
      <c r="AF2453" s="22"/>
    </row>
    <row r="2454" spans="29:32" x14ac:dyDescent="0.2">
      <c r="AC2454" s="20"/>
      <c r="AE2454" s="22"/>
      <c r="AF2454" s="22"/>
    </row>
    <row r="2455" spans="29:32" x14ac:dyDescent="0.2">
      <c r="AC2455" s="20"/>
      <c r="AE2455" s="22"/>
      <c r="AF2455" s="22"/>
    </row>
    <row r="2456" spans="29:32" x14ac:dyDescent="0.2">
      <c r="AC2456" s="20"/>
      <c r="AE2456" s="22"/>
      <c r="AF2456" s="22"/>
    </row>
    <row r="2457" spans="29:32" x14ac:dyDescent="0.2">
      <c r="AC2457" s="20"/>
      <c r="AE2457" s="22"/>
      <c r="AF2457" s="22"/>
    </row>
    <row r="2458" spans="29:32" x14ac:dyDescent="0.2">
      <c r="AC2458" s="20"/>
      <c r="AE2458" s="22"/>
      <c r="AF2458" s="22"/>
    </row>
    <row r="2459" spans="29:32" x14ac:dyDescent="0.2">
      <c r="AC2459" s="20"/>
      <c r="AE2459" s="22"/>
      <c r="AF2459" s="22"/>
    </row>
    <row r="2460" spans="29:32" x14ac:dyDescent="0.2">
      <c r="AC2460" s="20"/>
      <c r="AE2460" s="22"/>
      <c r="AF2460" s="22"/>
    </row>
    <row r="2461" spans="29:32" x14ac:dyDescent="0.2">
      <c r="AC2461" s="20"/>
      <c r="AE2461" s="22"/>
      <c r="AF2461" s="22"/>
    </row>
    <row r="2462" spans="29:32" x14ac:dyDescent="0.2">
      <c r="AC2462" s="20"/>
      <c r="AE2462" s="22"/>
      <c r="AF2462" s="22"/>
    </row>
    <row r="2463" spans="29:32" x14ac:dyDescent="0.2">
      <c r="AC2463" s="20"/>
      <c r="AE2463" s="22"/>
      <c r="AF2463" s="22"/>
    </row>
    <row r="2464" spans="29:32" x14ac:dyDescent="0.2">
      <c r="AC2464" s="20"/>
      <c r="AE2464" s="22"/>
      <c r="AF2464" s="22"/>
    </row>
    <row r="2465" spans="29:32" x14ac:dyDescent="0.2">
      <c r="AC2465" s="20"/>
      <c r="AE2465" s="22"/>
      <c r="AF2465" s="22"/>
    </row>
    <row r="2466" spans="29:32" x14ac:dyDescent="0.2">
      <c r="AC2466" s="20"/>
      <c r="AE2466" s="22"/>
      <c r="AF2466" s="22"/>
    </row>
    <row r="2467" spans="29:32" x14ac:dyDescent="0.2">
      <c r="AC2467" s="20"/>
      <c r="AE2467" s="22"/>
      <c r="AF2467" s="22"/>
    </row>
    <row r="2468" spans="29:32" x14ac:dyDescent="0.2">
      <c r="AC2468" s="20"/>
      <c r="AE2468" s="22"/>
      <c r="AF2468" s="22"/>
    </row>
    <row r="2469" spans="29:32" x14ac:dyDescent="0.2">
      <c r="AC2469" s="20"/>
      <c r="AE2469" s="22"/>
      <c r="AF2469" s="22"/>
    </row>
    <row r="2470" spans="29:32" x14ac:dyDescent="0.2">
      <c r="AC2470" s="20"/>
      <c r="AE2470" s="22"/>
      <c r="AF2470" s="22"/>
    </row>
    <row r="2471" spans="29:32" x14ac:dyDescent="0.2">
      <c r="AC2471" s="20"/>
      <c r="AE2471" s="22"/>
      <c r="AF2471" s="22"/>
    </row>
    <row r="2472" spans="29:32" x14ac:dyDescent="0.2">
      <c r="AC2472" s="20"/>
      <c r="AE2472" s="22"/>
      <c r="AF2472" s="22"/>
    </row>
    <row r="2473" spans="29:32" x14ac:dyDescent="0.2">
      <c r="AC2473" s="20"/>
      <c r="AE2473" s="22"/>
      <c r="AF2473" s="22"/>
    </row>
    <row r="2474" spans="29:32" x14ac:dyDescent="0.2">
      <c r="AC2474" s="20"/>
      <c r="AE2474" s="22"/>
      <c r="AF2474" s="22"/>
    </row>
    <row r="2475" spans="29:32" x14ac:dyDescent="0.2">
      <c r="AC2475" s="20"/>
      <c r="AE2475" s="22"/>
      <c r="AF2475" s="22"/>
    </row>
    <row r="2476" spans="29:32" x14ac:dyDescent="0.2">
      <c r="AC2476" s="20"/>
      <c r="AE2476" s="22"/>
      <c r="AF2476" s="22"/>
    </row>
    <row r="2477" spans="29:32" x14ac:dyDescent="0.2">
      <c r="AC2477" s="20"/>
      <c r="AE2477" s="22"/>
      <c r="AF2477" s="22"/>
    </row>
    <row r="2478" spans="29:32" x14ac:dyDescent="0.2">
      <c r="AC2478" s="20"/>
      <c r="AE2478" s="22"/>
      <c r="AF2478" s="22"/>
    </row>
    <row r="2479" spans="29:32" x14ac:dyDescent="0.2">
      <c r="AC2479" s="20"/>
      <c r="AE2479" s="22"/>
      <c r="AF2479" s="22"/>
    </row>
    <row r="2480" spans="29:32" x14ac:dyDescent="0.2">
      <c r="AC2480" s="20"/>
      <c r="AE2480" s="22"/>
      <c r="AF2480" s="22"/>
    </row>
    <row r="2481" spans="29:32" x14ac:dyDescent="0.2">
      <c r="AC2481" s="20"/>
      <c r="AE2481" s="22"/>
      <c r="AF2481" s="22"/>
    </row>
    <row r="2482" spans="29:32" x14ac:dyDescent="0.2">
      <c r="AC2482" s="20"/>
      <c r="AE2482" s="22"/>
      <c r="AF2482" s="22"/>
    </row>
    <row r="2483" spans="29:32" x14ac:dyDescent="0.2">
      <c r="AC2483" s="20"/>
      <c r="AE2483" s="22"/>
      <c r="AF2483" s="22"/>
    </row>
    <row r="2484" spans="29:32" x14ac:dyDescent="0.2">
      <c r="AC2484" s="20"/>
      <c r="AE2484" s="22"/>
      <c r="AF2484" s="22"/>
    </row>
    <row r="2485" spans="29:32" x14ac:dyDescent="0.2">
      <c r="AC2485" s="20"/>
      <c r="AE2485" s="22"/>
      <c r="AF2485" s="22"/>
    </row>
    <row r="2486" spans="29:32" x14ac:dyDescent="0.2">
      <c r="AC2486" s="20"/>
      <c r="AE2486" s="22"/>
      <c r="AF2486" s="22"/>
    </row>
    <row r="2487" spans="29:32" x14ac:dyDescent="0.2">
      <c r="AC2487" s="20"/>
      <c r="AE2487" s="22"/>
      <c r="AF2487" s="22"/>
    </row>
    <row r="2488" spans="29:32" x14ac:dyDescent="0.2">
      <c r="AC2488" s="20"/>
      <c r="AE2488" s="22"/>
      <c r="AF2488" s="22"/>
    </row>
    <row r="2489" spans="29:32" x14ac:dyDescent="0.2">
      <c r="AC2489" s="20"/>
      <c r="AE2489" s="22"/>
      <c r="AF2489" s="22"/>
    </row>
    <row r="2490" spans="29:32" x14ac:dyDescent="0.2">
      <c r="AC2490" s="20"/>
      <c r="AE2490" s="22"/>
      <c r="AF2490" s="22"/>
    </row>
    <row r="2491" spans="29:32" x14ac:dyDescent="0.2">
      <c r="AC2491" s="20"/>
      <c r="AE2491" s="22"/>
      <c r="AF2491" s="22"/>
    </row>
    <row r="2492" spans="29:32" x14ac:dyDescent="0.2">
      <c r="AC2492" s="20"/>
      <c r="AE2492" s="22"/>
      <c r="AF2492" s="22"/>
    </row>
    <row r="2493" spans="29:32" x14ac:dyDescent="0.2">
      <c r="AC2493" s="20"/>
      <c r="AE2493" s="22"/>
      <c r="AF2493" s="22"/>
    </row>
    <row r="2494" spans="29:32" x14ac:dyDescent="0.2">
      <c r="AC2494" s="20"/>
      <c r="AE2494" s="22"/>
      <c r="AF2494" s="22"/>
    </row>
    <row r="2495" spans="29:32" x14ac:dyDescent="0.2">
      <c r="AC2495" s="20"/>
      <c r="AE2495" s="22"/>
      <c r="AF2495" s="22"/>
    </row>
    <row r="2496" spans="29:32" x14ac:dyDescent="0.2">
      <c r="AC2496" s="20"/>
      <c r="AE2496" s="22"/>
      <c r="AF2496" s="22"/>
    </row>
    <row r="2497" spans="29:32" x14ac:dyDescent="0.2">
      <c r="AC2497" s="20"/>
      <c r="AE2497" s="22"/>
      <c r="AF2497" s="22"/>
    </row>
    <row r="2498" spans="29:32" x14ac:dyDescent="0.2">
      <c r="AC2498" s="20"/>
      <c r="AE2498" s="22"/>
      <c r="AF2498" s="22"/>
    </row>
    <row r="2499" spans="29:32" x14ac:dyDescent="0.2">
      <c r="AC2499" s="20"/>
      <c r="AE2499" s="22"/>
      <c r="AF2499" s="22"/>
    </row>
    <row r="2500" spans="29:32" x14ac:dyDescent="0.2">
      <c r="AC2500" s="20"/>
      <c r="AE2500" s="22"/>
      <c r="AF2500" s="22"/>
    </row>
    <row r="2501" spans="29:32" x14ac:dyDescent="0.2">
      <c r="AC2501" s="20"/>
      <c r="AE2501" s="22"/>
      <c r="AF2501" s="22"/>
    </row>
    <row r="2502" spans="29:32" x14ac:dyDescent="0.2">
      <c r="AC2502" s="20"/>
      <c r="AE2502" s="22"/>
      <c r="AF2502" s="22"/>
    </row>
    <row r="2503" spans="29:32" x14ac:dyDescent="0.2">
      <c r="AC2503" s="20"/>
      <c r="AE2503" s="22"/>
      <c r="AF2503" s="22"/>
    </row>
    <row r="2504" spans="29:32" x14ac:dyDescent="0.2">
      <c r="AC2504" s="20"/>
      <c r="AE2504" s="22"/>
      <c r="AF2504" s="22"/>
    </row>
    <row r="2505" spans="29:32" x14ac:dyDescent="0.2">
      <c r="AC2505" s="20"/>
      <c r="AE2505" s="22"/>
      <c r="AF2505" s="22"/>
    </row>
    <row r="2506" spans="29:32" x14ac:dyDescent="0.2">
      <c r="AC2506" s="20"/>
      <c r="AE2506" s="22"/>
      <c r="AF2506" s="22"/>
    </row>
    <row r="2507" spans="29:32" x14ac:dyDescent="0.2">
      <c r="AC2507" s="20"/>
      <c r="AE2507" s="22"/>
      <c r="AF2507" s="22"/>
    </row>
    <row r="2508" spans="29:32" x14ac:dyDescent="0.2">
      <c r="AC2508" s="20"/>
      <c r="AE2508" s="22"/>
      <c r="AF2508" s="22"/>
    </row>
    <row r="2509" spans="29:32" x14ac:dyDescent="0.2">
      <c r="AC2509" s="20"/>
      <c r="AE2509" s="22"/>
      <c r="AF2509" s="22"/>
    </row>
    <row r="2510" spans="29:32" x14ac:dyDescent="0.2">
      <c r="AC2510" s="20"/>
      <c r="AE2510" s="22"/>
      <c r="AF2510" s="22"/>
    </row>
    <row r="2511" spans="29:32" x14ac:dyDescent="0.2">
      <c r="AC2511" s="20"/>
      <c r="AE2511" s="22"/>
      <c r="AF2511" s="22"/>
    </row>
    <row r="2512" spans="29:32" x14ac:dyDescent="0.2">
      <c r="AC2512" s="20"/>
      <c r="AE2512" s="22"/>
      <c r="AF2512" s="22"/>
    </row>
    <row r="2513" spans="29:32" x14ac:dyDescent="0.2">
      <c r="AC2513" s="20"/>
      <c r="AE2513" s="22"/>
      <c r="AF2513" s="22"/>
    </row>
    <row r="2514" spans="29:32" x14ac:dyDescent="0.2">
      <c r="AC2514" s="20"/>
      <c r="AE2514" s="22"/>
      <c r="AF2514" s="22"/>
    </row>
    <row r="2515" spans="29:32" x14ac:dyDescent="0.2">
      <c r="AC2515" s="20"/>
      <c r="AE2515" s="22"/>
      <c r="AF2515" s="22"/>
    </row>
    <row r="2516" spans="29:32" x14ac:dyDescent="0.2">
      <c r="AC2516" s="20"/>
      <c r="AE2516" s="22"/>
      <c r="AF2516" s="22"/>
    </row>
    <row r="2517" spans="29:32" x14ac:dyDescent="0.2">
      <c r="AC2517" s="20"/>
      <c r="AE2517" s="22"/>
      <c r="AF2517" s="22"/>
    </row>
    <row r="2518" spans="29:32" x14ac:dyDescent="0.2">
      <c r="AC2518" s="20"/>
      <c r="AE2518" s="22"/>
      <c r="AF2518" s="22"/>
    </row>
    <row r="2519" spans="29:32" x14ac:dyDescent="0.2">
      <c r="AC2519" s="20"/>
      <c r="AE2519" s="22"/>
      <c r="AF2519" s="22"/>
    </row>
    <row r="2520" spans="29:32" x14ac:dyDescent="0.2">
      <c r="AC2520" s="20"/>
      <c r="AE2520" s="22"/>
      <c r="AF2520" s="22"/>
    </row>
    <row r="2521" spans="29:32" x14ac:dyDescent="0.2">
      <c r="AC2521" s="20"/>
      <c r="AE2521" s="22"/>
      <c r="AF2521" s="22"/>
    </row>
    <row r="2522" spans="29:32" x14ac:dyDescent="0.2">
      <c r="AC2522" s="20"/>
      <c r="AE2522" s="22"/>
      <c r="AF2522" s="22"/>
    </row>
    <row r="2523" spans="29:32" x14ac:dyDescent="0.2">
      <c r="AC2523" s="20"/>
      <c r="AE2523" s="22"/>
      <c r="AF2523" s="22"/>
    </row>
    <row r="2524" spans="29:32" x14ac:dyDescent="0.2">
      <c r="AC2524" s="20"/>
      <c r="AE2524" s="22"/>
      <c r="AF2524" s="22"/>
    </row>
    <row r="2525" spans="29:32" x14ac:dyDescent="0.2">
      <c r="AC2525" s="20"/>
      <c r="AE2525" s="22"/>
      <c r="AF2525" s="22"/>
    </row>
    <row r="2526" spans="29:32" x14ac:dyDescent="0.2">
      <c r="AC2526" s="20"/>
      <c r="AE2526" s="22"/>
      <c r="AF2526" s="22"/>
    </row>
    <row r="2527" spans="29:32" x14ac:dyDescent="0.2">
      <c r="AC2527" s="20"/>
      <c r="AE2527" s="22"/>
      <c r="AF2527" s="22"/>
    </row>
    <row r="2528" spans="29:32" x14ac:dyDescent="0.2">
      <c r="AC2528" s="20"/>
      <c r="AE2528" s="22"/>
      <c r="AF2528" s="22"/>
    </row>
    <row r="2529" spans="29:32" x14ac:dyDescent="0.2">
      <c r="AC2529" s="20"/>
      <c r="AE2529" s="22"/>
      <c r="AF2529" s="22"/>
    </row>
    <row r="2530" spans="29:32" x14ac:dyDescent="0.2">
      <c r="AC2530" s="20"/>
      <c r="AE2530" s="22"/>
      <c r="AF2530" s="22"/>
    </row>
    <row r="2531" spans="29:32" x14ac:dyDescent="0.2">
      <c r="AC2531" s="20"/>
      <c r="AE2531" s="22"/>
      <c r="AF2531" s="22"/>
    </row>
    <row r="2532" spans="29:32" x14ac:dyDescent="0.2">
      <c r="AC2532" s="20"/>
      <c r="AE2532" s="22"/>
      <c r="AF2532" s="22"/>
    </row>
    <row r="2533" spans="29:32" x14ac:dyDescent="0.2">
      <c r="AC2533" s="20"/>
      <c r="AE2533" s="22"/>
      <c r="AF2533" s="22"/>
    </row>
    <row r="2534" spans="29:32" x14ac:dyDescent="0.2">
      <c r="AC2534" s="20"/>
      <c r="AE2534" s="22"/>
      <c r="AF2534" s="22"/>
    </row>
    <row r="2535" spans="29:32" x14ac:dyDescent="0.2">
      <c r="AC2535" s="20"/>
      <c r="AE2535" s="22"/>
      <c r="AF2535" s="22"/>
    </row>
    <row r="2536" spans="29:32" x14ac:dyDescent="0.2">
      <c r="AC2536" s="20"/>
      <c r="AE2536" s="22"/>
      <c r="AF2536" s="22"/>
    </row>
    <row r="2537" spans="29:32" x14ac:dyDescent="0.2">
      <c r="AC2537" s="20"/>
      <c r="AE2537" s="22"/>
      <c r="AF2537" s="22"/>
    </row>
    <row r="2538" spans="29:32" x14ac:dyDescent="0.2">
      <c r="AC2538" s="20"/>
      <c r="AE2538" s="22"/>
      <c r="AF2538" s="22"/>
    </row>
    <row r="2539" spans="29:32" x14ac:dyDescent="0.2">
      <c r="AC2539" s="20"/>
      <c r="AE2539" s="22"/>
      <c r="AF2539" s="22"/>
    </row>
    <row r="2540" spans="29:32" x14ac:dyDescent="0.2">
      <c r="AC2540" s="20"/>
      <c r="AE2540" s="22"/>
      <c r="AF2540" s="22"/>
    </row>
    <row r="2541" spans="29:32" x14ac:dyDescent="0.2">
      <c r="AC2541" s="20"/>
      <c r="AE2541" s="22"/>
      <c r="AF2541" s="22"/>
    </row>
    <row r="2542" spans="29:32" x14ac:dyDescent="0.2">
      <c r="AC2542" s="20"/>
      <c r="AE2542" s="22"/>
      <c r="AF2542" s="22"/>
    </row>
    <row r="2543" spans="29:32" x14ac:dyDescent="0.2">
      <c r="AC2543" s="20"/>
      <c r="AE2543" s="22"/>
      <c r="AF2543" s="22"/>
    </row>
    <row r="2544" spans="29:32" x14ac:dyDescent="0.2">
      <c r="AC2544" s="20"/>
      <c r="AE2544" s="22"/>
      <c r="AF2544" s="22"/>
    </row>
    <row r="2545" spans="29:32" x14ac:dyDescent="0.2">
      <c r="AC2545" s="20"/>
      <c r="AE2545" s="22"/>
      <c r="AF2545" s="22"/>
    </row>
    <row r="2546" spans="29:32" x14ac:dyDescent="0.2">
      <c r="AC2546" s="20"/>
      <c r="AE2546" s="22"/>
      <c r="AF2546" s="22"/>
    </row>
    <row r="2547" spans="29:32" x14ac:dyDescent="0.2">
      <c r="AC2547" s="20"/>
      <c r="AE2547" s="22"/>
      <c r="AF2547" s="22"/>
    </row>
    <row r="2548" spans="29:32" x14ac:dyDescent="0.2">
      <c r="AC2548" s="20"/>
      <c r="AE2548" s="22"/>
      <c r="AF2548" s="22"/>
    </row>
    <row r="2549" spans="29:32" x14ac:dyDescent="0.2">
      <c r="AC2549" s="20"/>
      <c r="AE2549" s="22"/>
      <c r="AF2549" s="22"/>
    </row>
    <row r="2550" spans="29:32" x14ac:dyDescent="0.2">
      <c r="AC2550" s="20"/>
      <c r="AE2550" s="22"/>
      <c r="AF2550" s="22"/>
    </row>
    <row r="2551" spans="29:32" x14ac:dyDescent="0.2">
      <c r="AC2551" s="20"/>
      <c r="AE2551" s="22"/>
      <c r="AF2551" s="22"/>
    </row>
    <row r="2552" spans="29:32" x14ac:dyDescent="0.2">
      <c r="AC2552" s="20"/>
      <c r="AE2552" s="22"/>
      <c r="AF2552" s="22"/>
    </row>
    <row r="2553" spans="29:32" x14ac:dyDescent="0.2">
      <c r="AC2553" s="20"/>
      <c r="AE2553" s="22"/>
      <c r="AF2553" s="22"/>
    </row>
    <row r="2554" spans="29:32" x14ac:dyDescent="0.2">
      <c r="AC2554" s="20"/>
      <c r="AE2554" s="22"/>
      <c r="AF2554" s="22"/>
    </row>
    <row r="2555" spans="29:32" x14ac:dyDescent="0.2">
      <c r="AC2555" s="20"/>
      <c r="AE2555" s="22"/>
      <c r="AF2555" s="22"/>
    </row>
    <row r="2556" spans="29:32" x14ac:dyDescent="0.2">
      <c r="AC2556" s="20"/>
      <c r="AE2556" s="22"/>
      <c r="AF2556" s="22"/>
    </row>
    <row r="2557" spans="29:32" x14ac:dyDescent="0.2">
      <c r="AC2557" s="20"/>
      <c r="AE2557" s="22"/>
      <c r="AF2557" s="22"/>
    </row>
    <row r="2558" spans="29:32" x14ac:dyDescent="0.2">
      <c r="AC2558" s="20"/>
      <c r="AE2558" s="22"/>
      <c r="AF2558" s="22"/>
    </row>
    <row r="2559" spans="29:32" x14ac:dyDescent="0.2">
      <c r="AC2559" s="20"/>
      <c r="AE2559" s="22"/>
      <c r="AF2559" s="22"/>
    </row>
    <row r="2560" spans="29:32" x14ac:dyDescent="0.2">
      <c r="AC2560" s="20"/>
      <c r="AE2560" s="22"/>
      <c r="AF2560" s="22"/>
    </row>
    <row r="2561" spans="29:32" x14ac:dyDescent="0.2">
      <c r="AC2561" s="20"/>
      <c r="AE2561" s="22"/>
      <c r="AF2561" s="22"/>
    </row>
    <row r="2562" spans="29:32" x14ac:dyDescent="0.2">
      <c r="AC2562" s="20"/>
      <c r="AE2562" s="22"/>
      <c r="AF2562" s="22"/>
    </row>
    <row r="2563" spans="29:32" x14ac:dyDescent="0.2">
      <c r="AC2563" s="20"/>
      <c r="AE2563" s="22"/>
      <c r="AF2563" s="22"/>
    </row>
    <row r="2564" spans="29:32" x14ac:dyDescent="0.2">
      <c r="AC2564" s="20"/>
      <c r="AE2564" s="22"/>
      <c r="AF2564" s="22"/>
    </row>
    <row r="2565" spans="29:32" x14ac:dyDescent="0.2">
      <c r="AC2565" s="20"/>
      <c r="AE2565" s="22"/>
      <c r="AF2565" s="22"/>
    </row>
    <row r="2566" spans="29:32" x14ac:dyDescent="0.2">
      <c r="AC2566" s="20"/>
      <c r="AE2566" s="22"/>
      <c r="AF2566" s="22"/>
    </row>
    <row r="2567" spans="29:32" x14ac:dyDescent="0.2">
      <c r="AC2567" s="20"/>
      <c r="AE2567" s="22"/>
      <c r="AF2567" s="22"/>
    </row>
    <row r="2568" spans="29:32" x14ac:dyDescent="0.2">
      <c r="AC2568" s="20"/>
      <c r="AE2568" s="22"/>
      <c r="AF2568" s="22"/>
    </row>
    <row r="2569" spans="29:32" x14ac:dyDescent="0.2">
      <c r="AC2569" s="20"/>
      <c r="AE2569" s="22"/>
      <c r="AF2569" s="22"/>
    </row>
    <row r="2570" spans="29:32" x14ac:dyDescent="0.2">
      <c r="AC2570" s="20"/>
      <c r="AE2570" s="22"/>
      <c r="AF2570" s="22"/>
    </row>
    <row r="2571" spans="29:32" x14ac:dyDescent="0.2">
      <c r="AC2571" s="20"/>
      <c r="AE2571" s="22"/>
      <c r="AF2571" s="22"/>
    </row>
    <row r="2572" spans="29:32" x14ac:dyDescent="0.2">
      <c r="AC2572" s="20"/>
      <c r="AE2572" s="22"/>
      <c r="AF2572" s="22"/>
    </row>
    <row r="2573" spans="29:32" x14ac:dyDescent="0.2">
      <c r="AC2573" s="20"/>
      <c r="AE2573" s="22"/>
      <c r="AF2573" s="22"/>
    </row>
    <row r="2574" spans="29:32" x14ac:dyDescent="0.2">
      <c r="AC2574" s="20"/>
      <c r="AE2574" s="22"/>
      <c r="AF2574" s="22"/>
    </row>
    <row r="2575" spans="29:32" x14ac:dyDescent="0.2">
      <c r="AC2575" s="20"/>
      <c r="AE2575" s="22"/>
      <c r="AF2575" s="22"/>
    </row>
    <row r="2576" spans="29:32" x14ac:dyDescent="0.2">
      <c r="AC2576" s="20"/>
      <c r="AE2576" s="22"/>
      <c r="AF2576" s="22"/>
    </row>
    <row r="2577" spans="29:32" x14ac:dyDescent="0.2">
      <c r="AC2577" s="20"/>
      <c r="AE2577" s="22"/>
      <c r="AF2577" s="22"/>
    </row>
    <row r="2578" spans="29:32" x14ac:dyDescent="0.2">
      <c r="AC2578" s="20"/>
      <c r="AE2578" s="22"/>
      <c r="AF2578" s="22"/>
    </row>
    <row r="2579" spans="29:32" x14ac:dyDescent="0.2">
      <c r="AC2579" s="20"/>
      <c r="AE2579" s="22"/>
      <c r="AF2579" s="22"/>
    </row>
    <row r="2580" spans="29:32" x14ac:dyDescent="0.2">
      <c r="AC2580" s="20"/>
      <c r="AE2580" s="22"/>
      <c r="AF2580" s="22"/>
    </row>
    <row r="2581" spans="29:32" x14ac:dyDescent="0.2">
      <c r="AC2581" s="20"/>
      <c r="AE2581" s="22"/>
      <c r="AF2581" s="22"/>
    </row>
    <row r="2582" spans="29:32" x14ac:dyDescent="0.2">
      <c r="AC2582" s="20"/>
      <c r="AE2582" s="22"/>
      <c r="AF2582" s="22"/>
    </row>
    <row r="2583" spans="29:32" x14ac:dyDescent="0.2">
      <c r="AC2583" s="20"/>
      <c r="AE2583" s="22"/>
      <c r="AF2583" s="22"/>
    </row>
    <row r="2584" spans="29:32" x14ac:dyDescent="0.2">
      <c r="AC2584" s="20"/>
      <c r="AE2584" s="22"/>
      <c r="AF2584" s="22"/>
    </row>
    <row r="2585" spans="29:32" x14ac:dyDescent="0.2">
      <c r="AC2585" s="20"/>
      <c r="AE2585" s="22"/>
      <c r="AF2585" s="22"/>
    </row>
    <row r="2586" spans="29:32" x14ac:dyDescent="0.2">
      <c r="AC2586" s="20"/>
      <c r="AE2586" s="22"/>
      <c r="AF2586" s="22"/>
    </row>
    <row r="2587" spans="29:32" x14ac:dyDescent="0.2">
      <c r="AC2587" s="20"/>
      <c r="AE2587" s="22"/>
      <c r="AF2587" s="22"/>
    </row>
    <row r="2588" spans="29:32" x14ac:dyDescent="0.2">
      <c r="AC2588" s="20"/>
      <c r="AE2588" s="22"/>
      <c r="AF2588" s="22"/>
    </row>
    <row r="2589" spans="29:32" x14ac:dyDescent="0.2">
      <c r="AC2589" s="20"/>
      <c r="AE2589" s="22"/>
      <c r="AF2589" s="22"/>
    </row>
    <row r="2590" spans="29:32" x14ac:dyDescent="0.2">
      <c r="AC2590" s="20"/>
      <c r="AE2590" s="22"/>
      <c r="AF2590" s="22"/>
    </row>
    <row r="2591" spans="29:32" x14ac:dyDescent="0.2">
      <c r="AC2591" s="20"/>
      <c r="AE2591" s="22"/>
      <c r="AF2591" s="22"/>
    </row>
    <row r="2592" spans="29:32" x14ac:dyDescent="0.2">
      <c r="AC2592" s="20"/>
      <c r="AE2592" s="22"/>
      <c r="AF2592" s="22"/>
    </row>
    <row r="2593" spans="29:32" x14ac:dyDescent="0.2">
      <c r="AC2593" s="20"/>
      <c r="AE2593" s="22"/>
      <c r="AF2593" s="22"/>
    </row>
    <row r="2594" spans="29:32" x14ac:dyDescent="0.2">
      <c r="AC2594" s="20"/>
      <c r="AE2594" s="22"/>
      <c r="AF2594" s="22"/>
    </row>
    <row r="2595" spans="29:32" x14ac:dyDescent="0.2">
      <c r="AC2595" s="20"/>
      <c r="AE2595" s="22"/>
      <c r="AF2595" s="22"/>
    </row>
    <row r="2596" spans="29:32" x14ac:dyDescent="0.2">
      <c r="AC2596" s="20"/>
      <c r="AE2596" s="22"/>
      <c r="AF2596" s="22"/>
    </row>
    <row r="2597" spans="29:32" x14ac:dyDescent="0.2">
      <c r="AC2597" s="20"/>
      <c r="AE2597" s="22"/>
      <c r="AF2597" s="22"/>
    </row>
    <row r="2598" spans="29:32" x14ac:dyDescent="0.2">
      <c r="AC2598" s="20"/>
      <c r="AE2598" s="22"/>
      <c r="AF2598" s="22"/>
    </row>
    <row r="2599" spans="29:32" x14ac:dyDescent="0.2">
      <c r="AC2599" s="20"/>
      <c r="AE2599" s="22"/>
      <c r="AF2599" s="22"/>
    </row>
    <row r="2600" spans="29:32" x14ac:dyDescent="0.2">
      <c r="AC2600" s="20"/>
      <c r="AE2600" s="22"/>
      <c r="AF2600" s="22"/>
    </row>
    <row r="2601" spans="29:32" x14ac:dyDescent="0.2">
      <c r="AC2601" s="20"/>
      <c r="AE2601" s="22"/>
      <c r="AF2601" s="22"/>
    </row>
    <row r="2602" spans="29:32" x14ac:dyDescent="0.2">
      <c r="AC2602" s="20"/>
      <c r="AE2602" s="22"/>
      <c r="AF2602" s="22"/>
    </row>
    <row r="2603" spans="29:32" x14ac:dyDescent="0.2">
      <c r="AC2603" s="20"/>
      <c r="AE2603" s="22"/>
      <c r="AF2603" s="22"/>
    </row>
    <row r="2604" spans="29:32" x14ac:dyDescent="0.2">
      <c r="AC2604" s="20"/>
      <c r="AE2604" s="22"/>
      <c r="AF2604" s="22"/>
    </row>
    <row r="2605" spans="29:32" x14ac:dyDescent="0.2">
      <c r="AC2605" s="20"/>
      <c r="AE2605" s="22"/>
      <c r="AF2605" s="22"/>
    </row>
    <row r="2606" spans="29:32" x14ac:dyDescent="0.2">
      <c r="AC2606" s="20"/>
      <c r="AE2606" s="22"/>
      <c r="AF2606" s="22"/>
    </row>
    <row r="2607" spans="29:32" x14ac:dyDescent="0.2">
      <c r="AC2607" s="20"/>
      <c r="AE2607" s="22"/>
      <c r="AF2607" s="22"/>
    </row>
    <row r="2608" spans="29:32" x14ac:dyDescent="0.2">
      <c r="AC2608" s="20"/>
      <c r="AE2608" s="22"/>
      <c r="AF2608" s="22"/>
    </row>
    <row r="2609" spans="29:32" x14ac:dyDescent="0.2">
      <c r="AC2609" s="20"/>
      <c r="AE2609" s="22"/>
      <c r="AF2609" s="22"/>
    </row>
    <row r="2610" spans="29:32" x14ac:dyDescent="0.2">
      <c r="AC2610" s="20"/>
      <c r="AE2610" s="22"/>
      <c r="AF2610" s="22"/>
    </row>
    <row r="2611" spans="29:32" x14ac:dyDescent="0.2">
      <c r="AC2611" s="20"/>
      <c r="AE2611" s="22"/>
      <c r="AF2611" s="22"/>
    </row>
    <row r="2612" spans="29:32" x14ac:dyDescent="0.2">
      <c r="AC2612" s="20"/>
      <c r="AE2612" s="22"/>
      <c r="AF2612" s="22"/>
    </row>
    <row r="2613" spans="29:32" x14ac:dyDescent="0.2">
      <c r="AC2613" s="20"/>
      <c r="AE2613" s="22"/>
      <c r="AF2613" s="22"/>
    </row>
    <row r="2614" spans="29:32" x14ac:dyDescent="0.2">
      <c r="AC2614" s="20"/>
      <c r="AE2614" s="22"/>
      <c r="AF2614" s="22"/>
    </row>
    <row r="2615" spans="29:32" x14ac:dyDescent="0.2">
      <c r="AC2615" s="20"/>
      <c r="AE2615" s="22"/>
      <c r="AF2615" s="22"/>
    </row>
    <row r="2616" spans="29:32" x14ac:dyDescent="0.2">
      <c r="AC2616" s="20"/>
      <c r="AE2616" s="22"/>
      <c r="AF2616" s="22"/>
    </row>
    <row r="2617" spans="29:32" x14ac:dyDescent="0.2">
      <c r="AC2617" s="20"/>
      <c r="AE2617" s="22"/>
      <c r="AF2617" s="22"/>
    </row>
    <row r="2618" spans="29:32" x14ac:dyDescent="0.2">
      <c r="AC2618" s="20"/>
      <c r="AE2618" s="22"/>
      <c r="AF2618" s="22"/>
    </row>
    <row r="2619" spans="29:32" x14ac:dyDescent="0.2">
      <c r="AC2619" s="20"/>
      <c r="AE2619" s="22"/>
      <c r="AF2619" s="22"/>
    </row>
    <row r="2620" spans="29:32" x14ac:dyDescent="0.2">
      <c r="AC2620" s="20"/>
      <c r="AE2620" s="22"/>
      <c r="AF2620" s="22"/>
    </row>
    <row r="2621" spans="29:32" x14ac:dyDescent="0.2">
      <c r="AC2621" s="20"/>
      <c r="AE2621" s="22"/>
      <c r="AF2621" s="22"/>
    </row>
    <row r="2622" spans="29:32" x14ac:dyDescent="0.2">
      <c r="AC2622" s="20"/>
      <c r="AE2622" s="22"/>
      <c r="AF2622" s="22"/>
    </row>
    <row r="2623" spans="29:32" x14ac:dyDescent="0.2">
      <c r="AC2623" s="20"/>
      <c r="AE2623" s="22"/>
      <c r="AF2623" s="22"/>
    </row>
    <row r="2624" spans="29:32" x14ac:dyDescent="0.2">
      <c r="AC2624" s="20"/>
      <c r="AE2624" s="22"/>
      <c r="AF2624" s="22"/>
    </row>
    <row r="2625" spans="29:32" x14ac:dyDescent="0.2">
      <c r="AC2625" s="20"/>
      <c r="AE2625" s="22"/>
      <c r="AF2625" s="22"/>
    </row>
    <row r="2626" spans="29:32" x14ac:dyDescent="0.2">
      <c r="AC2626" s="20"/>
      <c r="AE2626" s="22"/>
      <c r="AF2626" s="22"/>
    </row>
    <row r="2627" spans="29:32" x14ac:dyDescent="0.2">
      <c r="AC2627" s="20"/>
      <c r="AE2627" s="22"/>
      <c r="AF2627" s="22"/>
    </row>
    <row r="2628" spans="29:32" x14ac:dyDescent="0.2">
      <c r="AC2628" s="20"/>
      <c r="AE2628" s="22"/>
      <c r="AF2628" s="22"/>
    </row>
    <row r="2629" spans="29:32" x14ac:dyDescent="0.2">
      <c r="AC2629" s="20"/>
      <c r="AE2629" s="22"/>
      <c r="AF2629" s="22"/>
    </row>
    <row r="2630" spans="29:32" x14ac:dyDescent="0.2">
      <c r="AC2630" s="20"/>
      <c r="AE2630" s="22"/>
      <c r="AF2630" s="22"/>
    </row>
    <row r="2631" spans="29:32" x14ac:dyDescent="0.2">
      <c r="AC2631" s="20"/>
      <c r="AE2631" s="22"/>
      <c r="AF2631" s="22"/>
    </row>
    <row r="2632" spans="29:32" x14ac:dyDescent="0.2">
      <c r="AC2632" s="20"/>
      <c r="AE2632" s="22"/>
      <c r="AF2632" s="22"/>
    </row>
    <row r="2633" spans="29:32" x14ac:dyDescent="0.2">
      <c r="AC2633" s="20"/>
      <c r="AE2633" s="22"/>
      <c r="AF2633" s="22"/>
    </row>
    <row r="2634" spans="29:32" x14ac:dyDescent="0.2">
      <c r="AC2634" s="20"/>
      <c r="AE2634" s="22"/>
      <c r="AF2634" s="22"/>
    </row>
    <row r="2635" spans="29:32" x14ac:dyDescent="0.2">
      <c r="AC2635" s="20"/>
      <c r="AE2635" s="22"/>
      <c r="AF2635" s="22"/>
    </row>
    <row r="2636" spans="29:32" x14ac:dyDescent="0.2">
      <c r="AC2636" s="20"/>
      <c r="AE2636" s="22"/>
      <c r="AF2636" s="22"/>
    </row>
    <row r="2637" spans="29:32" x14ac:dyDescent="0.2">
      <c r="AC2637" s="20"/>
      <c r="AE2637" s="22"/>
      <c r="AF2637" s="22"/>
    </row>
    <row r="2638" spans="29:32" x14ac:dyDescent="0.2">
      <c r="AC2638" s="20"/>
      <c r="AE2638" s="22"/>
      <c r="AF2638" s="22"/>
    </row>
    <row r="2639" spans="29:32" x14ac:dyDescent="0.2">
      <c r="AC2639" s="20"/>
      <c r="AE2639" s="22"/>
      <c r="AF2639" s="22"/>
    </row>
    <row r="2640" spans="29:32" x14ac:dyDescent="0.2">
      <c r="AC2640" s="20"/>
      <c r="AE2640" s="22"/>
      <c r="AF2640" s="22"/>
    </row>
    <row r="2641" spans="29:32" x14ac:dyDescent="0.2">
      <c r="AC2641" s="20"/>
      <c r="AE2641" s="22"/>
      <c r="AF2641" s="22"/>
    </row>
    <row r="2642" spans="29:32" x14ac:dyDescent="0.2">
      <c r="AC2642" s="20"/>
      <c r="AE2642" s="22"/>
      <c r="AF2642" s="22"/>
    </row>
    <row r="2643" spans="29:32" x14ac:dyDescent="0.2">
      <c r="AC2643" s="20"/>
      <c r="AE2643" s="22"/>
      <c r="AF2643" s="22"/>
    </row>
    <row r="2644" spans="29:32" x14ac:dyDescent="0.2">
      <c r="AC2644" s="20"/>
      <c r="AE2644" s="22"/>
      <c r="AF2644" s="22"/>
    </row>
    <row r="2645" spans="29:32" x14ac:dyDescent="0.2">
      <c r="AC2645" s="20"/>
      <c r="AE2645" s="22"/>
      <c r="AF2645" s="22"/>
    </row>
    <row r="2646" spans="29:32" x14ac:dyDescent="0.2">
      <c r="AC2646" s="20"/>
      <c r="AE2646" s="22"/>
      <c r="AF2646" s="22"/>
    </row>
    <row r="2647" spans="29:32" x14ac:dyDescent="0.2">
      <c r="AC2647" s="20"/>
      <c r="AE2647" s="22"/>
      <c r="AF2647" s="22"/>
    </row>
    <row r="2648" spans="29:32" x14ac:dyDescent="0.2">
      <c r="AC2648" s="20"/>
      <c r="AE2648" s="22"/>
      <c r="AF2648" s="22"/>
    </row>
    <row r="2649" spans="29:32" x14ac:dyDescent="0.2">
      <c r="AC2649" s="20"/>
      <c r="AE2649" s="22"/>
      <c r="AF2649" s="22"/>
    </row>
    <row r="2650" spans="29:32" x14ac:dyDescent="0.2">
      <c r="AC2650" s="20"/>
      <c r="AE2650" s="22"/>
      <c r="AF2650" s="22"/>
    </row>
    <row r="2651" spans="29:32" x14ac:dyDescent="0.2">
      <c r="AC2651" s="20"/>
      <c r="AE2651" s="22"/>
      <c r="AF2651" s="22"/>
    </row>
    <row r="2652" spans="29:32" x14ac:dyDescent="0.2">
      <c r="AC2652" s="20"/>
      <c r="AE2652" s="22"/>
      <c r="AF2652" s="22"/>
    </row>
    <row r="2653" spans="29:32" x14ac:dyDescent="0.2">
      <c r="AC2653" s="20"/>
      <c r="AE2653" s="22"/>
      <c r="AF2653" s="22"/>
    </row>
    <row r="2654" spans="29:32" x14ac:dyDescent="0.2">
      <c r="AC2654" s="20"/>
      <c r="AE2654" s="22"/>
      <c r="AF2654" s="22"/>
    </row>
    <row r="2655" spans="29:32" x14ac:dyDescent="0.2">
      <c r="AC2655" s="20"/>
      <c r="AE2655" s="22"/>
      <c r="AF2655" s="22"/>
    </row>
    <row r="2656" spans="29:32" x14ac:dyDescent="0.2">
      <c r="AC2656" s="20"/>
      <c r="AE2656" s="22"/>
      <c r="AF2656" s="22"/>
    </row>
    <row r="2657" spans="29:32" x14ac:dyDescent="0.2">
      <c r="AC2657" s="20"/>
      <c r="AE2657" s="22"/>
      <c r="AF2657" s="22"/>
    </row>
    <row r="2658" spans="29:32" x14ac:dyDescent="0.2">
      <c r="AC2658" s="20"/>
      <c r="AE2658" s="22"/>
      <c r="AF2658" s="22"/>
    </row>
    <row r="2659" spans="29:32" x14ac:dyDescent="0.2">
      <c r="AC2659" s="20"/>
      <c r="AE2659" s="22"/>
      <c r="AF2659" s="22"/>
    </row>
    <row r="2660" spans="29:32" x14ac:dyDescent="0.2">
      <c r="AC2660" s="20"/>
      <c r="AE2660" s="22"/>
      <c r="AF2660" s="22"/>
    </row>
    <row r="2661" spans="29:32" x14ac:dyDescent="0.2">
      <c r="AC2661" s="20"/>
      <c r="AE2661" s="22"/>
      <c r="AF2661" s="22"/>
    </row>
    <row r="2662" spans="29:32" x14ac:dyDescent="0.2">
      <c r="AC2662" s="20"/>
      <c r="AE2662" s="22"/>
      <c r="AF2662" s="22"/>
    </row>
    <row r="2663" spans="29:32" x14ac:dyDescent="0.2">
      <c r="AC2663" s="20"/>
      <c r="AE2663" s="22"/>
      <c r="AF2663" s="22"/>
    </row>
    <row r="2664" spans="29:32" x14ac:dyDescent="0.2">
      <c r="AC2664" s="20"/>
      <c r="AE2664" s="22"/>
      <c r="AF2664" s="22"/>
    </row>
    <row r="2665" spans="29:32" x14ac:dyDescent="0.2">
      <c r="AC2665" s="20"/>
      <c r="AE2665" s="22"/>
      <c r="AF2665" s="22"/>
    </row>
    <row r="2666" spans="29:32" x14ac:dyDescent="0.2">
      <c r="AC2666" s="20"/>
      <c r="AE2666" s="22"/>
      <c r="AF2666" s="22"/>
    </row>
    <row r="2667" spans="29:32" x14ac:dyDescent="0.2">
      <c r="AC2667" s="20"/>
      <c r="AE2667" s="22"/>
      <c r="AF2667" s="22"/>
    </row>
    <row r="2668" spans="29:32" x14ac:dyDescent="0.2">
      <c r="AC2668" s="20"/>
      <c r="AE2668" s="22"/>
      <c r="AF2668" s="22"/>
    </row>
    <row r="2669" spans="29:32" x14ac:dyDescent="0.2">
      <c r="AC2669" s="20"/>
      <c r="AE2669" s="22"/>
      <c r="AF2669" s="22"/>
    </row>
    <row r="2670" spans="29:32" x14ac:dyDescent="0.2">
      <c r="AC2670" s="20"/>
      <c r="AE2670" s="22"/>
      <c r="AF2670" s="22"/>
    </row>
    <row r="2671" spans="29:32" x14ac:dyDescent="0.2">
      <c r="AC2671" s="20"/>
      <c r="AE2671" s="22"/>
      <c r="AF2671" s="22"/>
    </row>
    <row r="2672" spans="29:32" x14ac:dyDescent="0.2">
      <c r="AC2672" s="20"/>
      <c r="AE2672" s="22"/>
      <c r="AF2672" s="22"/>
    </row>
    <row r="2673" spans="29:32" x14ac:dyDescent="0.2">
      <c r="AC2673" s="20"/>
      <c r="AE2673" s="22"/>
      <c r="AF2673" s="22"/>
    </row>
    <row r="2674" spans="29:32" x14ac:dyDescent="0.2">
      <c r="AC2674" s="20"/>
      <c r="AE2674" s="22"/>
      <c r="AF2674" s="22"/>
    </row>
    <row r="2675" spans="29:32" x14ac:dyDescent="0.2">
      <c r="AC2675" s="20"/>
      <c r="AE2675" s="22"/>
      <c r="AF2675" s="22"/>
    </row>
    <row r="2676" spans="29:32" x14ac:dyDescent="0.2">
      <c r="AC2676" s="20"/>
      <c r="AE2676" s="22"/>
      <c r="AF2676" s="22"/>
    </row>
    <row r="2677" spans="29:32" x14ac:dyDescent="0.2">
      <c r="AC2677" s="20"/>
      <c r="AE2677" s="22"/>
      <c r="AF2677" s="22"/>
    </row>
    <row r="2678" spans="29:32" x14ac:dyDescent="0.2">
      <c r="AC2678" s="20"/>
      <c r="AE2678" s="22"/>
      <c r="AF2678" s="22"/>
    </row>
    <row r="2679" spans="29:32" x14ac:dyDescent="0.2">
      <c r="AC2679" s="20"/>
      <c r="AE2679" s="22"/>
      <c r="AF2679" s="22"/>
    </row>
    <row r="2680" spans="29:32" x14ac:dyDescent="0.2">
      <c r="AC2680" s="20"/>
      <c r="AE2680" s="22"/>
      <c r="AF2680" s="22"/>
    </row>
    <row r="2681" spans="29:32" x14ac:dyDescent="0.2">
      <c r="AC2681" s="20"/>
      <c r="AE2681" s="22"/>
      <c r="AF2681" s="22"/>
    </row>
    <row r="2682" spans="29:32" x14ac:dyDescent="0.2">
      <c r="AC2682" s="20"/>
      <c r="AE2682" s="22"/>
      <c r="AF2682" s="22"/>
    </row>
    <row r="2683" spans="29:32" x14ac:dyDescent="0.2">
      <c r="AC2683" s="20"/>
      <c r="AE2683" s="22"/>
      <c r="AF2683" s="22"/>
    </row>
    <row r="2684" spans="29:32" x14ac:dyDescent="0.2">
      <c r="AC2684" s="20"/>
      <c r="AE2684" s="22"/>
      <c r="AF2684" s="22"/>
    </row>
    <row r="2685" spans="29:32" x14ac:dyDescent="0.2">
      <c r="AC2685" s="20"/>
      <c r="AE2685" s="22"/>
      <c r="AF2685" s="22"/>
    </row>
    <row r="2686" spans="29:32" x14ac:dyDescent="0.2">
      <c r="AC2686" s="20"/>
      <c r="AE2686" s="22"/>
      <c r="AF2686" s="22"/>
    </row>
    <row r="2687" spans="29:32" x14ac:dyDescent="0.2">
      <c r="AC2687" s="20"/>
      <c r="AE2687" s="22"/>
      <c r="AF2687" s="22"/>
    </row>
    <row r="2688" spans="29:32" x14ac:dyDescent="0.2">
      <c r="AC2688" s="20"/>
      <c r="AE2688" s="22"/>
      <c r="AF2688" s="22"/>
    </row>
    <row r="2689" spans="29:32" x14ac:dyDescent="0.2">
      <c r="AC2689" s="20"/>
      <c r="AE2689" s="22"/>
      <c r="AF2689" s="22"/>
    </row>
    <row r="2690" spans="29:32" x14ac:dyDescent="0.2">
      <c r="AC2690" s="20"/>
      <c r="AE2690" s="22"/>
      <c r="AF2690" s="22"/>
    </row>
    <row r="2691" spans="29:32" x14ac:dyDescent="0.2">
      <c r="AC2691" s="20"/>
      <c r="AE2691" s="22"/>
      <c r="AF2691" s="22"/>
    </row>
    <row r="2692" spans="29:32" x14ac:dyDescent="0.2">
      <c r="AC2692" s="20"/>
      <c r="AE2692" s="22"/>
      <c r="AF2692" s="22"/>
    </row>
    <row r="2693" spans="29:32" x14ac:dyDescent="0.2">
      <c r="AC2693" s="20"/>
      <c r="AE2693" s="22"/>
      <c r="AF2693" s="22"/>
    </row>
    <row r="2694" spans="29:32" x14ac:dyDescent="0.2">
      <c r="AC2694" s="20"/>
      <c r="AE2694" s="22"/>
      <c r="AF2694" s="22"/>
    </row>
    <row r="2695" spans="29:32" x14ac:dyDescent="0.2">
      <c r="AC2695" s="20"/>
      <c r="AE2695" s="22"/>
      <c r="AF2695" s="22"/>
    </row>
    <row r="2696" spans="29:32" x14ac:dyDescent="0.2">
      <c r="AC2696" s="20"/>
      <c r="AE2696" s="22"/>
      <c r="AF2696" s="22"/>
    </row>
    <row r="2697" spans="29:32" x14ac:dyDescent="0.2">
      <c r="AC2697" s="20"/>
      <c r="AE2697" s="22"/>
      <c r="AF2697" s="22"/>
    </row>
    <row r="2698" spans="29:32" x14ac:dyDescent="0.2">
      <c r="AC2698" s="20"/>
      <c r="AE2698" s="22"/>
      <c r="AF2698" s="22"/>
    </row>
    <row r="2699" spans="29:32" x14ac:dyDescent="0.2">
      <c r="AC2699" s="20"/>
      <c r="AE2699" s="22"/>
      <c r="AF2699" s="22"/>
    </row>
    <row r="2700" spans="29:32" x14ac:dyDescent="0.2">
      <c r="AC2700" s="20"/>
      <c r="AE2700" s="22"/>
      <c r="AF2700" s="22"/>
    </row>
    <row r="2701" spans="29:32" x14ac:dyDescent="0.2">
      <c r="AC2701" s="20"/>
      <c r="AE2701" s="22"/>
      <c r="AF2701" s="22"/>
    </row>
    <row r="2702" spans="29:32" x14ac:dyDescent="0.2">
      <c r="AC2702" s="20"/>
      <c r="AE2702" s="22"/>
      <c r="AF2702" s="22"/>
    </row>
    <row r="2703" spans="29:32" x14ac:dyDescent="0.2">
      <c r="AC2703" s="20"/>
      <c r="AE2703" s="22"/>
      <c r="AF2703" s="22"/>
    </row>
    <row r="2704" spans="29:32" x14ac:dyDescent="0.2">
      <c r="AC2704" s="20"/>
      <c r="AE2704" s="22"/>
      <c r="AF2704" s="22"/>
    </row>
    <row r="2705" spans="29:32" x14ac:dyDescent="0.2">
      <c r="AC2705" s="20"/>
      <c r="AE2705" s="22"/>
      <c r="AF2705" s="22"/>
    </row>
    <row r="2706" spans="29:32" x14ac:dyDescent="0.2">
      <c r="AC2706" s="20"/>
      <c r="AE2706" s="22"/>
      <c r="AF2706" s="22"/>
    </row>
    <row r="2707" spans="29:32" x14ac:dyDescent="0.2">
      <c r="AC2707" s="20"/>
      <c r="AE2707" s="22"/>
      <c r="AF2707" s="22"/>
    </row>
    <row r="2708" spans="29:32" x14ac:dyDescent="0.2">
      <c r="AC2708" s="20"/>
      <c r="AE2708" s="22"/>
      <c r="AF2708" s="22"/>
    </row>
    <row r="2709" spans="29:32" x14ac:dyDescent="0.2">
      <c r="AC2709" s="20"/>
      <c r="AE2709" s="22"/>
      <c r="AF2709" s="22"/>
    </row>
    <row r="2710" spans="29:32" x14ac:dyDescent="0.2">
      <c r="AC2710" s="20"/>
      <c r="AE2710" s="22"/>
      <c r="AF2710" s="22"/>
    </row>
    <row r="2711" spans="29:32" x14ac:dyDescent="0.2">
      <c r="AC2711" s="20"/>
      <c r="AE2711" s="22"/>
      <c r="AF2711" s="22"/>
    </row>
    <row r="2712" spans="29:32" x14ac:dyDescent="0.2">
      <c r="AC2712" s="20"/>
      <c r="AE2712" s="22"/>
      <c r="AF2712" s="22"/>
    </row>
    <row r="2713" spans="29:32" x14ac:dyDescent="0.2">
      <c r="AC2713" s="20"/>
      <c r="AE2713" s="22"/>
      <c r="AF2713" s="22"/>
    </row>
    <row r="2714" spans="29:32" x14ac:dyDescent="0.2">
      <c r="AC2714" s="20"/>
      <c r="AE2714" s="22"/>
      <c r="AF2714" s="22"/>
    </row>
    <row r="2715" spans="29:32" x14ac:dyDescent="0.2">
      <c r="AC2715" s="20"/>
      <c r="AE2715" s="22"/>
      <c r="AF2715" s="22"/>
    </row>
    <row r="2716" spans="29:32" x14ac:dyDescent="0.2">
      <c r="AC2716" s="20"/>
      <c r="AE2716" s="22"/>
      <c r="AF2716" s="22"/>
    </row>
    <row r="2717" spans="29:32" x14ac:dyDescent="0.2">
      <c r="AC2717" s="20"/>
      <c r="AE2717" s="22"/>
      <c r="AF2717" s="22"/>
    </row>
    <row r="2718" spans="29:32" x14ac:dyDescent="0.2">
      <c r="AC2718" s="20"/>
      <c r="AE2718" s="22"/>
      <c r="AF2718" s="22"/>
    </row>
    <row r="2719" spans="29:32" x14ac:dyDescent="0.2">
      <c r="AC2719" s="20"/>
      <c r="AE2719" s="22"/>
      <c r="AF2719" s="22"/>
    </row>
    <row r="2720" spans="29:32" x14ac:dyDescent="0.2">
      <c r="AC2720" s="20"/>
      <c r="AE2720" s="22"/>
      <c r="AF2720" s="22"/>
    </row>
    <row r="2721" spans="29:32" x14ac:dyDescent="0.2">
      <c r="AC2721" s="20"/>
      <c r="AE2721" s="22"/>
      <c r="AF2721" s="22"/>
    </row>
    <row r="2722" spans="29:32" x14ac:dyDescent="0.2">
      <c r="AC2722" s="20"/>
      <c r="AE2722" s="22"/>
      <c r="AF2722" s="22"/>
    </row>
    <row r="2723" spans="29:32" x14ac:dyDescent="0.2">
      <c r="AC2723" s="20"/>
      <c r="AE2723" s="22"/>
      <c r="AF2723" s="22"/>
    </row>
    <row r="2724" spans="29:32" x14ac:dyDescent="0.2">
      <c r="AC2724" s="20"/>
      <c r="AE2724" s="22"/>
      <c r="AF2724" s="22"/>
    </row>
    <row r="2725" spans="29:32" x14ac:dyDescent="0.2">
      <c r="AC2725" s="20"/>
      <c r="AE2725" s="22"/>
      <c r="AF2725" s="22"/>
    </row>
    <row r="2726" spans="29:32" x14ac:dyDescent="0.2">
      <c r="AC2726" s="20"/>
      <c r="AE2726" s="22"/>
      <c r="AF2726" s="22"/>
    </row>
    <row r="2727" spans="29:32" x14ac:dyDescent="0.2">
      <c r="AC2727" s="20"/>
      <c r="AE2727" s="22"/>
      <c r="AF2727" s="22"/>
    </row>
    <row r="2728" spans="29:32" x14ac:dyDescent="0.2">
      <c r="AC2728" s="20"/>
      <c r="AE2728" s="22"/>
      <c r="AF2728" s="22"/>
    </row>
    <row r="2729" spans="29:32" x14ac:dyDescent="0.2">
      <c r="AC2729" s="20"/>
      <c r="AE2729" s="22"/>
      <c r="AF2729" s="22"/>
    </row>
    <row r="2730" spans="29:32" x14ac:dyDescent="0.2">
      <c r="AC2730" s="20"/>
      <c r="AE2730" s="22"/>
      <c r="AF2730" s="22"/>
    </row>
    <row r="2731" spans="29:32" x14ac:dyDescent="0.2">
      <c r="AC2731" s="20"/>
      <c r="AE2731" s="22"/>
      <c r="AF2731" s="22"/>
    </row>
    <row r="2732" spans="29:32" x14ac:dyDescent="0.2">
      <c r="AC2732" s="20"/>
      <c r="AE2732" s="22"/>
      <c r="AF2732" s="22"/>
    </row>
    <row r="2733" spans="29:32" x14ac:dyDescent="0.2">
      <c r="AC2733" s="20"/>
      <c r="AE2733" s="22"/>
      <c r="AF2733" s="22"/>
    </row>
    <row r="2734" spans="29:32" x14ac:dyDescent="0.2">
      <c r="AC2734" s="20"/>
      <c r="AE2734" s="22"/>
      <c r="AF2734" s="22"/>
    </row>
    <row r="2735" spans="29:32" x14ac:dyDescent="0.2">
      <c r="AC2735" s="20"/>
      <c r="AE2735" s="22"/>
      <c r="AF2735" s="22"/>
    </row>
    <row r="2736" spans="29:32" x14ac:dyDescent="0.2">
      <c r="AC2736" s="20"/>
      <c r="AE2736" s="22"/>
      <c r="AF2736" s="22"/>
    </row>
    <row r="2737" spans="29:32" x14ac:dyDescent="0.2">
      <c r="AC2737" s="20"/>
      <c r="AE2737" s="22"/>
      <c r="AF2737" s="22"/>
    </row>
    <row r="2738" spans="29:32" x14ac:dyDescent="0.2">
      <c r="AC2738" s="20"/>
      <c r="AE2738" s="22"/>
      <c r="AF2738" s="22"/>
    </row>
    <row r="2739" spans="29:32" x14ac:dyDescent="0.2">
      <c r="AC2739" s="20"/>
      <c r="AE2739" s="22"/>
      <c r="AF2739" s="22"/>
    </row>
    <row r="2740" spans="29:32" x14ac:dyDescent="0.2">
      <c r="AC2740" s="20"/>
      <c r="AE2740" s="22"/>
      <c r="AF2740" s="22"/>
    </row>
    <row r="2741" spans="29:32" x14ac:dyDescent="0.2">
      <c r="AC2741" s="20"/>
      <c r="AE2741" s="22"/>
      <c r="AF2741" s="22"/>
    </row>
    <row r="2742" spans="29:32" x14ac:dyDescent="0.2">
      <c r="AC2742" s="20"/>
      <c r="AE2742" s="22"/>
      <c r="AF2742" s="22"/>
    </row>
    <row r="2743" spans="29:32" x14ac:dyDescent="0.2">
      <c r="AC2743" s="20"/>
      <c r="AE2743" s="22"/>
      <c r="AF2743" s="22"/>
    </row>
    <row r="2744" spans="29:32" x14ac:dyDescent="0.2">
      <c r="AC2744" s="20"/>
      <c r="AE2744" s="22"/>
      <c r="AF2744" s="22"/>
    </row>
    <row r="2745" spans="29:32" x14ac:dyDescent="0.2">
      <c r="AC2745" s="20"/>
      <c r="AE2745" s="22"/>
      <c r="AF2745" s="22"/>
    </row>
    <row r="2746" spans="29:32" x14ac:dyDescent="0.2">
      <c r="AC2746" s="20"/>
      <c r="AE2746" s="22"/>
      <c r="AF2746" s="22"/>
    </row>
    <row r="2747" spans="29:32" x14ac:dyDescent="0.2">
      <c r="AC2747" s="20"/>
      <c r="AE2747" s="22"/>
      <c r="AF2747" s="22"/>
    </row>
    <row r="2748" spans="29:32" x14ac:dyDescent="0.2">
      <c r="AC2748" s="20"/>
      <c r="AE2748" s="22"/>
      <c r="AF2748" s="22"/>
    </row>
    <row r="2749" spans="29:32" x14ac:dyDescent="0.2">
      <c r="AC2749" s="20"/>
      <c r="AE2749" s="22"/>
      <c r="AF2749" s="22"/>
    </row>
    <row r="2750" spans="29:32" x14ac:dyDescent="0.2">
      <c r="AC2750" s="20"/>
      <c r="AE2750" s="22"/>
      <c r="AF2750" s="22"/>
    </row>
    <row r="2751" spans="29:32" x14ac:dyDescent="0.2">
      <c r="AC2751" s="20"/>
      <c r="AE2751" s="22"/>
      <c r="AF2751" s="22"/>
    </row>
    <row r="2752" spans="29:32" x14ac:dyDescent="0.2">
      <c r="AC2752" s="20"/>
      <c r="AE2752" s="22"/>
      <c r="AF2752" s="22"/>
    </row>
    <row r="2753" spans="29:32" x14ac:dyDescent="0.2">
      <c r="AC2753" s="20"/>
      <c r="AE2753" s="22"/>
      <c r="AF2753" s="22"/>
    </row>
    <row r="2754" spans="29:32" x14ac:dyDescent="0.2">
      <c r="AC2754" s="20"/>
      <c r="AE2754" s="22"/>
      <c r="AF2754" s="22"/>
    </row>
    <row r="2755" spans="29:32" x14ac:dyDescent="0.2">
      <c r="AC2755" s="20"/>
      <c r="AE2755" s="22"/>
      <c r="AF2755" s="22"/>
    </row>
    <row r="2756" spans="29:32" x14ac:dyDescent="0.2">
      <c r="AC2756" s="20"/>
      <c r="AE2756" s="22"/>
      <c r="AF2756" s="22"/>
    </row>
    <row r="2757" spans="29:32" x14ac:dyDescent="0.2">
      <c r="AC2757" s="20"/>
      <c r="AE2757" s="22"/>
      <c r="AF2757" s="22"/>
    </row>
    <row r="2758" spans="29:32" x14ac:dyDescent="0.2">
      <c r="AC2758" s="20"/>
      <c r="AE2758" s="22"/>
      <c r="AF2758" s="22"/>
    </row>
    <row r="2759" spans="29:32" x14ac:dyDescent="0.2">
      <c r="AC2759" s="20"/>
      <c r="AE2759" s="22"/>
      <c r="AF2759" s="22"/>
    </row>
    <row r="2760" spans="29:32" x14ac:dyDescent="0.2">
      <c r="AC2760" s="20"/>
      <c r="AE2760" s="22"/>
      <c r="AF2760" s="22"/>
    </row>
    <row r="2761" spans="29:32" x14ac:dyDescent="0.2">
      <c r="AC2761" s="20"/>
      <c r="AE2761" s="22"/>
      <c r="AF2761" s="22"/>
    </row>
    <row r="2762" spans="29:32" x14ac:dyDescent="0.2">
      <c r="AC2762" s="20"/>
      <c r="AE2762" s="22"/>
      <c r="AF2762" s="22"/>
    </row>
    <row r="2763" spans="29:32" x14ac:dyDescent="0.2">
      <c r="AC2763" s="20"/>
      <c r="AE2763" s="22"/>
      <c r="AF2763" s="22"/>
    </row>
    <row r="2764" spans="29:32" x14ac:dyDescent="0.2">
      <c r="AC2764" s="20"/>
      <c r="AE2764" s="22"/>
      <c r="AF2764" s="22"/>
    </row>
    <row r="2765" spans="29:32" x14ac:dyDescent="0.2">
      <c r="AC2765" s="20"/>
      <c r="AE2765" s="22"/>
      <c r="AF2765" s="22"/>
    </row>
    <row r="2766" spans="29:32" x14ac:dyDescent="0.2">
      <c r="AC2766" s="20"/>
      <c r="AE2766" s="22"/>
      <c r="AF2766" s="22"/>
    </row>
    <row r="2767" spans="29:32" x14ac:dyDescent="0.2">
      <c r="AC2767" s="20"/>
      <c r="AE2767" s="22"/>
      <c r="AF2767" s="22"/>
    </row>
    <row r="2768" spans="29:32" x14ac:dyDescent="0.2">
      <c r="AC2768" s="20"/>
      <c r="AE2768" s="22"/>
      <c r="AF2768" s="22"/>
    </row>
    <row r="2769" spans="29:32" x14ac:dyDescent="0.2">
      <c r="AC2769" s="20"/>
      <c r="AE2769" s="22"/>
      <c r="AF2769" s="22"/>
    </row>
    <row r="2770" spans="29:32" x14ac:dyDescent="0.2">
      <c r="AC2770" s="20"/>
      <c r="AE2770" s="22"/>
      <c r="AF2770" s="22"/>
    </row>
    <row r="2771" spans="29:32" x14ac:dyDescent="0.2">
      <c r="AC2771" s="20"/>
      <c r="AE2771" s="22"/>
      <c r="AF2771" s="22"/>
    </row>
    <row r="2772" spans="29:32" x14ac:dyDescent="0.2">
      <c r="AC2772" s="20"/>
      <c r="AE2772" s="22"/>
      <c r="AF2772" s="22"/>
    </row>
    <row r="2773" spans="29:32" x14ac:dyDescent="0.2">
      <c r="AC2773" s="20"/>
      <c r="AE2773" s="22"/>
      <c r="AF2773" s="22"/>
    </row>
    <row r="2774" spans="29:32" x14ac:dyDescent="0.2">
      <c r="AC2774" s="20"/>
      <c r="AE2774" s="22"/>
      <c r="AF2774" s="22"/>
    </row>
    <row r="2775" spans="29:32" x14ac:dyDescent="0.2">
      <c r="AC2775" s="20"/>
      <c r="AE2775" s="22"/>
      <c r="AF2775" s="22"/>
    </row>
    <row r="2776" spans="29:32" x14ac:dyDescent="0.2">
      <c r="AC2776" s="20"/>
      <c r="AE2776" s="22"/>
      <c r="AF2776" s="22"/>
    </row>
    <row r="2777" spans="29:32" x14ac:dyDescent="0.2">
      <c r="AC2777" s="20"/>
      <c r="AE2777" s="22"/>
      <c r="AF2777" s="22"/>
    </row>
    <row r="2778" spans="29:32" x14ac:dyDescent="0.2">
      <c r="AC2778" s="20"/>
      <c r="AE2778" s="22"/>
      <c r="AF2778" s="22"/>
    </row>
    <row r="2779" spans="29:32" x14ac:dyDescent="0.2">
      <c r="AC2779" s="20"/>
      <c r="AE2779" s="22"/>
      <c r="AF2779" s="22"/>
    </row>
    <row r="2780" spans="29:32" x14ac:dyDescent="0.2">
      <c r="AC2780" s="20"/>
      <c r="AE2780" s="22"/>
      <c r="AF2780" s="22"/>
    </row>
    <row r="2781" spans="29:32" x14ac:dyDescent="0.2">
      <c r="AC2781" s="20"/>
      <c r="AE2781" s="22"/>
      <c r="AF2781" s="22"/>
    </row>
    <row r="2782" spans="29:32" x14ac:dyDescent="0.2">
      <c r="AC2782" s="20"/>
      <c r="AE2782" s="22"/>
      <c r="AF2782" s="22"/>
    </row>
    <row r="2783" spans="29:32" x14ac:dyDescent="0.2">
      <c r="AC2783" s="20"/>
      <c r="AE2783" s="22"/>
      <c r="AF2783" s="22"/>
    </row>
    <row r="2784" spans="29:32" x14ac:dyDescent="0.2">
      <c r="AC2784" s="20"/>
      <c r="AE2784" s="22"/>
      <c r="AF2784" s="22"/>
    </row>
    <row r="2785" spans="29:32" x14ac:dyDescent="0.2">
      <c r="AC2785" s="20"/>
      <c r="AE2785" s="22"/>
      <c r="AF2785" s="22"/>
    </row>
    <row r="2786" spans="29:32" x14ac:dyDescent="0.2">
      <c r="AC2786" s="20"/>
      <c r="AE2786" s="22"/>
      <c r="AF2786" s="22"/>
    </row>
    <row r="2787" spans="29:32" x14ac:dyDescent="0.2">
      <c r="AC2787" s="20"/>
      <c r="AE2787" s="22"/>
      <c r="AF2787" s="22"/>
    </row>
    <row r="2788" spans="29:32" x14ac:dyDescent="0.2">
      <c r="AC2788" s="20"/>
      <c r="AE2788" s="22"/>
      <c r="AF2788" s="22"/>
    </row>
    <row r="2789" spans="29:32" x14ac:dyDescent="0.2">
      <c r="AC2789" s="20"/>
      <c r="AE2789" s="22"/>
      <c r="AF2789" s="22"/>
    </row>
    <row r="2790" spans="29:32" x14ac:dyDescent="0.2">
      <c r="AC2790" s="20"/>
      <c r="AE2790" s="22"/>
      <c r="AF2790" s="22"/>
    </row>
    <row r="2791" spans="29:32" x14ac:dyDescent="0.2">
      <c r="AC2791" s="20"/>
      <c r="AE2791" s="22"/>
      <c r="AF2791" s="22"/>
    </row>
    <row r="2792" spans="29:32" x14ac:dyDescent="0.2">
      <c r="AC2792" s="20"/>
      <c r="AE2792" s="22"/>
      <c r="AF2792" s="22"/>
    </row>
    <row r="2793" spans="29:32" x14ac:dyDescent="0.2">
      <c r="AC2793" s="20"/>
      <c r="AE2793" s="22"/>
      <c r="AF2793" s="22"/>
    </row>
    <row r="2794" spans="29:32" x14ac:dyDescent="0.2">
      <c r="AC2794" s="20"/>
      <c r="AE2794" s="22"/>
      <c r="AF2794" s="22"/>
    </row>
    <row r="2795" spans="29:32" x14ac:dyDescent="0.2">
      <c r="AC2795" s="20"/>
      <c r="AE2795" s="22"/>
      <c r="AF2795" s="22"/>
    </row>
    <row r="2796" spans="29:32" x14ac:dyDescent="0.2">
      <c r="AC2796" s="20"/>
      <c r="AE2796" s="22"/>
      <c r="AF2796" s="22"/>
    </row>
    <row r="2797" spans="29:32" x14ac:dyDescent="0.2">
      <c r="AC2797" s="20"/>
      <c r="AE2797" s="22"/>
      <c r="AF2797" s="22"/>
    </row>
    <row r="2798" spans="29:32" x14ac:dyDescent="0.2">
      <c r="AC2798" s="20"/>
      <c r="AE2798" s="22"/>
      <c r="AF2798" s="22"/>
    </row>
    <row r="2799" spans="29:32" x14ac:dyDescent="0.2">
      <c r="AC2799" s="20"/>
      <c r="AE2799" s="22"/>
      <c r="AF2799" s="22"/>
    </row>
    <row r="2800" spans="29:32" x14ac:dyDescent="0.2">
      <c r="AC2800" s="20"/>
      <c r="AE2800" s="22"/>
      <c r="AF2800" s="22"/>
    </row>
    <row r="2801" spans="29:32" x14ac:dyDescent="0.2">
      <c r="AC2801" s="20"/>
      <c r="AE2801" s="22"/>
      <c r="AF2801" s="22"/>
    </row>
    <row r="2802" spans="29:32" x14ac:dyDescent="0.2">
      <c r="AC2802" s="20"/>
      <c r="AE2802" s="22"/>
      <c r="AF2802" s="22"/>
    </row>
    <row r="2803" spans="29:32" x14ac:dyDescent="0.2">
      <c r="AC2803" s="20"/>
      <c r="AE2803" s="22"/>
      <c r="AF2803" s="22"/>
    </row>
    <row r="2804" spans="29:32" x14ac:dyDescent="0.2">
      <c r="AC2804" s="20"/>
      <c r="AE2804" s="22"/>
      <c r="AF2804" s="22"/>
    </row>
    <row r="2805" spans="29:32" x14ac:dyDescent="0.2">
      <c r="AC2805" s="20"/>
      <c r="AE2805" s="22"/>
      <c r="AF2805" s="22"/>
    </row>
    <row r="2806" spans="29:32" x14ac:dyDescent="0.2">
      <c r="AC2806" s="20"/>
      <c r="AE2806" s="22"/>
      <c r="AF2806" s="22"/>
    </row>
    <row r="2807" spans="29:32" x14ac:dyDescent="0.2">
      <c r="AC2807" s="20"/>
      <c r="AE2807" s="22"/>
      <c r="AF2807" s="22"/>
    </row>
    <row r="2808" spans="29:32" x14ac:dyDescent="0.2">
      <c r="AC2808" s="20"/>
      <c r="AE2808" s="22"/>
      <c r="AF2808" s="22"/>
    </row>
    <row r="2809" spans="29:32" x14ac:dyDescent="0.2">
      <c r="AC2809" s="20"/>
      <c r="AE2809" s="22"/>
      <c r="AF2809" s="22"/>
    </row>
    <row r="2810" spans="29:32" x14ac:dyDescent="0.2">
      <c r="AC2810" s="20"/>
      <c r="AE2810" s="22"/>
      <c r="AF2810" s="22"/>
    </row>
    <row r="2811" spans="29:32" x14ac:dyDescent="0.2">
      <c r="AC2811" s="20"/>
      <c r="AE2811" s="22"/>
      <c r="AF2811" s="22"/>
    </row>
    <row r="2812" spans="29:32" x14ac:dyDescent="0.2">
      <c r="AC2812" s="20"/>
      <c r="AE2812" s="22"/>
      <c r="AF2812" s="22"/>
    </row>
    <row r="2813" spans="29:32" x14ac:dyDescent="0.2">
      <c r="AC2813" s="20"/>
      <c r="AE2813" s="22"/>
      <c r="AF2813" s="22"/>
    </row>
    <row r="2814" spans="29:32" x14ac:dyDescent="0.2">
      <c r="AC2814" s="20"/>
      <c r="AE2814" s="22"/>
      <c r="AF2814" s="22"/>
    </row>
    <row r="2815" spans="29:32" x14ac:dyDescent="0.2">
      <c r="AC2815" s="20"/>
      <c r="AE2815" s="22"/>
      <c r="AF2815" s="22"/>
    </row>
    <row r="2816" spans="29:32" x14ac:dyDescent="0.2">
      <c r="AC2816" s="20"/>
      <c r="AE2816" s="22"/>
      <c r="AF2816" s="22"/>
    </row>
    <row r="2817" spans="29:32" x14ac:dyDescent="0.2">
      <c r="AC2817" s="20"/>
      <c r="AE2817" s="22"/>
      <c r="AF2817" s="22"/>
    </row>
    <row r="2818" spans="29:32" x14ac:dyDescent="0.2">
      <c r="AC2818" s="20"/>
      <c r="AE2818" s="22"/>
      <c r="AF2818" s="22"/>
    </row>
    <row r="2819" spans="29:32" x14ac:dyDescent="0.2">
      <c r="AC2819" s="20"/>
      <c r="AE2819" s="22"/>
      <c r="AF2819" s="22"/>
    </row>
    <row r="2820" spans="29:32" x14ac:dyDescent="0.2">
      <c r="AC2820" s="20"/>
      <c r="AE2820" s="22"/>
      <c r="AF2820" s="22"/>
    </row>
    <row r="2821" spans="29:32" x14ac:dyDescent="0.2">
      <c r="AC2821" s="20"/>
      <c r="AE2821" s="22"/>
      <c r="AF2821" s="22"/>
    </row>
    <row r="2822" spans="29:32" x14ac:dyDescent="0.2">
      <c r="AC2822" s="20"/>
      <c r="AE2822" s="22"/>
      <c r="AF2822" s="22"/>
    </row>
    <row r="2823" spans="29:32" x14ac:dyDescent="0.2">
      <c r="AC2823" s="20"/>
      <c r="AE2823" s="22"/>
      <c r="AF2823" s="22"/>
    </row>
    <row r="2824" spans="29:32" x14ac:dyDescent="0.2">
      <c r="AC2824" s="20"/>
      <c r="AE2824" s="22"/>
      <c r="AF2824" s="22"/>
    </row>
    <row r="2825" spans="29:32" x14ac:dyDescent="0.2">
      <c r="AC2825" s="20"/>
      <c r="AE2825" s="22"/>
      <c r="AF2825" s="22"/>
    </row>
    <row r="2826" spans="29:32" x14ac:dyDescent="0.2">
      <c r="AC2826" s="20"/>
      <c r="AE2826" s="22"/>
      <c r="AF2826" s="22"/>
    </row>
    <row r="2827" spans="29:32" x14ac:dyDescent="0.2">
      <c r="AC2827" s="20"/>
      <c r="AE2827" s="22"/>
      <c r="AF2827" s="22"/>
    </row>
    <row r="2828" spans="29:32" x14ac:dyDescent="0.2">
      <c r="AC2828" s="20"/>
      <c r="AE2828" s="22"/>
      <c r="AF2828" s="22"/>
    </row>
    <row r="2829" spans="29:32" x14ac:dyDescent="0.2">
      <c r="AC2829" s="20"/>
      <c r="AE2829" s="22"/>
      <c r="AF2829" s="22"/>
    </row>
    <row r="2830" spans="29:32" x14ac:dyDescent="0.2">
      <c r="AC2830" s="20"/>
      <c r="AE2830" s="22"/>
      <c r="AF2830" s="22"/>
    </row>
    <row r="2831" spans="29:32" x14ac:dyDescent="0.2">
      <c r="AC2831" s="20"/>
      <c r="AE2831" s="22"/>
      <c r="AF2831" s="22"/>
    </row>
    <row r="2832" spans="29:32" x14ac:dyDescent="0.2">
      <c r="AC2832" s="20"/>
      <c r="AE2832" s="22"/>
      <c r="AF2832" s="22"/>
    </row>
    <row r="2833" spans="29:32" x14ac:dyDescent="0.2">
      <c r="AC2833" s="20"/>
      <c r="AE2833" s="22"/>
      <c r="AF2833" s="22"/>
    </row>
    <row r="2834" spans="29:32" x14ac:dyDescent="0.2">
      <c r="AC2834" s="20"/>
      <c r="AE2834" s="22"/>
      <c r="AF2834" s="22"/>
    </row>
    <row r="2835" spans="29:32" x14ac:dyDescent="0.2">
      <c r="AC2835" s="20"/>
      <c r="AE2835" s="22"/>
      <c r="AF2835" s="22"/>
    </row>
    <row r="2836" spans="29:32" x14ac:dyDescent="0.2">
      <c r="AC2836" s="20"/>
      <c r="AE2836" s="22"/>
      <c r="AF2836" s="22"/>
    </row>
    <row r="2837" spans="29:32" x14ac:dyDescent="0.2">
      <c r="AC2837" s="20"/>
      <c r="AE2837" s="22"/>
      <c r="AF2837" s="22"/>
    </row>
    <row r="2838" spans="29:32" x14ac:dyDescent="0.2">
      <c r="AC2838" s="20"/>
      <c r="AE2838" s="22"/>
      <c r="AF2838" s="22"/>
    </row>
    <row r="2839" spans="29:32" x14ac:dyDescent="0.2">
      <c r="AC2839" s="20"/>
      <c r="AE2839" s="22"/>
      <c r="AF2839" s="22"/>
    </row>
    <row r="2840" spans="29:32" x14ac:dyDescent="0.2">
      <c r="AC2840" s="20"/>
      <c r="AE2840" s="22"/>
      <c r="AF2840" s="22"/>
    </row>
    <row r="2841" spans="29:32" x14ac:dyDescent="0.2">
      <c r="AC2841" s="20"/>
      <c r="AE2841" s="22"/>
      <c r="AF2841" s="22"/>
    </row>
    <row r="2842" spans="29:32" x14ac:dyDescent="0.2">
      <c r="AC2842" s="20"/>
      <c r="AE2842" s="22"/>
      <c r="AF2842" s="22"/>
    </row>
    <row r="2843" spans="29:32" x14ac:dyDescent="0.2">
      <c r="AC2843" s="20"/>
      <c r="AE2843" s="22"/>
      <c r="AF2843" s="22"/>
    </row>
    <row r="2844" spans="29:32" x14ac:dyDescent="0.2">
      <c r="AC2844" s="20"/>
      <c r="AE2844" s="22"/>
      <c r="AF2844" s="22"/>
    </row>
    <row r="2845" spans="29:32" x14ac:dyDescent="0.2">
      <c r="AC2845" s="20"/>
      <c r="AE2845" s="22"/>
      <c r="AF2845" s="22"/>
    </row>
    <row r="2846" spans="29:32" x14ac:dyDescent="0.2">
      <c r="AC2846" s="20"/>
      <c r="AE2846" s="22"/>
      <c r="AF2846" s="22"/>
    </row>
    <row r="2847" spans="29:32" x14ac:dyDescent="0.2">
      <c r="AC2847" s="20"/>
      <c r="AE2847" s="22"/>
      <c r="AF2847" s="22"/>
    </row>
    <row r="2848" spans="29:32" x14ac:dyDescent="0.2">
      <c r="AC2848" s="20"/>
      <c r="AE2848" s="22"/>
      <c r="AF2848" s="22"/>
    </row>
    <row r="2849" spans="29:32" x14ac:dyDescent="0.2">
      <c r="AC2849" s="20"/>
      <c r="AE2849" s="22"/>
      <c r="AF2849" s="22"/>
    </row>
    <row r="2850" spans="29:32" x14ac:dyDescent="0.2">
      <c r="AC2850" s="20"/>
      <c r="AE2850" s="22"/>
      <c r="AF2850" s="22"/>
    </row>
    <row r="2851" spans="29:32" x14ac:dyDescent="0.2">
      <c r="AC2851" s="20"/>
      <c r="AE2851" s="22"/>
      <c r="AF2851" s="22"/>
    </row>
    <row r="2852" spans="29:32" x14ac:dyDescent="0.2">
      <c r="AC2852" s="20"/>
      <c r="AE2852" s="22"/>
      <c r="AF2852" s="22"/>
    </row>
    <row r="2853" spans="29:32" x14ac:dyDescent="0.2">
      <c r="AC2853" s="20"/>
      <c r="AE2853" s="22"/>
      <c r="AF2853" s="22"/>
    </row>
    <row r="2854" spans="29:32" x14ac:dyDescent="0.2">
      <c r="AC2854" s="20"/>
      <c r="AE2854" s="22"/>
      <c r="AF2854" s="22"/>
    </row>
    <row r="2855" spans="29:32" x14ac:dyDescent="0.2">
      <c r="AC2855" s="20"/>
      <c r="AE2855" s="22"/>
      <c r="AF2855" s="22"/>
    </row>
    <row r="2856" spans="29:32" x14ac:dyDescent="0.2">
      <c r="AC2856" s="20"/>
      <c r="AE2856" s="22"/>
      <c r="AF2856" s="22"/>
    </row>
    <row r="2857" spans="29:32" x14ac:dyDescent="0.2">
      <c r="AC2857" s="20"/>
      <c r="AE2857" s="22"/>
      <c r="AF2857" s="22"/>
    </row>
    <row r="2858" spans="29:32" x14ac:dyDescent="0.2">
      <c r="AC2858" s="20"/>
      <c r="AE2858" s="22"/>
      <c r="AF2858" s="22"/>
    </row>
    <row r="2859" spans="29:32" x14ac:dyDescent="0.2">
      <c r="AC2859" s="20"/>
      <c r="AE2859" s="22"/>
      <c r="AF2859" s="22"/>
    </row>
    <row r="2860" spans="29:32" x14ac:dyDescent="0.2">
      <c r="AC2860" s="20"/>
      <c r="AE2860" s="22"/>
      <c r="AF2860" s="22"/>
    </row>
    <row r="2861" spans="29:32" x14ac:dyDescent="0.2">
      <c r="AC2861" s="20"/>
      <c r="AE2861" s="22"/>
      <c r="AF2861" s="22"/>
    </row>
    <row r="2862" spans="29:32" x14ac:dyDescent="0.2">
      <c r="AC2862" s="20"/>
      <c r="AE2862" s="22"/>
      <c r="AF2862" s="22"/>
    </row>
    <row r="2863" spans="29:32" x14ac:dyDescent="0.2">
      <c r="AC2863" s="20"/>
      <c r="AE2863" s="22"/>
      <c r="AF2863" s="22"/>
    </row>
    <row r="2864" spans="29:32" x14ac:dyDescent="0.2">
      <c r="AC2864" s="20"/>
      <c r="AE2864" s="22"/>
      <c r="AF2864" s="22"/>
    </row>
    <row r="2865" spans="29:32" x14ac:dyDescent="0.2">
      <c r="AC2865" s="20"/>
      <c r="AE2865" s="22"/>
      <c r="AF2865" s="22"/>
    </row>
    <row r="2866" spans="29:32" x14ac:dyDescent="0.2">
      <c r="AC2866" s="20"/>
      <c r="AE2866" s="22"/>
      <c r="AF2866" s="22"/>
    </row>
    <row r="2867" spans="29:32" x14ac:dyDescent="0.2">
      <c r="AC2867" s="20"/>
      <c r="AE2867" s="22"/>
      <c r="AF2867" s="22"/>
    </row>
    <row r="2868" spans="29:32" x14ac:dyDescent="0.2">
      <c r="AC2868" s="20"/>
      <c r="AE2868" s="22"/>
      <c r="AF2868" s="22"/>
    </row>
    <row r="2869" spans="29:32" x14ac:dyDescent="0.2">
      <c r="AC2869" s="20"/>
      <c r="AE2869" s="22"/>
      <c r="AF2869" s="22"/>
    </row>
    <row r="2870" spans="29:32" x14ac:dyDescent="0.2">
      <c r="AC2870" s="20"/>
      <c r="AE2870" s="22"/>
      <c r="AF2870" s="22"/>
    </row>
    <row r="2871" spans="29:32" x14ac:dyDescent="0.2">
      <c r="AC2871" s="20"/>
      <c r="AE2871" s="22"/>
      <c r="AF2871" s="22"/>
    </row>
    <row r="2872" spans="29:32" x14ac:dyDescent="0.2">
      <c r="AC2872" s="20"/>
      <c r="AE2872" s="22"/>
      <c r="AF2872" s="22"/>
    </row>
    <row r="2873" spans="29:32" x14ac:dyDescent="0.2">
      <c r="AC2873" s="20"/>
      <c r="AE2873" s="22"/>
      <c r="AF2873" s="22"/>
    </row>
    <row r="2874" spans="29:32" x14ac:dyDescent="0.2">
      <c r="AC2874" s="20"/>
      <c r="AE2874" s="22"/>
      <c r="AF2874" s="22"/>
    </row>
    <row r="2875" spans="29:32" x14ac:dyDescent="0.2">
      <c r="AC2875" s="20"/>
      <c r="AE2875" s="22"/>
      <c r="AF2875" s="22"/>
    </row>
    <row r="2876" spans="29:32" x14ac:dyDescent="0.2">
      <c r="AC2876" s="20"/>
      <c r="AE2876" s="22"/>
      <c r="AF2876" s="22"/>
    </row>
    <row r="2877" spans="29:32" x14ac:dyDescent="0.2">
      <c r="AC2877" s="20"/>
      <c r="AE2877" s="22"/>
      <c r="AF2877" s="22"/>
    </row>
    <row r="2878" spans="29:32" x14ac:dyDescent="0.2">
      <c r="AC2878" s="20"/>
      <c r="AE2878" s="22"/>
      <c r="AF2878" s="22"/>
    </row>
    <row r="2879" spans="29:32" x14ac:dyDescent="0.2">
      <c r="AC2879" s="20"/>
      <c r="AE2879" s="22"/>
      <c r="AF2879" s="22"/>
    </row>
    <row r="2880" spans="29:32" x14ac:dyDescent="0.2">
      <c r="AC2880" s="20"/>
      <c r="AE2880" s="22"/>
      <c r="AF2880" s="22"/>
    </row>
    <row r="2881" spans="29:32" x14ac:dyDescent="0.2">
      <c r="AC2881" s="20"/>
      <c r="AE2881" s="22"/>
      <c r="AF2881" s="22"/>
    </row>
    <row r="2882" spans="29:32" x14ac:dyDescent="0.2">
      <c r="AC2882" s="20"/>
      <c r="AE2882" s="22"/>
      <c r="AF2882" s="22"/>
    </row>
    <row r="2883" spans="29:32" x14ac:dyDescent="0.2">
      <c r="AC2883" s="20"/>
      <c r="AE2883" s="22"/>
      <c r="AF2883" s="22"/>
    </row>
    <row r="2884" spans="29:32" x14ac:dyDescent="0.2">
      <c r="AC2884" s="20"/>
      <c r="AE2884" s="22"/>
      <c r="AF2884" s="22"/>
    </row>
    <row r="2885" spans="29:32" x14ac:dyDescent="0.2">
      <c r="AC2885" s="20"/>
      <c r="AE2885" s="22"/>
      <c r="AF2885" s="22"/>
    </row>
    <row r="2886" spans="29:32" x14ac:dyDescent="0.2">
      <c r="AC2886" s="20"/>
      <c r="AE2886" s="22"/>
      <c r="AF2886" s="22"/>
    </row>
    <row r="2887" spans="29:32" x14ac:dyDescent="0.2">
      <c r="AC2887" s="20"/>
      <c r="AE2887" s="22"/>
      <c r="AF2887" s="22"/>
    </row>
    <row r="2888" spans="29:32" x14ac:dyDescent="0.2">
      <c r="AC2888" s="20"/>
      <c r="AE2888" s="22"/>
      <c r="AF2888" s="22"/>
    </row>
    <row r="2889" spans="29:32" x14ac:dyDescent="0.2">
      <c r="AC2889" s="20"/>
      <c r="AE2889" s="22"/>
      <c r="AF2889" s="22"/>
    </row>
    <row r="2890" spans="29:32" x14ac:dyDescent="0.2">
      <c r="AC2890" s="20"/>
      <c r="AE2890" s="22"/>
      <c r="AF2890" s="22"/>
    </row>
    <row r="2891" spans="29:32" x14ac:dyDescent="0.2">
      <c r="AC2891" s="20"/>
      <c r="AE2891" s="22"/>
      <c r="AF2891" s="22"/>
    </row>
    <row r="2892" spans="29:32" x14ac:dyDescent="0.2">
      <c r="AC2892" s="20"/>
      <c r="AE2892" s="22"/>
      <c r="AF2892" s="22"/>
    </row>
    <row r="2893" spans="29:32" x14ac:dyDescent="0.2">
      <c r="AC2893" s="20"/>
      <c r="AE2893" s="22"/>
      <c r="AF2893" s="22"/>
    </row>
    <row r="2894" spans="29:32" x14ac:dyDescent="0.2">
      <c r="AC2894" s="20"/>
      <c r="AE2894" s="22"/>
      <c r="AF2894" s="22"/>
    </row>
    <row r="2895" spans="29:32" x14ac:dyDescent="0.2">
      <c r="AC2895" s="20"/>
      <c r="AE2895" s="22"/>
      <c r="AF2895" s="22"/>
    </row>
    <row r="2896" spans="29:32" x14ac:dyDescent="0.2">
      <c r="AC2896" s="20"/>
      <c r="AE2896" s="22"/>
      <c r="AF2896" s="22"/>
    </row>
    <row r="2897" spans="29:32" x14ac:dyDescent="0.2">
      <c r="AC2897" s="20"/>
      <c r="AE2897" s="22"/>
      <c r="AF2897" s="22"/>
    </row>
    <row r="2898" spans="29:32" x14ac:dyDescent="0.2">
      <c r="AC2898" s="20"/>
      <c r="AE2898" s="22"/>
      <c r="AF2898" s="22"/>
    </row>
    <row r="2899" spans="29:32" x14ac:dyDescent="0.2">
      <c r="AC2899" s="20"/>
      <c r="AE2899" s="22"/>
      <c r="AF2899" s="22"/>
    </row>
    <row r="2900" spans="29:32" x14ac:dyDescent="0.2">
      <c r="AC2900" s="20"/>
      <c r="AE2900" s="22"/>
      <c r="AF2900" s="22"/>
    </row>
    <row r="2901" spans="29:32" x14ac:dyDescent="0.2">
      <c r="AC2901" s="20"/>
      <c r="AE2901" s="22"/>
      <c r="AF2901" s="22"/>
    </row>
    <row r="2902" spans="29:32" x14ac:dyDescent="0.2">
      <c r="AC2902" s="20"/>
      <c r="AE2902" s="22"/>
      <c r="AF2902" s="22"/>
    </row>
    <row r="2903" spans="29:32" x14ac:dyDescent="0.2">
      <c r="AC2903" s="20"/>
      <c r="AE2903" s="22"/>
      <c r="AF2903" s="22"/>
    </row>
    <row r="2904" spans="29:32" x14ac:dyDescent="0.2">
      <c r="AC2904" s="20"/>
      <c r="AE2904" s="22"/>
      <c r="AF2904" s="22"/>
    </row>
    <row r="2905" spans="29:32" x14ac:dyDescent="0.2">
      <c r="AC2905" s="20"/>
      <c r="AE2905" s="22"/>
      <c r="AF2905" s="22"/>
    </row>
    <row r="2906" spans="29:32" x14ac:dyDescent="0.2">
      <c r="AC2906" s="20"/>
      <c r="AE2906" s="22"/>
      <c r="AF2906" s="22"/>
    </row>
    <row r="2907" spans="29:32" x14ac:dyDescent="0.2">
      <c r="AC2907" s="20"/>
      <c r="AE2907" s="22"/>
      <c r="AF2907" s="22"/>
    </row>
    <row r="2908" spans="29:32" x14ac:dyDescent="0.2">
      <c r="AC2908" s="20"/>
      <c r="AE2908" s="22"/>
      <c r="AF2908" s="22"/>
    </row>
    <row r="2909" spans="29:32" x14ac:dyDescent="0.2">
      <c r="AC2909" s="20"/>
      <c r="AE2909" s="22"/>
      <c r="AF2909" s="22"/>
    </row>
    <row r="2910" spans="29:32" x14ac:dyDescent="0.2">
      <c r="AC2910" s="20"/>
      <c r="AE2910" s="22"/>
      <c r="AF2910" s="22"/>
    </row>
    <row r="2911" spans="29:32" x14ac:dyDescent="0.2">
      <c r="AC2911" s="20"/>
      <c r="AE2911" s="22"/>
      <c r="AF2911" s="22"/>
    </row>
    <row r="2912" spans="29:32" x14ac:dyDescent="0.2">
      <c r="AC2912" s="20"/>
      <c r="AE2912" s="22"/>
      <c r="AF2912" s="22"/>
    </row>
    <row r="2913" spans="29:32" x14ac:dyDescent="0.2">
      <c r="AC2913" s="20"/>
      <c r="AE2913" s="22"/>
      <c r="AF2913" s="22"/>
    </row>
    <row r="2914" spans="29:32" x14ac:dyDescent="0.2">
      <c r="AC2914" s="20"/>
      <c r="AE2914" s="22"/>
      <c r="AF2914" s="22"/>
    </row>
    <row r="2915" spans="29:32" x14ac:dyDescent="0.2">
      <c r="AC2915" s="20"/>
      <c r="AE2915" s="22"/>
      <c r="AF2915" s="22"/>
    </row>
    <row r="2916" spans="29:32" x14ac:dyDescent="0.2">
      <c r="AC2916" s="20"/>
      <c r="AE2916" s="22"/>
      <c r="AF2916" s="22"/>
    </row>
    <row r="2917" spans="29:32" x14ac:dyDescent="0.2">
      <c r="AC2917" s="20"/>
      <c r="AE2917" s="22"/>
      <c r="AF2917" s="22"/>
    </row>
    <row r="2918" spans="29:32" x14ac:dyDescent="0.2">
      <c r="AC2918" s="20"/>
      <c r="AE2918" s="22"/>
      <c r="AF2918" s="22"/>
    </row>
    <row r="2919" spans="29:32" x14ac:dyDescent="0.2">
      <c r="AC2919" s="20"/>
      <c r="AE2919" s="22"/>
      <c r="AF2919" s="22"/>
    </row>
    <row r="2920" spans="29:32" x14ac:dyDescent="0.2">
      <c r="AC2920" s="20"/>
      <c r="AE2920" s="22"/>
      <c r="AF2920" s="22"/>
    </row>
    <row r="2921" spans="29:32" x14ac:dyDescent="0.2">
      <c r="AC2921" s="20"/>
      <c r="AE2921" s="22"/>
      <c r="AF2921" s="22"/>
    </row>
    <row r="2922" spans="29:32" x14ac:dyDescent="0.2">
      <c r="AC2922" s="20"/>
      <c r="AE2922" s="22"/>
      <c r="AF2922" s="22"/>
    </row>
    <row r="2923" spans="29:32" x14ac:dyDescent="0.2">
      <c r="AC2923" s="20"/>
      <c r="AE2923" s="22"/>
      <c r="AF2923" s="22"/>
    </row>
    <row r="2924" spans="29:32" x14ac:dyDescent="0.2">
      <c r="AC2924" s="20"/>
      <c r="AE2924" s="22"/>
      <c r="AF2924" s="22"/>
    </row>
    <row r="2925" spans="29:32" x14ac:dyDescent="0.2">
      <c r="AC2925" s="20"/>
      <c r="AE2925" s="22"/>
      <c r="AF2925" s="22"/>
    </row>
    <row r="2926" spans="29:32" x14ac:dyDescent="0.2">
      <c r="AC2926" s="20"/>
      <c r="AE2926" s="22"/>
      <c r="AF2926" s="22"/>
    </row>
    <row r="2927" spans="29:32" x14ac:dyDescent="0.2">
      <c r="AC2927" s="20"/>
      <c r="AE2927" s="22"/>
      <c r="AF2927" s="22"/>
    </row>
    <row r="2928" spans="29:32" x14ac:dyDescent="0.2">
      <c r="AC2928" s="20"/>
      <c r="AE2928" s="22"/>
      <c r="AF2928" s="22"/>
    </row>
    <row r="2929" spans="29:32" x14ac:dyDescent="0.2">
      <c r="AC2929" s="20"/>
      <c r="AE2929" s="22"/>
      <c r="AF2929" s="22"/>
    </row>
    <row r="2930" spans="29:32" x14ac:dyDescent="0.2">
      <c r="AC2930" s="20"/>
      <c r="AE2930" s="22"/>
      <c r="AF2930" s="22"/>
    </row>
    <row r="2931" spans="29:32" x14ac:dyDescent="0.2">
      <c r="AC2931" s="20"/>
      <c r="AE2931" s="22"/>
      <c r="AF2931" s="22"/>
    </row>
    <row r="2932" spans="29:32" x14ac:dyDescent="0.2">
      <c r="AC2932" s="20"/>
      <c r="AE2932" s="22"/>
      <c r="AF2932" s="22"/>
    </row>
    <row r="2933" spans="29:32" x14ac:dyDescent="0.2">
      <c r="AC2933" s="20"/>
      <c r="AE2933" s="22"/>
      <c r="AF2933" s="22"/>
    </row>
    <row r="2934" spans="29:32" x14ac:dyDescent="0.2">
      <c r="AC2934" s="20"/>
      <c r="AE2934" s="22"/>
      <c r="AF2934" s="22"/>
    </row>
    <row r="2935" spans="29:32" x14ac:dyDescent="0.2">
      <c r="AC2935" s="20"/>
      <c r="AE2935" s="22"/>
      <c r="AF2935" s="22"/>
    </row>
    <row r="2936" spans="29:32" x14ac:dyDescent="0.2">
      <c r="AC2936" s="20"/>
      <c r="AE2936" s="22"/>
      <c r="AF2936" s="22"/>
    </row>
    <row r="2937" spans="29:32" x14ac:dyDescent="0.2">
      <c r="AC2937" s="20"/>
      <c r="AE2937" s="22"/>
      <c r="AF2937" s="22"/>
    </row>
    <row r="2938" spans="29:32" x14ac:dyDescent="0.2">
      <c r="AC2938" s="20"/>
      <c r="AE2938" s="22"/>
      <c r="AF2938" s="22"/>
    </row>
    <row r="2939" spans="29:32" x14ac:dyDescent="0.2">
      <c r="AC2939" s="20"/>
      <c r="AE2939" s="22"/>
      <c r="AF2939" s="22"/>
    </row>
    <row r="2940" spans="29:32" x14ac:dyDescent="0.2">
      <c r="AC2940" s="20"/>
      <c r="AE2940" s="22"/>
      <c r="AF2940" s="22"/>
    </row>
    <row r="2941" spans="29:32" x14ac:dyDescent="0.2">
      <c r="AC2941" s="20"/>
      <c r="AE2941" s="22"/>
      <c r="AF2941" s="22"/>
    </row>
    <row r="2942" spans="29:32" x14ac:dyDescent="0.2">
      <c r="AC2942" s="20"/>
      <c r="AE2942" s="22"/>
      <c r="AF2942" s="22"/>
    </row>
    <row r="2943" spans="29:32" x14ac:dyDescent="0.2">
      <c r="AC2943" s="20"/>
      <c r="AE2943" s="22"/>
      <c r="AF2943" s="22"/>
    </row>
    <row r="2944" spans="29:32" x14ac:dyDescent="0.2">
      <c r="AC2944" s="20"/>
      <c r="AE2944" s="22"/>
      <c r="AF2944" s="22"/>
    </row>
    <row r="2945" spans="29:32" x14ac:dyDescent="0.2">
      <c r="AC2945" s="20"/>
      <c r="AE2945" s="22"/>
      <c r="AF2945" s="22"/>
    </row>
    <row r="2946" spans="29:32" x14ac:dyDescent="0.2">
      <c r="AC2946" s="20"/>
      <c r="AE2946" s="22"/>
      <c r="AF2946" s="22"/>
    </row>
    <row r="2947" spans="29:32" x14ac:dyDescent="0.2">
      <c r="AC2947" s="20"/>
      <c r="AE2947" s="22"/>
      <c r="AF2947" s="22"/>
    </row>
    <row r="2948" spans="29:32" x14ac:dyDescent="0.2">
      <c r="AC2948" s="20"/>
      <c r="AE2948" s="22"/>
      <c r="AF2948" s="22"/>
    </row>
    <row r="2949" spans="29:32" x14ac:dyDescent="0.2">
      <c r="AC2949" s="20"/>
      <c r="AE2949" s="22"/>
      <c r="AF2949" s="22"/>
    </row>
    <row r="2950" spans="29:32" x14ac:dyDescent="0.2">
      <c r="AC2950" s="20"/>
      <c r="AE2950" s="22"/>
      <c r="AF2950" s="22"/>
    </row>
    <row r="2951" spans="29:32" x14ac:dyDescent="0.2">
      <c r="AC2951" s="20"/>
      <c r="AE2951" s="22"/>
      <c r="AF2951" s="22"/>
    </row>
    <row r="2952" spans="29:32" x14ac:dyDescent="0.2">
      <c r="AC2952" s="20"/>
      <c r="AE2952" s="22"/>
      <c r="AF2952" s="22"/>
    </row>
    <row r="2953" spans="29:32" x14ac:dyDescent="0.2">
      <c r="AC2953" s="20"/>
      <c r="AE2953" s="22"/>
      <c r="AF2953" s="22"/>
    </row>
    <row r="2954" spans="29:32" x14ac:dyDescent="0.2">
      <c r="AC2954" s="20"/>
      <c r="AE2954" s="22"/>
      <c r="AF2954" s="22"/>
    </row>
    <row r="2955" spans="29:32" x14ac:dyDescent="0.2">
      <c r="AC2955" s="20"/>
      <c r="AE2955" s="22"/>
      <c r="AF2955" s="22"/>
    </row>
    <row r="2956" spans="29:32" x14ac:dyDescent="0.2">
      <c r="AC2956" s="20"/>
      <c r="AE2956" s="22"/>
      <c r="AF2956" s="22"/>
    </row>
    <row r="2957" spans="29:32" x14ac:dyDescent="0.2">
      <c r="AC2957" s="20"/>
      <c r="AE2957" s="22"/>
      <c r="AF2957" s="22"/>
    </row>
    <row r="2958" spans="29:32" x14ac:dyDescent="0.2">
      <c r="AC2958" s="20"/>
      <c r="AE2958" s="22"/>
      <c r="AF2958" s="22"/>
    </row>
    <row r="2959" spans="29:32" x14ac:dyDescent="0.2">
      <c r="AC2959" s="20"/>
      <c r="AE2959" s="22"/>
      <c r="AF2959" s="22"/>
    </row>
    <row r="2960" spans="29:32" x14ac:dyDescent="0.2">
      <c r="AC2960" s="20"/>
      <c r="AE2960" s="22"/>
      <c r="AF2960" s="22"/>
    </row>
    <row r="2961" spans="29:32" x14ac:dyDescent="0.2">
      <c r="AC2961" s="20"/>
      <c r="AE2961" s="22"/>
      <c r="AF2961" s="22"/>
    </row>
    <row r="2962" spans="29:32" x14ac:dyDescent="0.2">
      <c r="AC2962" s="20"/>
      <c r="AE2962" s="22"/>
      <c r="AF2962" s="22"/>
    </row>
    <row r="2963" spans="29:32" x14ac:dyDescent="0.2">
      <c r="AC2963" s="20"/>
      <c r="AE2963" s="22"/>
      <c r="AF2963" s="22"/>
    </row>
    <row r="2964" spans="29:32" x14ac:dyDescent="0.2">
      <c r="AC2964" s="20"/>
      <c r="AE2964" s="22"/>
      <c r="AF2964" s="22"/>
    </row>
    <row r="2965" spans="29:32" x14ac:dyDescent="0.2">
      <c r="AC2965" s="20"/>
      <c r="AE2965" s="22"/>
      <c r="AF2965" s="22"/>
    </row>
    <row r="2966" spans="29:32" x14ac:dyDescent="0.2">
      <c r="AC2966" s="20"/>
      <c r="AE2966" s="22"/>
      <c r="AF2966" s="22"/>
    </row>
    <row r="2967" spans="29:32" x14ac:dyDescent="0.2">
      <c r="AC2967" s="20"/>
      <c r="AE2967" s="22"/>
      <c r="AF2967" s="22"/>
    </row>
    <row r="2968" spans="29:32" x14ac:dyDescent="0.2">
      <c r="AC2968" s="20"/>
      <c r="AE2968" s="22"/>
      <c r="AF2968" s="22"/>
    </row>
    <row r="2969" spans="29:32" x14ac:dyDescent="0.2">
      <c r="AC2969" s="20"/>
      <c r="AE2969" s="22"/>
      <c r="AF2969" s="22"/>
    </row>
    <row r="2970" spans="29:32" x14ac:dyDescent="0.2">
      <c r="AC2970" s="20"/>
      <c r="AE2970" s="22"/>
      <c r="AF2970" s="22"/>
    </row>
    <row r="2971" spans="29:32" x14ac:dyDescent="0.2">
      <c r="AC2971" s="20"/>
      <c r="AE2971" s="22"/>
      <c r="AF2971" s="22"/>
    </row>
    <row r="2972" spans="29:32" x14ac:dyDescent="0.2">
      <c r="AC2972" s="20"/>
      <c r="AE2972" s="22"/>
      <c r="AF2972" s="22"/>
    </row>
    <row r="2973" spans="29:32" x14ac:dyDescent="0.2">
      <c r="AC2973" s="20"/>
      <c r="AE2973" s="22"/>
      <c r="AF2973" s="22"/>
    </row>
    <row r="2974" spans="29:32" x14ac:dyDescent="0.2">
      <c r="AC2974" s="20"/>
      <c r="AE2974" s="22"/>
      <c r="AF2974" s="22"/>
    </row>
    <row r="2975" spans="29:32" x14ac:dyDescent="0.2">
      <c r="AC2975" s="20"/>
      <c r="AE2975" s="22"/>
      <c r="AF2975" s="22"/>
    </row>
    <row r="2976" spans="29:32" x14ac:dyDescent="0.2">
      <c r="AC2976" s="20"/>
      <c r="AE2976" s="22"/>
      <c r="AF2976" s="22"/>
    </row>
    <row r="2977" spans="29:32" x14ac:dyDescent="0.2">
      <c r="AC2977" s="20"/>
      <c r="AE2977" s="22"/>
      <c r="AF2977" s="22"/>
    </row>
    <row r="2978" spans="29:32" x14ac:dyDescent="0.2">
      <c r="AC2978" s="20"/>
      <c r="AE2978" s="22"/>
      <c r="AF2978" s="22"/>
    </row>
    <row r="2979" spans="29:32" x14ac:dyDescent="0.2">
      <c r="AC2979" s="20"/>
      <c r="AE2979" s="22"/>
      <c r="AF2979" s="22"/>
    </row>
    <row r="2980" spans="29:32" x14ac:dyDescent="0.2">
      <c r="AC2980" s="20"/>
      <c r="AE2980" s="22"/>
      <c r="AF2980" s="22"/>
    </row>
    <row r="2981" spans="29:32" x14ac:dyDescent="0.2">
      <c r="AC2981" s="20"/>
      <c r="AE2981" s="22"/>
      <c r="AF2981" s="22"/>
    </row>
    <row r="2982" spans="29:32" x14ac:dyDescent="0.2">
      <c r="AC2982" s="20"/>
      <c r="AE2982" s="22"/>
      <c r="AF2982" s="22"/>
    </row>
    <row r="2983" spans="29:32" x14ac:dyDescent="0.2">
      <c r="AC2983" s="20"/>
      <c r="AE2983" s="22"/>
      <c r="AF2983" s="22"/>
    </row>
    <row r="2984" spans="29:32" x14ac:dyDescent="0.2">
      <c r="AC2984" s="20"/>
      <c r="AE2984" s="22"/>
      <c r="AF2984" s="22"/>
    </row>
    <row r="2985" spans="29:32" x14ac:dyDescent="0.2">
      <c r="AC2985" s="20"/>
      <c r="AE2985" s="22"/>
      <c r="AF2985" s="22"/>
    </row>
    <row r="2986" spans="29:32" x14ac:dyDescent="0.2">
      <c r="AC2986" s="20"/>
      <c r="AE2986" s="22"/>
      <c r="AF2986" s="22"/>
    </row>
    <row r="2987" spans="29:32" x14ac:dyDescent="0.2">
      <c r="AC2987" s="20"/>
      <c r="AE2987" s="22"/>
      <c r="AF2987" s="22"/>
    </row>
    <row r="2988" spans="29:32" x14ac:dyDescent="0.2">
      <c r="AC2988" s="20"/>
      <c r="AE2988" s="22"/>
      <c r="AF2988" s="22"/>
    </row>
    <row r="2989" spans="29:32" x14ac:dyDescent="0.2">
      <c r="AC2989" s="20"/>
      <c r="AE2989" s="22"/>
      <c r="AF2989" s="22"/>
    </row>
    <row r="2990" spans="29:32" x14ac:dyDescent="0.2">
      <c r="AC2990" s="20"/>
      <c r="AE2990" s="22"/>
      <c r="AF2990" s="22"/>
    </row>
    <row r="2991" spans="29:32" x14ac:dyDescent="0.2">
      <c r="AC2991" s="20"/>
      <c r="AE2991" s="22"/>
      <c r="AF2991" s="22"/>
    </row>
    <row r="2992" spans="29:32" x14ac:dyDescent="0.2">
      <c r="AC2992" s="20"/>
      <c r="AE2992" s="22"/>
      <c r="AF2992" s="22"/>
    </row>
    <row r="2993" spans="29:32" x14ac:dyDescent="0.2">
      <c r="AC2993" s="20"/>
      <c r="AE2993" s="22"/>
      <c r="AF2993" s="22"/>
    </row>
    <row r="2994" spans="29:32" x14ac:dyDescent="0.2">
      <c r="AC2994" s="20"/>
      <c r="AE2994" s="22"/>
      <c r="AF2994" s="22"/>
    </row>
    <row r="2995" spans="29:32" x14ac:dyDescent="0.2">
      <c r="AC2995" s="20"/>
      <c r="AE2995" s="22"/>
      <c r="AF2995" s="22"/>
    </row>
    <row r="2996" spans="29:32" x14ac:dyDescent="0.2">
      <c r="AC2996" s="20"/>
      <c r="AE2996" s="22"/>
      <c r="AF2996" s="22"/>
    </row>
    <row r="2997" spans="29:32" x14ac:dyDescent="0.2">
      <c r="AC2997" s="20"/>
      <c r="AE2997" s="22"/>
      <c r="AF2997" s="22"/>
    </row>
    <row r="2998" spans="29:32" x14ac:dyDescent="0.2">
      <c r="AC2998" s="20"/>
      <c r="AE2998" s="22"/>
      <c r="AF2998" s="22"/>
    </row>
    <row r="2999" spans="29:32" x14ac:dyDescent="0.2">
      <c r="AC2999" s="20"/>
      <c r="AE2999" s="22"/>
      <c r="AF2999" s="22"/>
    </row>
    <row r="3000" spans="29:32" x14ac:dyDescent="0.2">
      <c r="AC3000" s="20"/>
      <c r="AE3000" s="22"/>
      <c r="AF3000" s="22"/>
    </row>
    <row r="3001" spans="29:32" x14ac:dyDescent="0.2">
      <c r="AC3001" s="20"/>
      <c r="AE3001" s="22"/>
      <c r="AF3001" s="22"/>
    </row>
    <row r="3002" spans="29:32" x14ac:dyDescent="0.2">
      <c r="AC3002" s="20"/>
      <c r="AE3002" s="22"/>
      <c r="AF3002" s="22"/>
    </row>
    <row r="3003" spans="29:32" x14ac:dyDescent="0.2">
      <c r="AC3003" s="20"/>
      <c r="AE3003" s="22"/>
      <c r="AF3003" s="22"/>
    </row>
    <row r="3004" spans="29:32" x14ac:dyDescent="0.2">
      <c r="AC3004" s="20"/>
      <c r="AE3004" s="22"/>
      <c r="AF3004" s="22"/>
    </row>
    <row r="3005" spans="29:32" x14ac:dyDescent="0.2">
      <c r="AC3005" s="20"/>
      <c r="AE3005" s="22"/>
      <c r="AF3005" s="22"/>
    </row>
    <row r="3006" spans="29:32" x14ac:dyDescent="0.2">
      <c r="AC3006" s="20"/>
      <c r="AE3006" s="22"/>
      <c r="AF3006" s="22"/>
    </row>
    <row r="3007" spans="29:32" x14ac:dyDescent="0.2">
      <c r="AC3007" s="20"/>
      <c r="AE3007" s="22"/>
      <c r="AF3007" s="22"/>
    </row>
    <row r="3008" spans="29:32" x14ac:dyDescent="0.2">
      <c r="AC3008" s="20"/>
      <c r="AE3008" s="22"/>
      <c r="AF3008" s="22"/>
    </row>
    <row r="3009" spans="29:32" x14ac:dyDescent="0.2">
      <c r="AC3009" s="20"/>
      <c r="AE3009" s="22"/>
      <c r="AF3009" s="22"/>
    </row>
    <row r="3010" spans="29:32" x14ac:dyDescent="0.2">
      <c r="AC3010" s="20"/>
      <c r="AE3010" s="22"/>
      <c r="AF3010" s="22"/>
    </row>
    <row r="3011" spans="29:32" x14ac:dyDescent="0.2">
      <c r="AC3011" s="20"/>
      <c r="AE3011" s="22"/>
      <c r="AF3011" s="22"/>
    </row>
    <row r="3012" spans="29:32" x14ac:dyDescent="0.2">
      <c r="AC3012" s="20"/>
      <c r="AE3012" s="22"/>
      <c r="AF3012" s="22"/>
    </row>
    <row r="3013" spans="29:32" x14ac:dyDescent="0.2">
      <c r="AC3013" s="20"/>
      <c r="AE3013" s="22"/>
      <c r="AF3013" s="22"/>
    </row>
    <row r="3014" spans="29:32" x14ac:dyDescent="0.2">
      <c r="AC3014" s="20"/>
      <c r="AE3014" s="22"/>
      <c r="AF3014" s="22"/>
    </row>
    <row r="3015" spans="29:32" x14ac:dyDescent="0.2">
      <c r="AC3015" s="20"/>
      <c r="AE3015" s="22"/>
      <c r="AF3015" s="22"/>
    </row>
    <row r="3016" spans="29:32" x14ac:dyDescent="0.2">
      <c r="AC3016" s="20"/>
      <c r="AE3016" s="22"/>
      <c r="AF3016" s="22"/>
    </row>
    <row r="3017" spans="29:32" x14ac:dyDescent="0.2">
      <c r="AC3017" s="20"/>
      <c r="AE3017" s="22"/>
      <c r="AF3017" s="22"/>
    </row>
    <row r="3018" spans="29:32" x14ac:dyDescent="0.2">
      <c r="AC3018" s="20"/>
      <c r="AE3018" s="22"/>
      <c r="AF3018" s="22"/>
    </row>
    <row r="3019" spans="29:32" x14ac:dyDescent="0.2">
      <c r="AC3019" s="20"/>
      <c r="AE3019" s="22"/>
      <c r="AF3019" s="22"/>
    </row>
    <row r="3020" spans="29:32" x14ac:dyDescent="0.2">
      <c r="AC3020" s="20"/>
      <c r="AE3020" s="22"/>
      <c r="AF3020" s="22"/>
    </row>
    <row r="3021" spans="29:32" x14ac:dyDescent="0.2">
      <c r="AC3021" s="20"/>
      <c r="AE3021" s="22"/>
      <c r="AF3021" s="22"/>
    </row>
    <row r="3022" spans="29:32" x14ac:dyDescent="0.2">
      <c r="AC3022" s="20"/>
      <c r="AE3022" s="22"/>
      <c r="AF3022" s="22"/>
    </row>
    <row r="3023" spans="29:32" x14ac:dyDescent="0.2">
      <c r="AC3023" s="20"/>
      <c r="AE3023" s="22"/>
      <c r="AF3023" s="22"/>
    </row>
    <row r="3024" spans="29:32" x14ac:dyDescent="0.2">
      <c r="AC3024" s="20"/>
      <c r="AE3024" s="22"/>
      <c r="AF3024" s="22"/>
    </row>
    <row r="3025" spans="29:32" x14ac:dyDescent="0.2">
      <c r="AC3025" s="20"/>
      <c r="AE3025" s="22"/>
      <c r="AF3025" s="22"/>
    </row>
    <row r="3026" spans="29:32" x14ac:dyDescent="0.2">
      <c r="AC3026" s="20"/>
      <c r="AE3026" s="22"/>
      <c r="AF3026" s="22"/>
    </row>
    <row r="3027" spans="29:32" x14ac:dyDescent="0.2">
      <c r="AC3027" s="20"/>
      <c r="AE3027" s="22"/>
      <c r="AF3027" s="22"/>
    </row>
    <row r="3028" spans="29:32" x14ac:dyDescent="0.2">
      <c r="AC3028" s="20"/>
      <c r="AE3028" s="22"/>
      <c r="AF3028" s="22"/>
    </row>
    <row r="3029" spans="29:32" x14ac:dyDescent="0.2">
      <c r="AC3029" s="20"/>
      <c r="AE3029" s="22"/>
      <c r="AF3029" s="22"/>
    </row>
    <row r="3030" spans="29:32" x14ac:dyDescent="0.2">
      <c r="AC3030" s="20"/>
      <c r="AE3030" s="22"/>
      <c r="AF3030" s="22"/>
    </row>
    <row r="3031" spans="29:32" x14ac:dyDescent="0.2">
      <c r="AC3031" s="20"/>
      <c r="AE3031" s="22"/>
      <c r="AF3031" s="22"/>
    </row>
    <row r="3032" spans="29:32" x14ac:dyDescent="0.2">
      <c r="AC3032" s="20"/>
      <c r="AE3032" s="22"/>
      <c r="AF3032" s="22"/>
    </row>
    <row r="3033" spans="29:32" x14ac:dyDescent="0.2">
      <c r="AC3033" s="20"/>
      <c r="AE3033" s="22"/>
      <c r="AF3033" s="22"/>
    </row>
    <row r="3034" spans="29:32" x14ac:dyDescent="0.2">
      <c r="AC3034" s="20"/>
      <c r="AE3034" s="22"/>
      <c r="AF3034" s="22"/>
    </row>
    <row r="3035" spans="29:32" x14ac:dyDescent="0.2">
      <c r="AC3035" s="20"/>
      <c r="AE3035" s="22"/>
      <c r="AF3035" s="22"/>
    </row>
    <row r="3036" spans="29:32" x14ac:dyDescent="0.2">
      <c r="AC3036" s="20"/>
      <c r="AE3036" s="22"/>
      <c r="AF3036" s="22"/>
    </row>
    <row r="3037" spans="29:32" x14ac:dyDescent="0.2">
      <c r="AC3037" s="20"/>
      <c r="AE3037" s="22"/>
      <c r="AF3037" s="22"/>
    </row>
    <row r="3038" spans="29:32" x14ac:dyDescent="0.2">
      <c r="AC3038" s="20"/>
      <c r="AE3038" s="22"/>
      <c r="AF3038" s="22"/>
    </row>
    <row r="3039" spans="29:32" x14ac:dyDescent="0.2">
      <c r="AC3039" s="20"/>
      <c r="AE3039" s="22"/>
      <c r="AF3039" s="22"/>
    </row>
    <row r="3040" spans="29:32" x14ac:dyDescent="0.2">
      <c r="AC3040" s="20"/>
      <c r="AE3040" s="22"/>
      <c r="AF3040" s="22"/>
    </row>
    <row r="3041" spans="29:32" x14ac:dyDescent="0.2">
      <c r="AC3041" s="20"/>
      <c r="AE3041" s="22"/>
      <c r="AF3041" s="22"/>
    </row>
    <row r="3042" spans="29:32" x14ac:dyDescent="0.2">
      <c r="AC3042" s="20"/>
      <c r="AE3042" s="22"/>
      <c r="AF3042" s="22"/>
    </row>
    <row r="3043" spans="29:32" x14ac:dyDescent="0.2">
      <c r="AC3043" s="20"/>
      <c r="AE3043" s="22"/>
      <c r="AF3043" s="22"/>
    </row>
    <row r="3044" spans="29:32" x14ac:dyDescent="0.2">
      <c r="AC3044" s="20"/>
      <c r="AE3044" s="22"/>
      <c r="AF3044" s="22"/>
    </row>
    <row r="3045" spans="29:32" x14ac:dyDescent="0.2">
      <c r="AC3045" s="20"/>
      <c r="AE3045" s="22"/>
      <c r="AF3045" s="22"/>
    </row>
    <row r="3046" spans="29:32" x14ac:dyDescent="0.2">
      <c r="AC3046" s="20"/>
      <c r="AE3046" s="22"/>
      <c r="AF3046" s="22"/>
    </row>
    <row r="3047" spans="29:32" x14ac:dyDescent="0.2">
      <c r="AC3047" s="20"/>
      <c r="AE3047" s="22"/>
      <c r="AF3047" s="22"/>
    </row>
    <row r="3048" spans="29:32" x14ac:dyDescent="0.2">
      <c r="AC3048" s="20"/>
      <c r="AE3048" s="22"/>
      <c r="AF3048" s="22"/>
    </row>
    <row r="3049" spans="29:32" x14ac:dyDescent="0.2">
      <c r="AC3049" s="20"/>
      <c r="AE3049" s="22"/>
      <c r="AF3049" s="22"/>
    </row>
    <row r="3050" spans="29:32" x14ac:dyDescent="0.2">
      <c r="AC3050" s="20"/>
      <c r="AE3050" s="22"/>
      <c r="AF3050" s="22"/>
    </row>
    <row r="3051" spans="29:32" x14ac:dyDescent="0.2">
      <c r="AC3051" s="20"/>
      <c r="AE3051" s="22"/>
      <c r="AF3051" s="22"/>
    </row>
    <row r="3052" spans="29:32" x14ac:dyDescent="0.2">
      <c r="AC3052" s="20"/>
      <c r="AE3052" s="22"/>
      <c r="AF3052" s="22"/>
    </row>
    <row r="3053" spans="29:32" x14ac:dyDescent="0.2">
      <c r="AC3053" s="20"/>
      <c r="AE3053" s="22"/>
      <c r="AF3053" s="22"/>
    </row>
    <row r="3054" spans="29:32" x14ac:dyDescent="0.2">
      <c r="AC3054" s="20"/>
      <c r="AE3054" s="22"/>
      <c r="AF3054" s="22"/>
    </row>
    <row r="3055" spans="29:32" x14ac:dyDescent="0.2">
      <c r="AC3055" s="20"/>
      <c r="AE3055" s="22"/>
      <c r="AF3055" s="22"/>
    </row>
    <row r="3056" spans="29:32" x14ac:dyDescent="0.2">
      <c r="AC3056" s="20"/>
      <c r="AE3056" s="22"/>
      <c r="AF3056" s="22"/>
    </row>
    <row r="3057" spans="29:32" x14ac:dyDescent="0.2">
      <c r="AC3057" s="20"/>
      <c r="AE3057" s="22"/>
      <c r="AF3057" s="22"/>
    </row>
    <row r="3058" spans="29:32" x14ac:dyDescent="0.2">
      <c r="AC3058" s="20"/>
      <c r="AE3058" s="22"/>
      <c r="AF3058" s="22"/>
    </row>
    <row r="3059" spans="29:32" x14ac:dyDescent="0.2">
      <c r="AC3059" s="20"/>
      <c r="AE3059" s="22"/>
      <c r="AF3059" s="22"/>
    </row>
    <row r="3060" spans="29:32" x14ac:dyDescent="0.2">
      <c r="AC3060" s="20"/>
      <c r="AE3060" s="22"/>
      <c r="AF3060" s="22"/>
    </row>
    <row r="3061" spans="29:32" x14ac:dyDescent="0.2">
      <c r="AC3061" s="20"/>
      <c r="AE3061" s="22"/>
      <c r="AF3061" s="22"/>
    </row>
    <row r="3062" spans="29:32" x14ac:dyDescent="0.2">
      <c r="AC3062" s="20"/>
      <c r="AE3062" s="22"/>
      <c r="AF3062" s="22"/>
    </row>
    <row r="3063" spans="29:32" x14ac:dyDescent="0.2">
      <c r="AC3063" s="20"/>
      <c r="AE3063" s="22"/>
      <c r="AF3063" s="22"/>
    </row>
    <row r="3064" spans="29:32" x14ac:dyDescent="0.2">
      <c r="AC3064" s="20"/>
      <c r="AE3064" s="22"/>
      <c r="AF3064" s="22"/>
    </row>
    <row r="3065" spans="29:32" x14ac:dyDescent="0.2">
      <c r="AC3065" s="20"/>
      <c r="AE3065" s="22"/>
      <c r="AF3065" s="22"/>
    </row>
    <row r="3066" spans="29:32" x14ac:dyDescent="0.2">
      <c r="AC3066" s="20"/>
      <c r="AE3066" s="22"/>
      <c r="AF3066" s="22"/>
    </row>
    <row r="3067" spans="29:32" x14ac:dyDescent="0.2">
      <c r="AC3067" s="20"/>
      <c r="AE3067" s="22"/>
      <c r="AF3067" s="22"/>
    </row>
    <row r="3068" spans="29:32" x14ac:dyDescent="0.2">
      <c r="AC3068" s="20"/>
      <c r="AE3068" s="22"/>
      <c r="AF3068" s="22"/>
    </row>
    <row r="3069" spans="29:32" x14ac:dyDescent="0.2">
      <c r="AC3069" s="20"/>
      <c r="AE3069" s="22"/>
      <c r="AF3069" s="22"/>
    </row>
    <row r="3070" spans="29:32" x14ac:dyDescent="0.2">
      <c r="AC3070" s="20"/>
      <c r="AE3070" s="22"/>
      <c r="AF3070" s="22"/>
    </row>
    <row r="3071" spans="29:32" x14ac:dyDescent="0.2">
      <c r="AC3071" s="20"/>
      <c r="AE3071" s="22"/>
      <c r="AF3071" s="22"/>
    </row>
    <row r="3072" spans="29:32" x14ac:dyDescent="0.2">
      <c r="AC3072" s="20"/>
      <c r="AE3072" s="22"/>
      <c r="AF3072" s="22"/>
    </row>
    <row r="3073" spans="29:32" x14ac:dyDescent="0.2">
      <c r="AC3073" s="20"/>
      <c r="AE3073" s="22"/>
      <c r="AF3073" s="22"/>
    </row>
    <row r="3074" spans="29:32" x14ac:dyDescent="0.2">
      <c r="AC3074" s="20"/>
      <c r="AE3074" s="22"/>
      <c r="AF3074" s="22"/>
    </row>
    <row r="3075" spans="29:32" x14ac:dyDescent="0.2">
      <c r="AC3075" s="20"/>
      <c r="AE3075" s="22"/>
      <c r="AF3075" s="22"/>
    </row>
    <row r="3076" spans="29:32" x14ac:dyDescent="0.2">
      <c r="AC3076" s="20"/>
      <c r="AE3076" s="22"/>
      <c r="AF3076" s="22"/>
    </row>
    <row r="3077" spans="29:32" x14ac:dyDescent="0.2">
      <c r="AC3077" s="20"/>
      <c r="AE3077" s="22"/>
      <c r="AF3077" s="22"/>
    </row>
    <row r="3078" spans="29:32" x14ac:dyDescent="0.2">
      <c r="AC3078" s="20"/>
      <c r="AE3078" s="22"/>
      <c r="AF3078" s="22"/>
    </row>
    <row r="3079" spans="29:32" x14ac:dyDescent="0.2">
      <c r="AC3079" s="20"/>
      <c r="AE3079" s="22"/>
      <c r="AF3079" s="22"/>
    </row>
    <row r="3080" spans="29:32" x14ac:dyDescent="0.2">
      <c r="AC3080" s="20"/>
      <c r="AE3080" s="22"/>
      <c r="AF3080" s="22"/>
    </row>
    <row r="3081" spans="29:32" x14ac:dyDescent="0.2">
      <c r="AC3081" s="20"/>
      <c r="AE3081" s="22"/>
      <c r="AF3081" s="22"/>
    </row>
    <row r="3082" spans="29:32" x14ac:dyDescent="0.2">
      <c r="AC3082" s="20"/>
      <c r="AE3082" s="22"/>
      <c r="AF3082" s="22"/>
    </row>
    <row r="3083" spans="29:32" x14ac:dyDescent="0.2">
      <c r="AC3083" s="20"/>
      <c r="AE3083" s="22"/>
      <c r="AF3083" s="22"/>
    </row>
    <row r="3084" spans="29:32" x14ac:dyDescent="0.2">
      <c r="AC3084" s="20"/>
      <c r="AE3084" s="22"/>
      <c r="AF3084" s="22"/>
    </row>
    <row r="3085" spans="29:32" x14ac:dyDescent="0.2">
      <c r="AC3085" s="20"/>
      <c r="AE3085" s="22"/>
      <c r="AF3085" s="22"/>
    </row>
    <row r="3086" spans="29:32" x14ac:dyDescent="0.2">
      <c r="AC3086" s="20"/>
      <c r="AE3086" s="22"/>
      <c r="AF3086" s="22"/>
    </row>
    <row r="3087" spans="29:32" x14ac:dyDescent="0.2">
      <c r="AC3087" s="20"/>
      <c r="AE3087" s="22"/>
      <c r="AF3087" s="22"/>
    </row>
    <row r="3088" spans="29:32" x14ac:dyDescent="0.2">
      <c r="AC3088" s="20"/>
      <c r="AE3088" s="22"/>
      <c r="AF3088" s="22"/>
    </row>
    <row r="3089" spans="29:32" x14ac:dyDescent="0.2">
      <c r="AC3089" s="20"/>
      <c r="AE3089" s="22"/>
      <c r="AF3089" s="22"/>
    </row>
    <row r="3090" spans="29:32" x14ac:dyDescent="0.2">
      <c r="AC3090" s="20"/>
      <c r="AE3090" s="22"/>
      <c r="AF3090" s="22"/>
    </row>
    <row r="3091" spans="29:32" x14ac:dyDescent="0.2">
      <c r="AC3091" s="20"/>
      <c r="AE3091" s="22"/>
      <c r="AF3091" s="22"/>
    </row>
    <row r="3092" spans="29:32" x14ac:dyDescent="0.2">
      <c r="AC3092" s="20"/>
      <c r="AE3092" s="22"/>
      <c r="AF3092" s="22"/>
    </row>
    <row r="3093" spans="29:32" x14ac:dyDescent="0.2">
      <c r="AC3093" s="20"/>
      <c r="AE3093" s="22"/>
      <c r="AF3093" s="22"/>
    </row>
    <row r="3094" spans="29:32" x14ac:dyDescent="0.2">
      <c r="AC3094" s="20"/>
      <c r="AE3094" s="22"/>
      <c r="AF3094" s="22"/>
    </row>
    <row r="3095" spans="29:32" x14ac:dyDescent="0.2">
      <c r="AC3095" s="20"/>
      <c r="AE3095" s="22"/>
      <c r="AF3095" s="22"/>
    </row>
    <row r="3096" spans="29:32" x14ac:dyDescent="0.2">
      <c r="AC3096" s="20"/>
      <c r="AE3096" s="22"/>
      <c r="AF3096" s="22"/>
    </row>
    <row r="3097" spans="29:32" x14ac:dyDescent="0.2">
      <c r="AC3097" s="20"/>
      <c r="AE3097" s="22"/>
      <c r="AF3097" s="22"/>
    </row>
    <row r="3098" spans="29:32" x14ac:dyDescent="0.2">
      <c r="AC3098" s="20"/>
      <c r="AE3098" s="22"/>
      <c r="AF3098" s="22"/>
    </row>
    <row r="3099" spans="29:32" x14ac:dyDescent="0.2">
      <c r="AC3099" s="20"/>
      <c r="AE3099" s="22"/>
      <c r="AF3099" s="22"/>
    </row>
    <row r="3100" spans="29:32" x14ac:dyDescent="0.2">
      <c r="AC3100" s="20"/>
      <c r="AE3100" s="22"/>
      <c r="AF3100" s="22"/>
    </row>
    <row r="3101" spans="29:32" x14ac:dyDescent="0.2">
      <c r="AC3101" s="20"/>
      <c r="AE3101" s="22"/>
      <c r="AF3101" s="22"/>
    </row>
    <row r="3102" spans="29:32" x14ac:dyDescent="0.2">
      <c r="AC3102" s="20"/>
      <c r="AE3102" s="22"/>
      <c r="AF3102" s="22"/>
    </row>
    <row r="3103" spans="29:32" x14ac:dyDescent="0.2">
      <c r="AC3103" s="20"/>
      <c r="AE3103" s="22"/>
      <c r="AF3103" s="22"/>
    </row>
    <row r="3104" spans="29:32" x14ac:dyDescent="0.2">
      <c r="AC3104" s="20"/>
      <c r="AE3104" s="22"/>
      <c r="AF3104" s="22"/>
    </row>
    <row r="3105" spans="29:32" x14ac:dyDescent="0.2">
      <c r="AC3105" s="20"/>
      <c r="AE3105" s="22"/>
      <c r="AF3105" s="22"/>
    </row>
    <row r="3106" spans="29:32" x14ac:dyDescent="0.2">
      <c r="AC3106" s="20"/>
      <c r="AE3106" s="22"/>
      <c r="AF3106" s="22"/>
    </row>
    <row r="3107" spans="29:32" x14ac:dyDescent="0.2">
      <c r="AC3107" s="20"/>
      <c r="AE3107" s="22"/>
      <c r="AF3107" s="22"/>
    </row>
    <row r="3108" spans="29:32" x14ac:dyDescent="0.2">
      <c r="AC3108" s="20"/>
      <c r="AE3108" s="22"/>
      <c r="AF3108" s="22"/>
    </row>
    <row r="3109" spans="29:32" x14ac:dyDescent="0.2">
      <c r="AC3109" s="20"/>
      <c r="AE3109" s="22"/>
      <c r="AF3109" s="22"/>
    </row>
    <row r="3110" spans="29:32" x14ac:dyDescent="0.2">
      <c r="AC3110" s="20"/>
      <c r="AE3110" s="22"/>
      <c r="AF3110" s="22"/>
    </row>
    <row r="3111" spans="29:32" x14ac:dyDescent="0.2">
      <c r="AC3111" s="20"/>
      <c r="AE3111" s="22"/>
      <c r="AF3111" s="22"/>
    </row>
    <row r="3112" spans="29:32" x14ac:dyDescent="0.2">
      <c r="AC3112" s="20"/>
      <c r="AE3112" s="22"/>
      <c r="AF3112" s="22"/>
    </row>
    <row r="3113" spans="29:32" x14ac:dyDescent="0.2">
      <c r="AC3113" s="20"/>
      <c r="AE3113" s="22"/>
      <c r="AF3113" s="22"/>
    </row>
    <row r="3114" spans="29:32" x14ac:dyDescent="0.2">
      <c r="AC3114" s="20"/>
      <c r="AE3114" s="22"/>
      <c r="AF3114" s="22"/>
    </row>
    <row r="3115" spans="29:32" x14ac:dyDescent="0.2">
      <c r="AC3115" s="20"/>
      <c r="AE3115" s="22"/>
      <c r="AF3115" s="22"/>
    </row>
    <row r="3116" spans="29:32" x14ac:dyDescent="0.2">
      <c r="AC3116" s="20"/>
      <c r="AE3116" s="22"/>
      <c r="AF3116" s="22"/>
    </row>
    <row r="3117" spans="29:32" x14ac:dyDescent="0.2">
      <c r="AC3117" s="20"/>
      <c r="AE3117" s="22"/>
      <c r="AF3117" s="22"/>
    </row>
    <row r="3118" spans="29:32" x14ac:dyDescent="0.2">
      <c r="AC3118" s="20"/>
      <c r="AE3118" s="22"/>
      <c r="AF3118" s="22"/>
    </row>
    <row r="3119" spans="29:32" x14ac:dyDescent="0.2">
      <c r="AC3119" s="20"/>
      <c r="AE3119" s="22"/>
      <c r="AF3119" s="22"/>
    </row>
    <row r="3120" spans="29:32" x14ac:dyDescent="0.2">
      <c r="AC3120" s="20"/>
      <c r="AE3120" s="22"/>
      <c r="AF3120" s="22"/>
    </row>
    <row r="3121" spans="29:32" x14ac:dyDescent="0.2">
      <c r="AC3121" s="20"/>
      <c r="AE3121" s="22"/>
      <c r="AF3121" s="22"/>
    </row>
    <row r="3122" spans="29:32" x14ac:dyDescent="0.2">
      <c r="AC3122" s="20"/>
      <c r="AE3122" s="22"/>
      <c r="AF3122" s="22"/>
    </row>
    <row r="3123" spans="29:32" x14ac:dyDescent="0.2">
      <c r="AC3123" s="20"/>
      <c r="AE3123" s="22"/>
      <c r="AF3123" s="22"/>
    </row>
    <row r="3124" spans="29:32" x14ac:dyDescent="0.2">
      <c r="AC3124" s="20"/>
      <c r="AE3124" s="22"/>
      <c r="AF3124" s="22"/>
    </row>
    <row r="3125" spans="29:32" x14ac:dyDescent="0.2">
      <c r="AC3125" s="20"/>
      <c r="AE3125" s="22"/>
      <c r="AF3125" s="22"/>
    </row>
    <row r="3126" spans="29:32" x14ac:dyDescent="0.2">
      <c r="AC3126" s="20"/>
      <c r="AE3126" s="22"/>
      <c r="AF3126" s="22"/>
    </row>
    <row r="3127" spans="29:32" x14ac:dyDescent="0.2">
      <c r="AC3127" s="20"/>
      <c r="AE3127" s="22"/>
      <c r="AF3127" s="22"/>
    </row>
    <row r="3128" spans="29:32" x14ac:dyDescent="0.2">
      <c r="AC3128" s="20"/>
      <c r="AE3128" s="22"/>
      <c r="AF3128" s="22"/>
    </row>
    <row r="3129" spans="29:32" x14ac:dyDescent="0.2">
      <c r="AC3129" s="20"/>
      <c r="AE3129" s="22"/>
      <c r="AF3129" s="22"/>
    </row>
    <row r="3130" spans="29:32" x14ac:dyDescent="0.2">
      <c r="AC3130" s="20"/>
      <c r="AE3130" s="22"/>
      <c r="AF3130" s="22"/>
    </row>
    <row r="3131" spans="29:32" x14ac:dyDescent="0.2">
      <c r="AC3131" s="20"/>
      <c r="AE3131" s="22"/>
      <c r="AF3131" s="22"/>
    </row>
    <row r="3132" spans="29:32" x14ac:dyDescent="0.2">
      <c r="AC3132" s="20"/>
      <c r="AE3132" s="22"/>
      <c r="AF3132" s="22"/>
    </row>
    <row r="3133" spans="29:32" x14ac:dyDescent="0.2">
      <c r="AC3133" s="20"/>
      <c r="AE3133" s="22"/>
      <c r="AF3133" s="22"/>
    </row>
    <row r="3134" spans="29:32" x14ac:dyDescent="0.2">
      <c r="AC3134" s="20"/>
      <c r="AE3134" s="22"/>
      <c r="AF3134" s="22"/>
    </row>
    <row r="3135" spans="29:32" x14ac:dyDescent="0.2">
      <c r="AC3135" s="20"/>
      <c r="AE3135" s="22"/>
      <c r="AF3135" s="22"/>
    </row>
    <row r="3136" spans="29:32" x14ac:dyDescent="0.2">
      <c r="AC3136" s="20"/>
      <c r="AE3136" s="22"/>
      <c r="AF3136" s="22"/>
    </row>
    <row r="3137" spans="29:32" x14ac:dyDescent="0.2">
      <c r="AC3137" s="20"/>
      <c r="AE3137" s="22"/>
      <c r="AF3137" s="22"/>
    </row>
    <row r="3138" spans="29:32" x14ac:dyDescent="0.2">
      <c r="AC3138" s="20"/>
      <c r="AE3138" s="22"/>
      <c r="AF3138" s="22"/>
    </row>
    <row r="3139" spans="29:32" x14ac:dyDescent="0.2">
      <c r="AC3139" s="20"/>
      <c r="AE3139" s="22"/>
      <c r="AF3139" s="22"/>
    </row>
    <row r="3140" spans="29:32" x14ac:dyDescent="0.2">
      <c r="AC3140" s="20"/>
      <c r="AE3140" s="22"/>
      <c r="AF3140" s="22"/>
    </row>
    <row r="3141" spans="29:32" x14ac:dyDescent="0.2">
      <c r="AC3141" s="20"/>
      <c r="AE3141" s="22"/>
      <c r="AF3141" s="22"/>
    </row>
    <row r="3142" spans="29:32" x14ac:dyDescent="0.2">
      <c r="AC3142" s="20"/>
      <c r="AE3142" s="22"/>
      <c r="AF3142" s="22"/>
    </row>
    <row r="3143" spans="29:32" x14ac:dyDescent="0.2">
      <c r="AC3143" s="20"/>
      <c r="AE3143" s="22"/>
      <c r="AF3143" s="22"/>
    </row>
    <row r="3144" spans="29:32" x14ac:dyDescent="0.2">
      <c r="AC3144" s="20"/>
      <c r="AE3144" s="22"/>
      <c r="AF3144" s="22"/>
    </row>
    <row r="3145" spans="29:32" x14ac:dyDescent="0.2">
      <c r="AC3145" s="20"/>
      <c r="AE3145" s="22"/>
      <c r="AF3145" s="22"/>
    </row>
    <row r="3146" spans="29:32" x14ac:dyDescent="0.2">
      <c r="AC3146" s="20"/>
      <c r="AE3146" s="22"/>
      <c r="AF3146" s="22"/>
    </row>
    <row r="3147" spans="29:32" x14ac:dyDescent="0.2">
      <c r="AC3147" s="20"/>
      <c r="AE3147" s="22"/>
      <c r="AF3147" s="22"/>
    </row>
    <row r="3148" spans="29:32" x14ac:dyDescent="0.2">
      <c r="AC3148" s="20"/>
      <c r="AE3148" s="22"/>
      <c r="AF3148" s="22"/>
    </row>
    <row r="3149" spans="29:32" x14ac:dyDescent="0.2">
      <c r="AC3149" s="20"/>
      <c r="AE3149" s="22"/>
      <c r="AF3149" s="22"/>
    </row>
    <row r="3150" spans="29:32" x14ac:dyDescent="0.2">
      <c r="AC3150" s="20"/>
      <c r="AE3150" s="22"/>
      <c r="AF3150" s="22"/>
    </row>
    <row r="3151" spans="29:32" x14ac:dyDescent="0.2">
      <c r="AC3151" s="20"/>
      <c r="AE3151" s="22"/>
      <c r="AF3151" s="22"/>
    </row>
    <row r="3152" spans="29:32" x14ac:dyDescent="0.2">
      <c r="AC3152" s="20"/>
      <c r="AE3152" s="22"/>
      <c r="AF3152" s="22"/>
    </row>
    <row r="3153" spans="29:32" x14ac:dyDescent="0.2">
      <c r="AC3153" s="20"/>
      <c r="AE3153" s="22"/>
      <c r="AF3153" s="22"/>
    </row>
    <row r="3154" spans="29:32" x14ac:dyDescent="0.2">
      <c r="AC3154" s="20"/>
      <c r="AE3154" s="22"/>
      <c r="AF3154" s="22"/>
    </row>
    <row r="3155" spans="29:32" x14ac:dyDescent="0.2">
      <c r="AC3155" s="20"/>
      <c r="AE3155" s="22"/>
      <c r="AF3155" s="22"/>
    </row>
    <row r="3156" spans="29:32" x14ac:dyDescent="0.2">
      <c r="AC3156" s="20"/>
      <c r="AE3156" s="22"/>
      <c r="AF3156" s="22"/>
    </row>
    <row r="3157" spans="29:32" x14ac:dyDescent="0.2">
      <c r="AC3157" s="20"/>
      <c r="AE3157" s="22"/>
      <c r="AF3157" s="22"/>
    </row>
    <row r="3158" spans="29:32" x14ac:dyDescent="0.2">
      <c r="AC3158" s="20"/>
      <c r="AE3158" s="22"/>
      <c r="AF3158" s="22"/>
    </row>
    <row r="3159" spans="29:32" x14ac:dyDescent="0.2">
      <c r="AC3159" s="20"/>
      <c r="AE3159" s="22"/>
      <c r="AF3159" s="22"/>
    </row>
    <row r="3160" spans="29:32" x14ac:dyDescent="0.2">
      <c r="AC3160" s="20"/>
      <c r="AE3160" s="22"/>
      <c r="AF3160" s="22"/>
    </row>
    <row r="3161" spans="29:32" x14ac:dyDescent="0.2">
      <c r="AC3161" s="20"/>
      <c r="AE3161" s="22"/>
      <c r="AF3161" s="22"/>
    </row>
    <row r="3162" spans="29:32" x14ac:dyDescent="0.2">
      <c r="AC3162" s="20"/>
      <c r="AE3162" s="22"/>
      <c r="AF3162" s="22"/>
    </row>
    <row r="3163" spans="29:32" x14ac:dyDescent="0.2">
      <c r="AC3163" s="20"/>
      <c r="AE3163" s="22"/>
      <c r="AF3163" s="22"/>
    </row>
    <row r="3164" spans="29:32" x14ac:dyDescent="0.2">
      <c r="AC3164" s="20"/>
      <c r="AE3164" s="22"/>
      <c r="AF3164" s="22"/>
    </row>
    <row r="3165" spans="29:32" x14ac:dyDescent="0.2">
      <c r="AC3165" s="20"/>
      <c r="AE3165" s="22"/>
      <c r="AF3165" s="22"/>
    </row>
    <row r="3166" spans="29:32" x14ac:dyDescent="0.2">
      <c r="AC3166" s="20"/>
      <c r="AE3166" s="22"/>
      <c r="AF3166" s="22"/>
    </row>
    <row r="3167" spans="29:32" x14ac:dyDescent="0.2">
      <c r="AC3167" s="20"/>
      <c r="AE3167" s="22"/>
      <c r="AF3167" s="22"/>
    </row>
    <row r="3168" spans="29:32" x14ac:dyDescent="0.2">
      <c r="AC3168" s="20"/>
      <c r="AE3168" s="22"/>
      <c r="AF3168" s="22"/>
    </row>
    <row r="3169" spans="29:32" x14ac:dyDescent="0.2">
      <c r="AC3169" s="20"/>
      <c r="AE3169" s="22"/>
      <c r="AF3169" s="22"/>
    </row>
    <row r="3170" spans="29:32" x14ac:dyDescent="0.2">
      <c r="AC3170" s="20"/>
      <c r="AE3170" s="22"/>
      <c r="AF3170" s="22"/>
    </row>
    <row r="3171" spans="29:32" x14ac:dyDescent="0.2">
      <c r="AC3171" s="20"/>
      <c r="AE3171" s="22"/>
      <c r="AF3171" s="22"/>
    </row>
    <row r="3172" spans="29:32" x14ac:dyDescent="0.2">
      <c r="AC3172" s="20"/>
      <c r="AE3172" s="22"/>
      <c r="AF3172" s="22"/>
    </row>
    <row r="3173" spans="29:32" x14ac:dyDescent="0.2">
      <c r="AC3173" s="20"/>
      <c r="AE3173" s="22"/>
      <c r="AF3173" s="22"/>
    </row>
    <row r="3174" spans="29:32" x14ac:dyDescent="0.2">
      <c r="AC3174" s="20"/>
      <c r="AE3174" s="22"/>
      <c r="AF3174" s="22"/>
    </row>
    <row r="3175" spans="29:32" x14ac:dyDescent="0.2">
      <c r="AC3175" s="20"/>
      <c r="AE3175" s="22"/>
      <c r="AF3175" s="22"/>
    </row>
    <row r="3176" spans="29:32" x14ac:dyDescent="0.2">
      <c r="AC3176" s="20"/>
      <c r="AE3176" s="22"/>
      <c r="AF3176" s="22"/>
    </row>
    <row r="3177" spans="29:32" x14ac:dyDescent="0.2">
      <c r="AC3177" s="20"/>
      <c r="AE3177" s="22"/>
      <c r="AF3177" s="22"/>
    </row>
    <row r="3178" spans="29:32" x14ac:dyDescent="0.2">
      <c r="AC3178" s="20"/>
      <c r="AE3178" s="22"/>
      <c r="AF3178" s="22"/>
    </row>
    <row r="3179" spans="29:32" x14ac:dyDescent="0.2">
      <c r="AC3179" s="20"/>
      <c r="AE3179" s="22"/>
      <c r="AF3179" s="22"/>
    </row>
    <row r="3180" spans="29:32" x14ac:dyDescent="0.2">
      <c r="AC3180" s="20"/>
      <c r="AE3180" s="22"/>
      <c r="AF3180" s="22"/>
    </row>
    <row r="3181" spans="29:32" x14ac:dyDescent="0.2">
      <c r="AC3181" s="20"/>
      <c r="AE3181" s="22"/>
      <c r="AF3181" s="22"/>
    </row>
    <row r="3182" spans="29:32" x14ac:dyDescent="0.2">
      <c r="AC3182" s="20"/>
      <c r="AE3182" s="22"/>
      <c r="AF3182" s="22"/>
    </row>
    <row r="3183" spans="29:32" x14ac:dyDescent="0.2">
      <c r="AC3183" s="20"/>
      <c r="AE3183" s="22"/>
      <c r="AF3183" s="22"/>
    </row>
    <row r="3184" spans="29:32" x14ac:dyDescent="0.2">
      <c r="AC3184" s="20"/>
      <c r="AE3184" s="22"/>
      <c r="AF3184" s="22"/>
    </row>
    <row r="3185" spans="29:32" x14ac:dyDescent="0.2">
      <c r="AC3185" s="20"/>
      <c r="AE3185" s="22"/>
      <c r="AF3185" s="22"/>
    </row>
    <row r="3186" spans="29:32" x14ac:dyDescent="0.2">
      <c r="AC3186" s="20"/>
      <c r="AE3186" s="22"/>
      <c r="AF3186" s="22"/>
    </row>
    <row r="3187" spans="29:32" x14ac:dyDescent="0.2">
      <c r="AC3187" s="20"/>
      <c r="AE3187" s="22"/>
      <c r="AF3187" s="22"/>
    </row>
    <row r="3188" spans="29:32" x14ac:dyDescent="0.2">
      <c r="AC3188" s="20"/>
      <c r="AE3188" s="22"/>
      <c r="AF3188" s="22"/>
    </row>
    <row r="3189" spans="29:32" x14ac:dyDescent="0.2">
      <c r="AC3189" s="20"/>
      <c r="AE3189" s="22"/>
      <c r="AF3189" s="22"/>
    </row>
    <row r="3190" spans="29:32" x14ac:dyDescent="0.2">
      <c r="AC3190" s="20"/>
      <c r="AE3190" s="22"/>
      <c r="AF3190" s="22"/>
    </row>
    <row r="3191" spans="29:32" x14ac:dyDescent="0.2">
      <c r="AC3191" s="20"/>
      <c r="AE3191" s="22"/>
      <c r="AF3191" s="22"/>
    </row>
    <row r="3192" spans="29:32" x14ac:dyDescent="0.2">
      <c r="AC3192" s="20"/>
      <c r="AE3192" s="22"/>
      <c r="AF3192" s="22"/>
    </row>
    <row r="3193" spans="29:32" x14ac:dyDescent="0.2">
      <c r="AC3193" s="20"/>
      <c r="AE3193" s="22"/>
      <c r="AF3193" s="22"/>
    </row>
    <row r="3194" spans="29:32" x14ac:dyDescent="0.2">
      <c r="AC3194" s="20"/>
      <c r="AE3194" s="22"/>
      <c r="AF3194" s="22"/>
    </row>
    <row r="3195" spans="29:32" x14ac:dyDescent="0.2">
      <c r="AC3195" s="20"/>
      <c r="AE3195" s="22"/>
      <c r="AF3195" s="22"/>
    </row>
    <row r="3196" spans="29:32" x14ac:dyDescent="0.2">
      <c r="AC3196" s="20"/>
      <c r="AE3196" s="22"/>
      <c r="AF3196" s="22"/>
    </row>
    <row r="3197" spans="29:32" x14ac:dyDescent="0.2">
      <c r="AC3197" s="20"/>
      <c r="AE3197" s="22"/>
      <c r="AF3197" s="22"/>
    </row>
    <row r="3198" spans="29:32" x14ac:dyDescent="0.2">
      <c r="AC3198" s="20"/>
      <c r="AE3198" s="22"/>
      <c r="AF3198" s="22"/>
    </row>
    <row r="3199" spans="29:32" x14ac:dyDescent="0.2">
      <c r="AC3199" s="20"/>
      <c r="AE3199" s="22"/>
      <c r="AF3199" s="22"/>
    </row>
    <row r="3200" spans="29:32" x14ac:dyDescent="0.2">
      <c r="AC3200" s="20"/>
      <c r="AE3200" s="22"/>
      <c r="AF3200" s="22"/>
    </row>
    <row r="3201" spans="29:32" x14ac:dyDescent="0.2">
      <c r="AC3201" s="20"/>
      <c r="AE3201" s="22"/>
      <c r="AF3201" s="22"/>
    </row>
    <row r="3202" spans="29:32" x14ac:dyDescent="0.2">
      <c r="AC3202" s="20"/>
      <c r="AE3202" s="22"/>
      <c r="AF3202" s="22"/>
    </row>
    <row r="3203" spans="29:32" x14ac:dyDescent="0.2">
      <c r="AC3203" s="20"/>
      <c r="AE3203" s="22"/>
      <c r="AF3203" s="22"/>
    </row>
    <row r="3204" spans="29:32" x14ac:dyDescent="0.2">
      <c r="AC3204" s="20"/>
      <c r="AE3204" s="22"/>
      <c r="AF3204" s="22"/>
    </row>
    <row r="3205" spans="29:32" x14ac:dyDescent="0.2">
      <c r="AC3205" s="20"/>
      <c r="AE3205" s="22"/>
      <c r="AF3205" s="22"/>
    </row>
    <row r="3206" spans="29:32" x14ac:dyDescent="0.2">
      <c r="AC3206" s="20"/>
      <c r="AE3206" s="22"/>
      <c r="AF3206" s="22"/>
    </row>
    <row r="3207" spans="29:32" x14ac:dyDescent="0.2">
      <c r="AC3207" s="20"/>
      <c r="AE3207" s="22"/>
      <c r="AF3207" s="22"/>
    </row>
    <row r="3208" spans="29:32" x14ac:dyDescent="0.2">
      <c r="AC3208" s="20"/>
      <c r="AE3208" s="22"/>
      <c r="AF3208" s="22"/>
    </row>
    <row r="3209" spans="29:32" x14ac:dyDescent="0.2">
      <c r="AC3209" s="20"/>
      <c r="AE3209" s="22"/>
      <c r="AF3209" s="22"/>
    </row>
    <row r="3210" spans="29:32" x14ac:dyDescent="0.2">
      <c r="AC3210" s="20"/>
      <c r="AE3210" s="22"/>
      <c r="AF3210" s="22"/>
    </row>
    <row r="3211" spans="29:32" x14ac:dyDescent="0.2">
      <c r="AC3211" s="20"/>
      <c r="AE3211" s="22"/>
      <c r="AF3211" s="22"/>
    </row>
    <row r="3212" spans="29:32" x14ac:dyDescent="0.2">
      <c r="AC3212" s="20"/>
      <c r="AE3212" s="22"/>
      <c r="AF3212" s="22"/>
    </row>
    <row r="3213" spans="29:32" x14ac:dyDescent="0.2">
      <c r="AC3213" s="20"/>
      <c r="AE3213" s="22"/>
      <c r="AF3213" s="22"/>
    </row>
    <row r="3214" spans="29:32" x14ac:dyDescent="0.2">
      <c r="AC3214" s="20"/>
      <c r="AE3214" s="22"/>
      <c r="AF3214" s="22"/>
    </row>
    <row r="3215" spans="29:32" x14ac:dyDescent="0.2">
      <c r="AC3215" s="20"/>
      <c r="AE3215" s="22"/>
      <c r="AF3215" s="22"/>
    </row>
    <row r="3216" spans="29:32" x14ac:dyDescent="0.2">
      <c r="AC3216" s="20"/>
      <c r="AE3216" s="22"/>
      <c r="AF3216" s="22"/>
    </row>
    <row r="3217" spans="29:32" x14ac:dyDescent="0.2">
      <c r="AC3217" s="20"/>
      <c r="AE3217" s="22"/>
      <c r="AF3217" s="22"/>
    </row>
    <row r="3218" spans="29:32" x14ac:dyDescent="0.2">
      <c r="AC3218" s="20"/>
      <c r="AE3218" s="22"/>
      <c r="AF3218" s="22"/>
    </row>
    <row r="3219" spans="29:32" x14ac:dyDescent="0.2">
      <c r="AC3219" s="20"/>
      <c r="AE3219" s="22"/>
      <c r="AF3219" s="22"/>
    </row>
    <row r="3220" spans="29:32" x14ac:dyDescent="0.2">
      <c r="AC3220" s="20"/>
      <c r="AE3220" s="22"/>
      <c r="AF3220" s="22"/>
    </row>
    <row r="3221" spans="29:32" x14ac:dyDescent="0.2">
      <c r="AC3221" s="20"/>
      <c r="AE3221" s="22"/>
      <c r="AF3221" s="22"/>
    </row>
    <row r="3222" spans="29:32" x14ac:dyDescent="0.2">
      <c r="AC3222" s="20"/>
      <c r="AE3222" s="22"/>
      <c r="AF3222" s="22"/>
    </row>
    <row r="3223" spans="29:32" x14ac:dyDescent="0.2">
      <c r="AC3223" s="20"/>
      <c r="AE3223" s="22"/>
      <c r="AF3223" s="22"/>
    </row>
    <row r="3224" spans="29:32" x14ac:dyDescent="0.2">
      <c r="AC3224" s="20"/>
      <c r="AE3224" s="22"/>
      <c r="AF3224" s="22"/>
    </row>
    <row r="3225" spans="29:32" x14ac:dyDescent="0.2">
      <c r="AC3225" s="20"/>
      <c r="AE3225" s="22"/>
      <c r="AF3225" s="22"/>
    </row>
    <row r="3226" spans="29:32" x14ac:dyDescent="0.2">
      <c r="AC3226" s="20"/>
      <c r="AE3226" s="22"/>
      <c r="AF3226" s="22"/>
    </row>
    <row r="3227" spans="29:32" x14ac:dyDescent="0.2">
      <c r="AC3227" s="20"/>
      <c r="AE3227" s="22"/>
      <c r="AF3227" s="22"/>
    </row>
    <row r="3228" spans="29:32" x14ac:dyDescent="0.2">
      <c r="AC3228" s="20"/>
      <c r="AE3228" s="22"/>
      <c r="AF3228" s="22"/>
    </row>
    <row r="3229" spans="29:32" x14ac:dyDescent="0.2">
      <c r="AC3229" s="20"/>
      <c r="AE3229" s="22"/>
      <c r="AF3229" s="22"/>
    </row>
    <row r="3230" spans="29:32" x14ac:dyDescent="0.2">
      <c r="AC3230" s="20"/>
      <c r="AE3230" s="22"/>
      <c r="AF3230" s="22"/>
    </row>
    <row r="3231" spans="29:32" x14ac:dyDescent="0.2">
      <c r="AC3231" s="20"/>
      <c r="AE3231" s="22"/>
      <c r="AF3231" s="22"/>
    </row>
    <row r="3232" spans="29:32" x14ac:dyDescent="0.2">
      <c r="AC3232" s="20"/>
      <c r="AE3232" s="22"/>
      <c r="AF3232" s="22"/>
    </row>
    <row r="3233" spans="29:32" x14ac:dyDescent="0.2">
      <c r="AC3233" s="20"/>
      <c r="AE3233" s="22"/>
      <c r="AF3233" s="22"/>
    </row>
    <row r="3234" spans="29:32" x14ac:dyDescent="0.2">
      <c r="AC3234" s="20"/>
      <c r="AE3234" s="22"/>
      <c r="AF3234" s="22"/>
    </row>
    <row r="3235" spans="29:32" x14ac:dyDescent="0.2">
      <c r="AC3235" s="20"/>
      <c r="AE3235" s="22"/>
      <c r="AF3235" s="22"/>
    </row>
    <row r="3236" spans="29:32" x14ac:dyDescent="0.2">
      <c r="AC3236" s="20"/>
      <c r="AE3236" s="22"/>
      <c r="AF3236" s="22"/>
    </row>
    <row r="3237" spans="29:32" x14ac:dyDescent="0.2">
      <c r="AC3237" s="20"/>
      <c r="AE3237" s="22"/>
      <c r="AF3237" s="22"/>
    </row>
    <row r="3238" spans="29:32" x14ac:dyDescent="0.2">
      <c r="AC3238" s="20"/>
      <c r="AE3238" s="22"/>
      <c r="AF3238" s="22"/>
    </row>
    <row r="3239" spans="29:32" x14ac:dyDescent="0.2">
      <c r="AC3239" s="20"/>
      <c r="AE3239" s="22"/>
      <c r="AF3239" s="22"/>
    </row>
    <row r="3240" spans="29:32" x14ac:dyDescent="0.2">
      <c r="AC3240" s="20"/>
      <c r="AE3240" s="22"/>
      <c r="AF3240" s="22"/>
    </row>
    <row r="3241" spans="29:32" x14ac:dyDescent="0.2">
      <c r="AC3241" s="20"/>
      <c r="AE3241" s="22"/>
      <c r="AF3241" s="22"/>
    </row>
    <row r="3242" spans="29:32" x14ac:dyDescent="0.2">
      <c r="AC3242" s="20"/>
      <c r="AE3242" s="22"/>
      <c r="AF3242" s="22"/>
    </row>
    <row r="3243" spans="29:32" x14ac:dyDescent="0.2">
      <c r="AC3243" s="20"/>
      <c r="AE3243" s="22"/>
      <c r="AF3243" s="22"/>
    </row>
    <row r="3244" spans="29:32" x14ac:dyDescent="0.2">
      <c r="AC3244" s="20"/>
      <c r="AE3244" s="22"/>
      <c r="AF3244" s="22"/>
    </row>
    <row r="3245" spans="29:32" x14ac:dyDescent="0.2">
      <c r="AC3245" s="20"/>
      <c r="AE3245" s="22"/>
      <c r="AF3245" s="22"/>
    </row>
    <row r="3246" spans="29:32" x14ac:dyDescent="0.2">
      <c r="AC3246" s="20"/>
      <c r="AE3246" s="22"/>
      <c r="AF3246" s="22"/>
    </row>
    <row r="3247" spans="29:32" x14ac:dyDescent="0.2">
      <c r="AC3247" s="20"/>
      <c r="AE3247" s="22"/>
      <c r="AF3247" s="22"/>
    </row>
    <row r="3248" spans="29:32" x14ac:dyDescent="0.2">
      <c r="AC3248" s="20"/>
      <c r="AE3248" s="22"/>
      <c r="AF3248" s="22"/>
    </row>
    <row r="3249" spans="29:32" x14ac:dyDescent="0.2">
      <c r="AC3249" s="20"/>
      <c r="AE3249" s="22"/>
      <c r="AF3249" s="22"/>
    </row>
    <row r="3250" spans="29:32" x14ac:dyDescent="0.2">
      <c r="AC3250" s="20"/>
      <c r="AE3250" s="22"/>
      <c r="AF3250" s="22"/>
    </row>
    <row r="3251" spans="29:32" x14ac:dyDescent="0.2">
      <c r="AC3251" s="20"/>
      <c r="AE3251" s="22"/>
      <c r="AF3251" s="22"/>
    </row>
    <row r="3252" spans="29:32" x14ac:dyDescent="0.2">
      <c r="AC3252" s="20"/>
      <c r="AE3252" s="22"/>
      <c r="AF3252" s="22"/>
    </row>
    <row r="3253" spans="29:32" x14ac:dyDescent="0.2">
      <c r="AC3253" s="20"/>
      <c r="AE3253" s="22"/>
      <c r="AF3253" s="22"/>
    </row>
    <row r="3254" spans="29:32" x14ac:dyDescent="0.2">
      <c r="AC3254" s="20"/>
      <c r="AE3254" s="22"/>
      <c r="AF3254" s="22"/>
    </row>
    <row r="3255" spans="29:32" x14ac:dyDescent="0.2">
      <c r="AC3255" s="20"/>
      <c r="AE3255" s="22"/>
      <c r="AF3255" s="22"/>
    </row>
    <row r="3256" spans="29:32" x14ac:dyDescent="0.2">
      <c r="AC3256" s="20"/>
      <c r="AE3256" s="22"/>
      <c r="AF3256" s="22"/>
    </row>
    <row r="3257" spans="29:32" x14ac:dyDescent="0.2">
      <c r="AC3257" s="20"/>
      <c r="AE3257" s="22"/>
      <c r="AF3257" s="22"/>
    </row>
    <row r="3258" spans="29:32" x14ac:dyDescent="0.2">
      <c r="AC3258" s="20"/>
      <c r="AE3258" s="22"/>
      <c r="AF3258" s="22"/>
    </row>
    <row r="3259" spans="29:32" x14ac:dyDescent="0.2">
      <c r="AC3259" s="20"/>
      <c r="AE3259" s="22"/>
      <c r="AF3259" s="22"/>
    </row>
    <row r="3260" spans="29:32" x14ac:dyDescent="0.2">
      <c r="AC3260" s="20"/>
      <c r="AE3260" s="22"/>
      <c r="AF3260" s="22"/>
    </row>
    <row r="3261" spans="29:32" x14ac:dyDescent="0.2">
      <c r="AC3261" s="20"/>
      <c r="AE3261" s="22"/>
      <c r="AF3261" s="22"/>
    </row>
    <row r="3262" spans="29:32" x14ac:dyDescent="0.2">
      <c r="AC3262" s="20"/>
      <c r="AE3262" s="22"/>
      <c r="AF3262" s="22"/>
    </row>
    <row r="3263" spans="29:32" x14ac:dyDescent="0.2">
      <c r="AC3263" s="20"/>
      <c r="AE3263" s="22"/>
      <c r="AF3263" s="22"/>
    </row>
    <row r="3264" spans="29:32" x14ac:dyDescent="0.2">
      <c r="AC3264" s="20"/>
      <c r="AE3264" s="22"/>
      <c r="AF3264" s="22"/>
    </row>
    <row r="3265" spans="29:32" x14ac:dyDescent="0.2">
      <c r="AC3265" s="20"/>
      <c r="AE3265" s="22"/>
      <c r="AF3265" s="22"/>
    </row>
    <row r="3266" spans="29:32" x14ac:dyDescent="0.2">
      <c r="AC3266" s="20"/>
      <c r="AE3266" s="22"/>
      <c r="AF3266" s="22"/>
    </row>
    <row r="3267" spans="29:32" x14ac:dyDescent="0.2">
      <c r="AC3267" s="20"/>
      <c r="AE3267" s="22"/>
      <c r="AF3267" s="22"/>
    </row>
    <row r="3268" spans="29:32" x14ac:dyDescent="0.2">
      <c r="AC3268" s="20"/>
      <c r="AE3268" s="22"/>
      <c r="AF3268" s="22"/>
    </row>
    <row r="3269" spans="29:32" x14ac:dyDescent="0.2">
      <c r="AC3269" s="20"/>
      <c r="AE3269" s="22"/>
      <c r="AF3269" s="22"/>
    </row>
    <row r="3270" spans="29:32" x14ac:dyDescent="0.2">
      <c r="AC3270" s="20"/>
      <c r="AE3270" s="22"/>
      <c r="AF3270" s="22"/>
    </row>
    <row r="3271" spans="29:32" x14ac:dyDescent="0.2">
      <c r="AC3271" s="20"/>
      <c r="AE3271" s="22"/>
      <c r="AF3271" s="22"/>
    </row>
    <row r="3272" spans="29:32" x14ac:dyDescent="0.2">
      <c r="AC3272" s="20"/>
      <c r="AE3272" s="22"/>
      <c r="AF3272" s="22"/>
    </row>
    <row r="3273" spans="29:32" x14ac:dyDescent="0.2">
      <c r="AC3273" s="20"/>
      <c r="AE3273" s="22"/>
      <c r="AF3273" s="22"/>
    </row>
    <row r="3274" spans="29:32" x14ac:dyDescent="0.2">
      <c r="AC3274" s="20"/>
      <c r="AE3274" s="22"/>
      <c r="AF3274" s="22"/>
    </row>
    <row r="3275" spans="29:32" x14ac:dyDescent="0.2">
      <c r="AC3275" s="20"/>
      <c r="AE3275" s="22"/>
      <c r="AF3275" s="22"/>
    </row>
    <row r="3276" spans="29:32" x14ac:dyDescent="0.2">
      <c r="AC3276" s="20"/>
      <c r="AE3276" s="22"/>
      <c r="AF3276" s="22"/>
    </row>
    <row r="3277" spans="29:32" x14ac:dyDescent="0.2">
      <c r="AC3277" s="20"/>
      <c r="AE3277" s="22"/>
      <c r="AF3277" s="22"/>
    </row>
    <row r="3278" spans="29:32" x14ac:dyDescent="0.2">
      <c r="AC3278" s="20"/>
      <c r="AE3278" s="22"/>
      <c r="AF3278" s="22"/>
    </row>
    <row r="3279" spans="29:32" x14ac:dyDescent="0.2">
      <c r="AC3279" s="20"/>
      <c r="AE3279" s="22"/>
      <c r="AF3279" s="22"/>
    </row>
    <row r="3280" spans="29:32" x14ac:dyDescent="0.2">
      <c r="AC3280" s="20"/>
      <c r="AE3280" s="22"/>
      <c r="AF3280" s="22"/>
    </row>
    <row r="3281" spans="29:32" x14ac:dyDescent="0.2">
      <c r="AC3281" s="20"/>
      <c r="AE3281" s="22"/>
      <c r="AF3281" s="22"/>
    </row>
    <row r="3282" spans="29:32" x14ac:dyDescent="0.2">
      <c r="AC3282" s="20"/>
      <c r="AE3282" s="22"/>
      <c r="AF3282" s="22"/>
    </row>
    <row r="3283" spans="29:32" x14ac:dyDescent="0.2">
      <c r="AC3283" s="20"/>
      <c r="AE3283" s="22"/>
      <c r="AF3283" s="22"/>
    </row>
    <row r="3284" spans="29:32" x14ac:dyDescent="0.2">
      <c r="AC3284" s="20"/>
      <c r="AE3284" s="22"/>
      <c r="AF3284" s="22"/>
    </row>
    <row r="3285" spans="29:32" x14ac:dyDescent="0.2">
      <c r="AC3285" s="20"/>
      <c r="AE3285" s="22"/>
      <c r="AF3285" s="22"/>
    </row>
    <row r="3286" spans="29:32" x14ac:dyDescent="0.2">
      <c r="AC3286" s="20"/>
      <c r="AE3286" s="22"/>
      <c r="AF3286" s="22"/>
    </row>
    <row r="3287" spans="29:32" x14ac:dyDescent="0.2">
      <c r="AC3287" s="20"/>
      <c r="AE3287" s="22"/>
      <c r="AF3287" s="22"/>
    </row>
    <row r="3288" spans="29:32" x14ac:dyDescent="0.2">
      <c r="AC3288" s="20"/>
      <c r="AE3288" s="22"/>
      <c r="AF3288" s="22"/>
    </row>
    <row r="3289" spans="29:32" x14ac:dyDescent="0.2">
      <c r="AC3289" s="20"/>
      <c r="AE3289" s="22"/>
      <c r="AF3289" s="22"/>
    </row>
    <row r="3290" spans="29:32" x14ac:dyDescent="0.2">
      <c r="AC3290" s="20"/>
      <c r="AE3290" s="22"/>
      <c r="AF3290" s="22"/>
    </row>
    <row r="3291" spans="29:32" x14ac:dyDescent="0.2">
      <c r="AC3291" s="20"/>
      <c r="AE3291" s="22"/>
      <c r="AF3291" s="22"/>
    </row>
    <row r="3292" spans="29:32" x14ac:dyDescent="0.2">
      <c r="AC3292" s="20"/>
      <c r="AE3292" s="22"/>
      <c r="AF3292" s="22"/>
    </row>
    <row r="3293" spans="29:32" x14ac:dyDescent="0.2">
      <c r="AC3293" s="20"/>
      <c r="AE3293" s="22"/>
      <c r="AF3293" s="22"/>
    </row>
    <row r="3294" spans="29:32" x14ac:dyDescent="0.2">
      <c r="AC3294" s="20"/>
      <c r="AE3294" s="22"/>
      <c r="AF3294" s="22"/>
    </row>
    <row r="3295" spans="29:32" x14ac:dyDescent="0.2">
      <c r="AC3295" s="20"/>
      <c r="AE3295" s="22"/>
      <c r="AF3295" s="22"/>
    </row>
    <row r="3296" spans="29:32" x14ac:dyDescent="0.2">
      <c r="AC3296" s="20"/>
      <c r="AE3296" s="22"/>
      <c r="AF3296" s="22"/>
    </row>
    <row r="3297" spans="29:32" x14ac:dyDescent="0.2">
      <c r="AC3297" s="20"/>
      <c r="AE3297" s="22"/>
      <c r="AF3297" s="22"/>
    </row>
    <row r="3298" spans="29:32" x14ac:dyDescent="0.2">
      <c r="AC3298" s="20"/>
      <c r="AE3298" s="22"/>
      <c r="AF3298" s="22"/>
    </row>
    <row r="3299" spans="29:32" x14ac:dyDescent="0.2">
      <c r="AC3299" s="20"/>
      <c r="AE3299" s="22"/>
      <c r="AF3299" s="22"/>
    </row>
    <row r="3300" spans="29:32" x14ac:dyDescent="0.2">
      <c r="AC3300" s="20"/>
      <c r="AE3300" s="22"/>
      <c r="AF3300" s="22"/>
    </row>
    <row r="3301" spans="29:32" x14ac:dyDescent="0.2">
      <c r="AC3301" s="20"/>
      <c r="AE3301" s="22"/>
      <c r="AF3301" s="22"/>
    </row>
    <row r="3302" spans="29:32" x14ac:dyDescent="0.2">
      <c r="AC3302" s="20"/>
      <c r="AE3302" s="22"/>
      <c r="AF3302" s="22"/>
    </row>
    <row r="3303" spans="29:32" x14ac:dyDescent="0.2">
      <c r="AC3303" s="20"/>
      <c r="AE3303" s="22"/>
      <c r="AF3303" s="22"/>
    </row>
    <row r="3304" spans="29:32" x14ac:dyDescent="0.2">
      <c r="AC3304" s="20"/>
      <c r="AE3304" s="22"/>
      <c r="AF3304" s="22"/>
    </row>
    <row r="3305" spans="29:32" x14ac:dyDescent="0.2">
      <c r="AC3305" s="20"/>
      <c r="AE3305" s="22"/>
      <c r="AF3305" s="22"/>
    </row>
    <row r="3306" spans="29:32" x14ac:dyDescent="0.2">
      <c r="AC3306" s="20"/>
      <c r="AE3306" s="22"/>
      <c r="AF3306" s="22"/>
    </row>
    <row r="3307" spans="29:32" x14ac:dyDescent="0.2">
      <c r="AC3307" s="20"/>
      <c r="AE3307" s="22"/>
      <c r="AF3307" s="22"/>
    </row>
    <row r="3308" spans="29:32" x14ac:dyDescent="0.2">
      <c r="AC3308" s="20"/>
      <c r="AE3308" s="22"/>
      <c r="AF3308" s="22"/>
    </row>
    <row r="3309" spans="29:32" x14ac:dyDescent="0.2">
      <c r="AC3309" s="20"/>
      <c r="AE3309" s="22"/>
      <c r="AF3309" s="22"/>
    </row>
    <row r="3310" spans="29:32" x14ac:dyDescent="0.2">
      <c r="AC3310" s="20"/>
      <c r="AE3310" s="22"/>
      <c r="AF3310" s="22"/>
    </row>
    <row r="3311" spans="29:32" x14ac:dyDescent="0.2">
      <c r="AC3311" s="20"/>
      <c r="AE3311" s="22"/>
      <c r="AF3311" s="22"/>
    </row>
    <row r="3312" spans="29:32" x14ac:dyDescent="0.2">
      <c r="AC3312" s="20"/>
      <c r="AE3312" s="22"/>
      <c r="AF3312" s="22"/>
    </row>
    <row r="3313" spans="29:32" x14ac:dyDescent="0.2">
      <c r="AC3313" s="20"/>
      <c r="AE3313" s="22"/>
      <c r="AF3313" s="22"/>
    </row>
    <row r="3314" spans="29:32" x14ac:dyDescent="0.2">
      <c r="AC3314" s="20"/>
      <c r="AE3314" s="22"/>
      <c r="AF3314" s="22"/>
    </row>
    <row r="3315" spans="29:32" x14ac:dyDescent="0.2">
      <c r="AC3315" s="20"/>
      <c r="AE3315" s="22"/>
      <c r="AF3315" s="22"/>
    </row>
    <row r="3316" spans="29:32" x14ac:dyDescent="0.2">
      <c r="AC3316" s="20"/>
      <c r="AE3316" s="22"/>
      <c r="AF3316" s="22"/>
    </row>
    <row r="3317" spans="29:32" x14ac:dyDescent="0.2">
      <c r="AC3317" s="20"/>
      <c r="AE3317" s="22"/>
      <c r="AF3317" s="22"/>
    </row>
    <row r="3318" spans="29:32" x14ac:dyDescent="0.2">
      <c r="AC3318" s="20"/>
      <c r="AE3318" s="22"/>
      <c r="AF3318" s="22"/>
    </row>
    <row r="3319" spans="29:32" x14ac:dyDescent="0.2">
      <c r="AC3319" s="20"/>
      <c r="AE3319" s="22"/>
      <c r="AF3319" s="22"/>
    </row>
    <row r="3320" spans="29:32" x14ac:dyDescent="0.2">
      <c r="AC3320" s="20"/>
      <c r="AE3320" s="22"/>
      <c r="AF3320" s="22"/>
    </row>
    <row r="3321" spans="29:32" x14ac:dyDescent="0.2">
      <c r="AC3321" s="20"/>
      <c r="AE3321" s="22"/>
      <c r="AF3321" s="22"/>
    </row>
    <row r="3322" spans="29:32" x14ac:dyDescent="0.2">
      <c r="AC3322" s="20"/>
      <c r="AE3322" s="22"/>
      <c r="AF3322" s="22"/>
    </row>
    <row r="3323" spans="29:32" x14ac:dyDescent="0.2">
      <c r="AC3323" s="20"/>
      <c r="AE3323" s="22"/>
      <c r="AF3323" s="22"/>
    </row>
    <row r="3324" spans="29:32" x14ac:dyDescent="0.2">
      <c r="AC3324" s="20"/>
      <c r="AE3324" s="22"/>
      <c r="AF3324" s="22"/>
    </row>
    <row r="3325" spans="29:32" x14ac:dyDescent="0.2">
      <c r="AC3325" s="20"/>
      <c r="AE3325" s="22"/>
      <c r="AF3325" s="22"/>
    </row>
    <row r="3326" spans="29:32" x14ac:dyDescent="0.2">
      <c r="AC3326" s="20"/>
      <c r="AE3326" s="22"/>
      <c r="AF3326" s="22"/>
    </row>
    <row r="3327" spans="29:32" x14ac:dyDescent="0.2">
      <c r="AC3327" s="20"/>
      <c r="AE3327" s="22"/>
      <c r="AF3327" s="22"/>
    </row>
    <row r="3328" spans="29:32" x14ac:dyDescent="0.2">
      <c r="AC3328" s="20"/>
      <c r="AE3328" s="22"/>
      <c r="AF3328" s="22"/>
    </row>
    <row r="3329" spans="29:32" x14ac:dyDescent="0.2">
      <c r="AC3329" s="20"/>
      <c r="AE3329" s="22"/>
      <c r="AF3329" s="22"/>
    </row>
    <row r="3330" spans="29:32" x14ac:dyDescent="0.2">
      <c r="AC3330" s="20"/>
      <c r="AE3330" s="22"/>
      <c r="AF3330" s="22"/>
    </row>
    <row r="3331" spans="29:32" x14ac:dyDescent="0.2">
      <c r="AC3331" s="20"/>
      <c r="AE3331" s="22"/>
      <c r="AF3331" s="22"/>
    </row>
    <row r="3332" spans="29:32" x14ac:dyDescent="0.2">
      <c r="AC3332" s="20"/>
      <c r="AE3332" s="22"/>
      <c r="AF3332" s="22"/>
    </row>
    <row r="3333" spans="29:32" x14ac:dyDescent="0.2">
      <c r="AC3333" s="20"/>
      <c r="AE3333" s="22"/>
      <c r="AF3333" s="22"/>
    </row>
    <row r="3334" spans="29:32" x14ac:dyDescent="0.2">
      <c r="AC3334" s="20"/>
      <c r="AE3334" s="22"/>
      <c r="AF3334" s="22"/>
    </row>
    <row r="3335" spans="29:32" x14ac:dyDescent="0.2">
      <c r="AC3335" s="20"/>
      <c r="AE3335" s="22"/>
      <c r="AF3335" s="22"/>
    </row>
    <row r="3336" spans="29:32" x14ac:dyDescent="0.2">
      <c r="AC3336" s="20"/>
      <c r="AE3336" s="22"/>
      <c r="AF3336" s="22"/>
    </row>
    <row r="3337" spans="29:32" x14ac:dyDescent="0.2">
      <c r="AC3337" s="20"/>
      <c r="AE3337" s="22"/>
      <c r="AF3337" s="22"/>
    </row>
    <row r="3338" spans="29:32" x14ac:dyDescent="0.2">
      <c r="AC3338" s="20"/>
      <c r="AE3338" s="22"/>
      <c r="AF3338" s="22"/>
    </row>
    <row r="3339" spans="29:32" x14ac:dyDescent="0.2">
      <c r="AC3339" s="20"/>
      <c r="AE3339" s="22"/>
      <c r="AF3339" s="22"/>
    </row>
    <row r="3340" spans="29:32" x14ac:dyDescent="0.2">
      <c r="AC3340" s="20"/>
      <c r="AE3340" s="22"/>
      <c r="AF3340" s="22"/>
    </row>
    <row r="3341" spans="29:32" x14ac:dyDescent="0.2">
      <c r="AC3341" s="20"/>
      <c r="AE3341" s="22"/>
      <c r="AF3341" s="22"/>
    </row>
    <row r="3342" spans="29:32" x14ac:dyDescent="0.2">
      <c r="AC3342" s="20"/>
      <c r="AE3342" s="22"/>
      <c r="AF3342" s="22"/>
    </row>
    <row r="3343" spans="29:32" x14ac:dyDescent="0.2">
      <c r="AC3343" s="20"/>
      <c r="AE3343" s="22"/>
      <c r="AF3343" s="22"/>
    </row>
    <row r="3344" spans="29:32" x14ac:dyDescent="0.2">
      <c r="AC3344" s="20"/>
      <c r="AE3344" s="22"/>
      <c r="AF3344" s="22"/>
    </row>
    <row r="3345" spans="29:32" x14ac:dyDescent="0.2">
      <c r="AC3345" s="20"/>
      <c r="AE3345" s="22"/>
      <c r="AF3345" s="22"/>
    </row>
    <row r="3346" spans="29:32" x14ac:dyDescent="0.2">
      <c r="AC3346" s="20"/>
      <c r="AE3346" s="22"/>
      <c r="AF3346" s="22"/>
    </row>
    <row r="3347" spans="29:32" x14ac:dyDescent="0.2">
      <c r="AC3347" s="20"/>
      <c r="AE3347" s="22"/>
      <c r="AF3347" s="22"/>
    </row>
    <row r="3348" spans="29:32" x14ac:dyDescent="0.2">
      <c r="AC3348" s="20"/>
      <c r="AE3348" s="22"/>
      <c r="AF3348" s="22"/>
    </row>
    <row r="3349" spans="29:32" x14ac:dyDescent="0.2">
      <c r="AC3349" s="20"/>
      <c r="AE3349" s="22"/>
      <c r="AF3349" s="22"/>
    </row>
    <row r="3350" spans="29:32" x14ac:dyDescent="0.2">
      <c r="AC3350" s="20"/>
      <c r="AE3350" s="22"/>
      <c r="AF3350" s="22"/>
    </row>
    <row r="3351" spans="29:32" x14ac:dyDescent="0.2">
      <c r="AC3351" s="20"/>
      <c r="AE3351" s="22"/>
      <c r="AF3351" s="22"/>
    </row>
    <row r="3352" spans="29:32" x14ac:dyDescent="0.2">
      <c r="AC3352" s="20"/>
      <c r="AE3352" s="22"/>
      <c r="AF3352" s="22"/>
    </row>
    <row r="3353" spans="29:32" x14ac:dyDescent="0.2">
      <c r="AC3353" s="20"/>
      <c r="AE3353" s="22"/>
      <c r="AF3353" s="22"/>
    </row>
    <row r="3354" spans="29:32" x14ac:dyDescent="0.2">
      <c r="AC3354" s="20"/>
      <c r="AE3354" s="22"/>
      <c r="AF3354" s="22"/>
    </row>
    <row r="3355" spans="29:32" x14ac:dyDescent="0.2">
      <c r="AC3355" s="20"/>
      <c r="AE3355" s="22"/>
      <c r="AF3355" s="22"/>
    </row>
    <row r="3356" spans="29:32" x14ac:dyDescent="0.2">
      <c r="AC3356" s="20"/>
      <c r="AE3356" s="22"/>
      <c r="AF3356" s="22"/>
    </row>
    <row r="3357" spans="29:32" x14ac:dyDescent="0.2">
      <c r="AC3357" s="20"/>
      <c r="AE3357" s="22"/>
      <c r="AF3357" s="22"/>
    </row>
    <row r="3358" spans="29:32" x14ac:dyDescent="0.2">
      <c r="AC3358" s="20"/>
      <c r="AE3358" s="22"/>
      <c r="AF3358" s="22"/>
    </row>
    <row r="3359" spans="29:32" x14ac:dyDescent="0.2">
      <c r="AC3359" s="20"/>
      <c r="AE3359" s="22"/>
      <c r="AF3359" s="22"/>
    </row>
    <row r="3360" spans="29:32" x14ac:dyDescent="0.2">
      <c r="AC3360" s="20"/>
      <c r="AE3360" s="22"/>
      <c r="AF3360" s="22"/>
    </row>
    <row r="3361" spans="29:32" x14ac:dyDescent="0.2">
      <c r="AC3361" s="20"/>
      <c r="AE3361" s="22"/>
      <c r="AF3361" s="22"/>
    </row>
    <row r="3362" spans="29:32" x14ac:dyDescent="0.2">
      <c r="AC3362" s="20"/>
      <c r="AE3362" s="22"/>
      <c r="AF3362" s="22"/>
    </row>
    <row r="3363" spans="29:32" x14ac:dyDescent="0.2">
      <c r="AC3363" s="20"/>
      <c r="AE3363" s="22"/>
      <c r="AF3363" s="22"/>
    </row>
    <row r="3364" spans="29:32" x14ac:dyDescent="0.2">
      <c r="AC3364" s="20"/>
      <c r="AE3364" s="22"/>
      <c r="AF3364" s="22"/>
    </row>
    <row r="3365" spans="29:32" x14ac:dyDescent="0.2">
      <c r="AC3365" s="20"/>
      <c r="AE3365" s="22"/>
      <c r="AF3365" s="22"/>
    </row>
    <row r="3366" spans="29:32" x14ac:dyDescent="0.2">
      <c r="AC3366" s="20"/>
      <c r="AE3366" s="22"/>
      <c r="AF3366" s="22"/>
    </row>
    <row r="3367" spans="29:32" x14ac:dyDescent="0.2">
      <c r="AC3367" s="20"/>
      <c r="AE3367" s="22"/>
      <c r="AF3367" s="22"/>
    </row>
    <row r="3368" spans="29:32" x14ac:dyDescent="0.2">
      <c r="AC3368" s="20"/>
      <c r="AE3368" s="22"/>
      <c r="AF3368" s="22"/>
    </row>
    <row r="3369" spans="29:32" x14ac:dyDescent="0.2">
      <c r="AC3369" s="20"/>
      <c r="AE3369" s="22"/>
      <c r="AF3369" s="22"/>
    </row>
    <row r="3370" spans="29:32" x14ac:dyDescent="0.2">
      <c r="AC3370" s="20"/>
      <c r="AE3370" s="22"/>
      <c r="AF3370" s="22"/>
    </row>
    <row r="3371" spans="29:32" x14ac:dyDescent="0.2">
      <c r="AC3371" s="20"/>
      <c r="AE3371" s="22"/>
      <c r="AF3371" s="22"/>
    </row>
    <row r="3372" spans="29:32" x14ac:dyDescent="0.2">
      <c r="AC3372" s="20"/>
      <c r="AE3372" s="22"/>
      <c r="AF3372" s="22"/>
    </row>
    <row r="3373" spans="29:32" x14ac:dyDescent="0.2">
      <c r="AC3373" s="20"/>
      <c r="AE3373" s="22"/>
      <c r="AF3373" s="22"/>
    </row>
    <row r="3374" spans="29:32" x14ac:dyDescent="0.2">
      <c r="AC3374" s="20"/>
      <c r="AE3374" s="22"/>
      <c r="AF3374" s="22"/>
    </row>
    <row r="3375" spans="29:32" x14ac:dyDescent="0.2">
      <c r="AC3375" s="20"/>
      <c r="AE3375" s="22"/>
      <c r="AF3375" s="22"/>
    </row>
    <row r="3376" spans="29:32" x14ac:dyDescent="0.2">
      <c r="AC3376" s="20"/>
      <c r="AE3376" s="22"/>
      <c r="AF3376" s="22"/>
    </row>
    <row r="3377" spans="29:32" x14ac:dyDescent="0.2">
      <c r="AC3377" s="20"/>
      <c r="AE3377" s="22"/>
      <c r="AF3377" s="22"/>
    </row>
    <row r="3378" spans="29:32" x14ac:dyDescent="0.2">
      <c r="AC3378" s="20"/>
      <c r="AE3378" s="22"/>
      <c r="AF3378" s="22"/>
    </row>
    <row r="3379" spans="29:32" x14ac:dyDescent="0.2">
      <c r="AC3379" s="20"/>
      <c r="AE3379" s="22"/>
      <c r="AF3379" s="22"/>
    </row>
    <row r="3380" spans="29:32" x14ac:dyDescent="0.2">
      <c r="AC3380" s="20"/>
      <c r="AE3380" s="22"/>
      <c r="AF3380" s="22"/>
    </row>
    <row r="3381" spans="29:32" x14ac:dyDescent="0.2">
      <c r="AC3381" s="20"/>
      <c r="AE3381" s="22"/>
      <c r="AF3381" s="22"/>
    </row>
    <row r="3382" spans="29:32" x14ac:dyDescent="0.2">
      <c r="AC3382" s="20"/>
      <c r="AE3382" s="22"/>
      <c r="AF3382" s="22"/>
    </row>
    <row r="3383" spans="29:32" x14ac:dyDescent="0.2">
      <c r="AC3383" s="20"/>
      <c r="AE3383" s="22"/>
      <c r="AF3383" s="22"/>
    </row>
    <row r="3384" spans="29:32" x14ac:dyDescent="0.2">
      <c r="AC3384" s="20"/>
      <c r="AE3384" s="22"/>
      <c r="AF3384" s="22"/>
    </row>
    <row r="3385" spans="29:32" x14ac:dyDescent="0.2">
      <c r="AC3385" s="20"/>
      <c r="AE3385" s="22"/>
      <c r="AF3385" s="22"/>
    </row>
    <row r="3386" spans="29:32" x14ac:dyDescent="0.2">
      <c r="AC3386" s="20"/>
      <c r="AE3386" s="22"/>
      <c r="AF3386" s="22"/>
    </row>
    <row r="3387" spans="29:32" x14ac:dyDescent="0.2">
      <c r="AC3387" s="20"/>
      <c r="AE3387" s="22"/>
      <c r="AF3387" s="22"/>
    </row>
    <row r="3388" spans="29:32" x14ac:dyDescent="0.2">
      <c r="AC3388" s="20"/>
      <c r="AE3388" s="22"/>
      <c r="AF3388" s="22"/>
    </row>
    <row r="3389" spans="29:32" x14ac:dyDescent="0.2">
      <c r="AC3389" s="20"/>
      <c r="AE3389" s="22"/>
      <c r="AF3389" s="22"/>
    </row>
    <row r="3390" spans="29:32" x14ac:dyDescent="0.2">
      <c r="AC3390" s="20"/>
      <c r="AE3390" s="22"/>
      <c r="AF3390" s="22"/>
    </row>
    <row r="3391" spans="29:32" x14ac:dyDescent="0.2">
      <c r="AC3391" s="20"/>
      <c r="AE3391" s="22"/>
      <c r="AF3391" s="22"/>
    </row>
    <row r="3392" spans="29:32" x14ac:dyDescent="0.2">
      <c r="AC3392" s="20"/>
      <c r="AE3392" s="22"/>
      <c r="AF3392" s="22"/>
    </row>
    <row r="3393" spans="29:32" x14ac:dyDescent="0.2">
      <c r="AC3393" s="20"/>
      <c r="AE3393" s="22"/>
      <c r="AF3393" s="22"/>
    </row>
    <row r="3394" spans="29:32" x14ac:dyDescent="0.2">
      <c r="AC3394" s="20"/>
      <c r="AE3394" s="22"/>
      <c r="AF3394" s="22"/>
    </row>
    <row r="3395" spans="29:32" x14ac:dyDescent="0.2">
      <c r="AC3395" s="20"/>
      <c r="AE3395" s="22"/>
      <c r="AF3395" s="22"/>
    </row>
    <row r="3396" spans="29:32" x14ac:dyDescent="0.2">
      <c r="AC3396" s="20"/>
      <c r="AE3396" s="22"/>
      <c r="AF3396" s="22"/>
    </row>
    <row r="3397" spans="29:32" x14ac:dyDescent="0.2">
      <c r="AC3397" s="20"/>
      <c r="AE3397" s="22"/>
      <c r="AF3397" s="22"/>
    </row>
    <row r="3398" spans="29:32" x14ac:dyDescent="0.2">
      <c r="AC3398" s="20"/>
      <c r="AE3398" s="22"/>
      <c r="AF3398" s="22"/>
    </row>
    <row r="3399" spans="29:32" x14ac:dyDescent="0.2">
      <c r="AC3399" s="20"/>
      <c r="AE3399" s="22"/>
      <c r="AF3399" s="22"/>
    </row>
    <row r="3400" spans="29:32" x14ac:dyDescent="0.2">
      <c r="AC3400" s="20"/>
      <c r="AE3400" s="22"/>
      <c r="AF3400" s="22"/>
    </row>
    <row r="3401" spans="29:32" x14ac:dyDescent="0.2">
      <c r="AC3401" s="20"/>
      <c r="AE3401" s="22"/>
      <c r="AF3401" s="22"/>
    </row>
    <row r="3402" spans="29:32" x14ac:dyDescent="0.2">
      <c r="AC3402" s="20"/>
      <c r="AE3402" s="22"/>
      <c r="AF3402" s="22"/>
    </row>
    <row r="3403" spans="29:32" x14ac:dyDescent="0.2">
      <c r="AC3403" s="20"/>
      <c r="AE3403" s="22"/>
      <c r="AF3403" s="22"/>
    </row>
    <row r="3404" spans="29:32" x14ac:dyDescent="0.2">
      <c r="AC3404" s="20"/>
      <c r="AE3404" s="22"/>
      <c r="AF3404" s="22"/>
    </row>
    <row r="3405" spans="29:32" x14ac:dyDescent="0.2">
      <c r="AC3405" s="20"/>
      <c r="AE3405" s="22"/>
      <c r="AF3405" s="22"/>
    </row>
    <row r="3406" spans="29:32" x14ac:dyDescent="0.2">
      <c r="AC3406" s="20"/>
      <c r="AE3406" s="22"/>
      <c r="AF3406" s="22"/>
    </row>
    <row r="3407" spans="29:32" x14ac:dyDescent="0.2">
      <c r="AC3407" s="20"/>
      <c r="AE3407" s="22"/>
      <c r="AF3407" s="22"/>
    </row>
    <row r="3408" spans="29:32" x14ac:dyDescent="0.2">
      <c r="AC3408" s="20"/>
      <c r="AE3408" s="22"/>
      <c r="AF3408" s="22"/>
    </row>
    <row r="3409" spans="29:32" x14ac:dyDescent="0.2">
      <c r="AC3409" s="20"/>
      <c r="AE3409" s="22"/>
      <c r="AF3409" s="22"/>
    </row>
    <row r="3410" spans="29:32" x14ac:dyDescent="0.2">
      <c r="AC3410" s="20"/>
      <c r="AE3410" s="22"/>
      <c r="AF3410" s="22"/>
    </row>
    <row r="3411" spans="29:32" x14ac:dyDescent="0.2">
      <c r="AC3411" s="20"/>
      <c r="AE3411" s="22"/>
      <c r="AF3411" s="22"/>
    </row>
    <row r="3412" spans="29:32" x14ac:dyDescent="0.2">
      <c r="AC3412" s="20"/>
      <c r="AE3412" s="22"/>
      <c r="AF3412" s="22"/>
    </row>
    <row r="3413" spans="29:32" x14ac:dyDescent="0.2">
      <c r="AC3413" s="20"/>
      <c r="AE3413" s="22"/>
      <c r="AF3413" s="22"/>
    </row>
    <row r="3414" spans="29:32" x14ac:dyDescent="0.2">
      <c r="AC3414" s="20"/>
      <c r="AE3414" s="22"/>
      <c r="AF3414" s="22"/>
    </row>
    <row r="3415" spans="29:32" x14ac:dyDescent="0.2">
      <c r="AC3415" s="20"/>
      <c r="AE3415" s="22"/>
      <c r="AF3415" s="22"/>
    </row>
    <row r="3416" spans="29:32" x14ac:dyDescent="0.2">
      <c r="AC3416" s="20"/>
      <c r="AE3416" s="22"/>
      <c r="AF3416" s="22"/>
    </row>
    <row r="3417" spans="29:32" x14ac:dyDescent="0.2">
      <c r="AC3417" s="20"/>
      <c r="AE3417" s="22"/>
      <c r="AF3417" s="22"/>
    </row>
    <row r="3418" spans="29:32" x14ac:dyDescent="0.2">
      <c r="AC3418" s="20"/>
      <c r="AE3418" s="22"/>
      <c r="AF3418" s="22"/>
    </row>
    <row r="3419" spans="29:32" x14ac:dyDescent="0.2">
      <c r="AC3419" s="20"/>
      <c r="AE3419" s="22"/>
      <c r="AF3419" s="22"/>
    </row>
    <row r="3420" spans="29:32" x14ac:dyDescent="0.2">
      <c r="AC3420" s="20"/>
      <c r="AE3420" s="22"/>
      <c r="AF3420" s="22"/>
    </row>
    <row r="3421" spans="29:32" x14ac:dyDescent="0.2">
      <c r="AC3421" s="20"/>
      <c r="AE3421" s="22"/>
      <c r="AF3421" s="22"/>
    </row>
    <row r="3422" spans="29:32" x14ac:dyDescent="0.2">
      <c r="AC3422" s="20"/>
      <c r="AE3422" s="22"/>
      <c r="AF3422" s="22"/>
    </row>
    <row r="3423" spans="29:32" x14ac:dyDescent="0.2">
      <c r="AC3423" s="20"/>
      <c r="AE3423" s="22"/>
      <c r="AF3423" s="22"/>
    </row>
    <row r="3424" spans="29:32" x14ac:dyDescent="0.2">
      <c r="AC3424" s="20"/>
      <c r="AE3424" s="22"/>
      <c r="AF3424" s="22"/>
    </row>
    <row r="3425" spans="29:32" x14ac:dyDescent="0.2">
      <c r="AC3425" s="20"/>
      <c r="AE3425" s="22"/>
      <c r="AF3425" s="22"/>
    </row>
    <row r="3426" spans="29:32" x14ac:dyDescent="0.2">
      <c r="AC3426" s="20"/>
      <c r="AE3426" s="22"/>
      <c r="AF3426" s="22"/>
    </row>
    <row r="3427" spans="29:32" x14ac:dyDescent="0.2">
      <c r="AC3427" s="20"/>
      <c r="AE3427" s="22"/>
      <c r="AF3427" s="22"/>
    </row>
    <row r="3428" spans="29:32" x14ac:dyDescent="0.2">
      <c r="AC3428" s="20"/>
      <c r="AE3428" s="22"/>
      <c r="AF3428" s="22"/>
    </row>
    <row r="3429" spans="29:32" x14ac:dyDescent="0.2">
      <c r="AC3429" s="20"/>
      <c r="AE3429" s="22"/>
      <c r="AF3429" s="22"/>
    </row>
    <row r="3430" spans="29:32" x14ac:dyDescent="0.2">
      <c r="AC3430" s="20"/>
      <c r="AE3430" s="22"/>
      <c r="AF3430" s="22"/>
    </row>
    <row r="3431" spans="29:32" x14ac:dyDescent="0.2">
      <c r="AC3431" s="20"/>
      <c r="AE3431" s="22"/>
      <c r="AF3431" s="22"/>
    </row>
    <row r="3432" spans="29:32" x14ac:dyDescent="0.2">
      <c r="AC3432" s="20"/>
      <c r="AE3432" s="22"/>
      <c r="AF3432" s="22"/>
    </row>
    <row r="3433" spans="29:32" x14ac:dyDescent="0.2">
      <c r="AC3433" s="20"/>
      <c r="AE3433" s="22"/>
      <c r="AF3433" s="22"/>
    </row>
    <row r="3434" spans="29:32" x14ac:dyDescent="0.2">
      <c r="AC3434" s="20"/>
      <c r="AE3434" s="22"/>
      <c r="AF3434" s="22"/>
    </row>
    <row r="3435" spans="29:32" x14ac:dyDescent="0.2">
      <c r="AC3435" s="20"/>
      <c r="AE3435" s="22"/>
      <c r="AF3435" s="22"/>
    </row>
    <row r="3436" spans="29:32" x14ac:dyDescent="0.2">
      <c r="AC3436" s="20"/>
      <c r="AE3436" s="22"/>
      <c r="AF3436" s="22"/>
    </row>
    <row r="3437" spans="29:32" x14ac:dyDescent="0.2">
      <c r="AC3437" s="20"/>
      <c r="AE3437" s="22"/>
      <c r="AF3437" s="22"/>
    </row>
    <row r="3438" spans="29:32" x14ac:dyDescent="0.2">
      <c r="AC3438" s="20"/>
      <c r="AE3438" s="22"/>
      <c r="AF3438" s="22"/>
    </row>
    <row r="3439" spans="29:32" x14ac:dyDescent="0.2">
      <c r="AC3439" s="20"/>
      <c r="AE3439" s="22"/>
      <c r="AF3439" s="22"/>
    </row>
    <row r="3440" spans="29:32" x14ac:dyDescent="0.2">
      <c r="AC3440" s="20"/>
      <c r="AE3440" s="22"/>
      <c r="AF3440" s="22"/>
    </row>
    <row r="3441" spans="29:32" x14ac:dyDescent="0.2">
      <c r="AC3441" s="20"/>
      <c r="AE3441" s="22"/>
      <c r="AF3441" s="22"/>
    </row>
    <row r="3442" spans="29:32" x14ac:dyDescent="0.2">
      <c r="AC3442" s="20"/>
      <c r="AE3442" s="22"/>
      <c r="AF3442" s="22"/>
    </row>
    <row r="3443" spans="29:32" x14ac:dyDescent="0.2">
      <c r="AC3443" s="20"/>
      <c r="AE3443" s="22"/>
      <c r="AF3443" s="22"/>
    </row>
    <row r="3444" spans="29:32" x14ac:dyDescent="0.2">
      <c r="AC3444" s="20"/>
      <c r="AE3444" s="22"/>
      <c r="AF3444" s="22"/>
    </row>
    <row r="3445" spans="29:32" x14ac:dyDescent="0.2">
      <c r="AC3445" s="20"/>
      <c r="AE3445" s="22"/>
      <c r="AF3445" s="22"/>
    </row>
    <row r="3446" spans="29:32" x14ac:dyDescent="0.2">
      <c r="AC3446" s="20"/>
      <c r="AE3446" s="22"/>
      <c r="AF3446" s="22"/>
    </row>
    <row r="3447" spans="29:32" x14ac:dyDescent="0.2">
      <c r="AC3447" s="20"/>
      <c r="AE3447" s="22"/>
      <c r="AF3447" s="22"/>
    </row>
    <row r="3448" spans="29:32" x14ac:dyDescent="0.2">
      <c r="AC3448" s="20"/>
      <c r="AE3448" s="22"/>
      <c r="AF3448" s="22"/>
    </row>
    <row r="3449" spans="29:32" x14ac:dyDescent="0.2">
      <c r="AC3449" s="20"/>
      <c r="AE3449" s="22"/>
      <c r="AF3449" s="22"/>
    </row>
    <row r="3450" spans="29:32" x14ac:dyDescent="0.2">
      <c r="AC3450" s="20"/>
      <c r="AE3450" s="22"/>
      <c r="AF3450" s="22"/>
    </row>
    <row r="3451" spans="29:32" x14ac:dyDescent="0.2">
      <c r="AC3451" s="20"/>
      <c r="AE3451" s="22"/>
      <c r="AF3451" s="22"/>
    </row>
    <row r="3452" spans="29:32" x14ac:dyDescent="0.2">
      <c r="AC3452" s="20"/>
      <c r="AE3452" s="22"/>
      <c r="AF3452" s="22"/>
    </row>
    <row r="3453" spans="29:32" x14ac:dyDescent="0.2">
      <c r="AC3453" s="20"/>
      <c r="AE3453" s="22"/>
      <c r="AF3453" s="22"/>
    </row>
    <row r="3454" spans="29:32" x14ac:dyDescent="0.2">
      <c r="AC3454" s="20"/>
      <c r="AE3454" s="22"/>
      <c r="AF3454" s="22"/>
    </row>
    <row r="3455" spans="29:32" x14ac:dyDescent="0.2">
      <c r="AC3455" s="20"/>
      <c r="AE3455" s="22"/>
      <c r="AF3455" s="22"/>
    </row>
    <row r="3456" spans="29:32" x14ac:dyDescent="0.2">
      <c r="AC3456" s="20"/>
      <c r="AE3456" s="22"/>
      <c r="AF3456" s="22"/>
    </row>
    <row r="3457" spans="29:32" x14ac:dyDescent="0.2">
      <c r="AC3457" s="20"/>
      <c r="AE3457" s="22"/>
      <c r="AF3457" s="22"/>
    </row>
    <row r="3458" spans="29:32" x14ac:dyDescent="0.2">
      <c r="AC3458" s="20"/>
      <c r="AE3458" s="22"/>
      <c r="AF3458" s="22"/>
    </row>
    <row r="3459" spans="29:32" x14ac:dyDescent="0.2">
      <c r="AC3459" s="20"/>
      <c r="AE3459" s="22"/>
      <c r="AF3459" s="22"/>
    </row>
    <row r="3460" spans="29:32" x14ac:dyDescent="0.2">
      <c r="AC3460" s="20"/>
      <c r="AE3460" s="22"/>
      <c r="AF3460" s="22"/>
    </row>
    <row r="3461" spans="29:32" x14ac:dyDescent="0.2">
      <c r="AC3461" s="20"/>
      <c r="AE3461" s="22"/>
      <c r="AF3461" s="22"/>
    </row>
    <row r="3462" spans="29:32" x14ac:dyDescent="0.2">
      <c r="AC3462" s="20"/>
      <c r="AE3462" s="22"/>
      <c r="AF3462" s="22"/>
    </row>
    <row r="3463" spans="29:32" x14ac:dyDescent="0.2">
      <c r="AC3463" s="20"/>
      <c r="AE3463" s="22"/>
      <c r="AF3463" s="22"/>
    </row>
    <row r="3464" spans="29:32" x14ac:dyDescent="0.2">
      <c r="AC3464" s="20"/>
      <c r="AE3464" s="22"/>
      <c r="AF3464" s="22"/>
    </row>
    <row r="3465" spans="29:32" x14ac:dyDescent="0.2">
      <c r="AC3465" s="20"/>
      <c r="AE3465" s="22"/>
      <c r="AF3465" s="22"/>
    </row>
    <row r="3466" spans="29:32" x14ac:dyDescent="0.2">
      <c r="AC3466" s="20"/>
      <c r="AE3466" s="22"/>
      <c r="AF3466" s="22"/>
    </row>
    <row r="3467" spans="29:32" x14ac:dyDescent="0.2">
      <c r="AC3467" s="20"/>
      <c r="AE3467" s="22"/>
      <c r="AF3467" s="22"/>
    </row>
    <row r="3468" spans="29:32" x14ac:dyDescent="0.2">
      <c r="AC3468" s="20"/>
      <c r="AE3468" s="22"/>
      <c r="AF3468" s="22"/>
    </row>
    <row r="3469" spans="29:32" x14ac:dyDescent="0.2">
      <c r="AC3469" s="20"/>
      <c r="AE3469" s="22"/>
      <c r="AF3469" s="22"/>
    </row>
    <row r="3470" spans="29:32" x14ac:dyDescent="0.2">
      <c r="AC3470" s="20"/>
      <c r="AE3470" s="22"/>
      <c r="AF3470" s="22"/>
    </row>
    <row r="3471" spans="29:32" x14ac:dyDescent="0.2">
      <c r="AC3471" s="20"/>
      <c r="AE3471" s="22"/>
      <c r="AF3471" s="22"/>
    </row>
    <row r="3472" spans="29:32" x14ac:dyDescent="0.2">
      <c r="AC3472" s="20"/>
      <c r="AE3472" s="22"/>
      <c r="AF3472" s="22"/>
    </row>
    <row r="3473" spans="29:32" x14ac:dyDescent="0.2">
      <c r="AC3473" s="20"/>
      <c r="AE3473" s="22"/>
      <c r="AF3473" s="22"/>
    </row>
    <row r="3474" spans="29:32" x14ac:dyDescent="0.2">
      <c r="AC3474" s="20"/>
      <c r="AE3474" s="22"/>
      <c r="AF3474" s="22"/>
    </row>
    <row r="3475" spans="29:32" x14ac:dyDescent="0.2">
      <c r="AC3475" s="20"/>
      <c r="AE3475" s="22"/>
      <c r="AF3475" s="22"/>
    </row>
    <row r="3476" spans="29:32" x14ac:dyDescent="0.2">
      <c r="AC3476" s="20"/>
      <c r="AE3476" s="22"/>
      <c r="AF3476" s="22"/>
    </row>
    <row r="3477" spans="29:32" x14ac:dyDescent="0.2">
      <c r="AC3477" s="20"/>
      <c r="AE3477" s="22"/>
      <c r="AF3477" s="22"/>
    </row>
    <row r="3478" spans="29:32" x14ac:dyDescent="0.2">
      <c r="AC3478" s="20"/>
      <c r="AE3478" s="22"/>
      <c r="AF3478" s="22"/>
    </row>
    <row r="3479" spans="29:32" x14ac:dyDescent="0.2">
      <c r="AC3479" s="20"/>
      <c r="AE3479" s="22"/>
      <c r="AF3479" s="22"/>
    </row>
    <row r="3480" spans="29:32" x14ac:dyDescent="0.2">
      <c r="AC3480" s="20"/>
      <c r="AE3480" s="22"/>
      <c r="AF3480" s="22"/>
    </row>
    <row r="3481" spans="29:32" x14ac:dyDescent="0.2">
      <c r="AC3481" s="20"/>
      <c r="AE3481" s="22"/>
      <c r="AF3481" s="22"/>
    </row>
    <row r="3482" spans="29:32" x14ac:dyDescent="0.2">
      <c r="AC3482" s="20"/>
      <c r="AE3482" s="22"/>
      <c r="AF3482" s="22"/>
    </row>
    <row r="3483" spans="29:32" x14ac:dyDescent="0.2">
      <c r="AC3483" s="20"/>
      <c r="AE3483" s="22"/>
      <c r="AF3483" s="22"/>
    </row>
    <row r="3484" spans="29:32" x14ac:dyDescent="0.2">
      <c r="AC3484" s="20"/>
      <c r="AE3484" s="22"/>
      <c r="AF3484" s="22"/>
    </row>
    <row r="3485" spans="29:32" x14ac:dyDescent="0.2">
      <c r="AC3485" s="20"/>
      <c r="AE3485" s="22"/>
      <c r="AF3485" s="22"/>
    </row>
    <row r="3486" spans="29:32" x14ac:dyDescent="0.2">
      <c r="AC3486" s="20"/>
      <c r="AE3486" s="22"/>
      <c r="AF3486" s="22"/>
    </row>
    <row r="3487" spans="29:32" x14ac:dyDescent="0.2">
      <c r="AC3487" s="20"/>
      <c r="AE3487" s="22"/>
      <c r="AF3487" s="22"/>
    </row>
    <row r="3488" spans="29:32" x14ac:dyDescent="0.2">
      <c r="AC3488" s="20"/>
      <c r="AE3488" s="22"/>
      <c r="AF3488" s="22"/>
    </row>
    <row r="3489" spans="29:32" x14ac:dyDescent="0.2">
      <c r="AC3489" s="20"/>
      <c r="AE3489" s="22"/>
      <c r="AF3489" s="22"/>
    </row>
    <row r="3490" spans="29:32" x14ac:dyDescent="0.2">
      <c r="AC3490" s="20"/>
      <c r="AE3490" s="22"/>
      <c r="AF3490" s="22"/>
    </row>
    <row r="3491" spans="29:32" x14ac:dyDescent="0.2">
      <c r="AC3491" s="20"/>
      <c r="AE3491" s="22"/>
      <c r="AF3491" s="22"/>
    </row>
    <row r="3492" spans="29:32" x14ac:dyDescent="0.2">
      <c r="AC3492" s="20"/>
      <c r="AE3492" s="22"/>
      <c r="AF3492" s="22"/>
    </row>
    <row r="3493" spans="29:32" x14ac:dyDescent="0.2">
      <c r="AC3493" s="20"/>
      <c r="AE3493" s="22"/>
      <c r="AF3493" s="22"/>
    </row>
    <row r="3494" spans="29:32" x14ac:dyDescent="0.2">
      <c r="AC3494" s="20"/>
      <c r="AE3494" s="22"/>
      <c r="AF3494" s="22"/>
    </row>
    <row r="3495" spans="29:32" x14ac:dyDescent="0.2">
      <c r="AC3495" s="20"/>
      <c r="AE3495" s="22"/>
      <c r="AF3495" s="22"/>
    </row>
    <row r="3496" spans="29:32" x14ac:dyDescent="0.2">
      <c r="AC3496" s="20"/>
      <c r="AE3496" s="22"/>
      <c r="AF3496" s="22"/>
    </row>
    <row r="3497" spans="29:32" x14ac:dyDescent="0.2">
      <c r="AC3497" s="20"/>
      <c r="AE3497" s="22"/>
      <c r="AF3497" s="22"/>
    </row>
    <row r="3498" spans="29:32" x14ac:dyDescent="0.2">
      <c r="AC3498" s="20"/>
      <c r="AE3498" s="22"/>
      <c r="AF3498" s="22"/>
    </row>
    <row r="3499" spans="29:32" x14ac:dyDescent="0.2">
      <c r="AC3499" s="20"/>
      <c r="AE3499" s="22"/>
      <c r="AF3499" s="22"/>
    </row>
    <row r="3500" spans="29:32" x14ac:dyDescent="0.2">
      <c r="AC3500" s="20"/>
      <c r="AE3500" s="22"/>
      <c r="AF3500" s="22"/>
    </row>
    <row r="3501" spans="29:32" x14ac:dyDescent="0.2">
      <c r="AC3501" s="20"/>
      <c r="AE3501" s="22"/>
      <c r="AF3501" s="22"/>
    </row>
    <row r="3502" spans="29:32" x14ac:dyDescent="0.2">
      <c r="AC3502" s="20"/>
      <c r="AE3502" s="22"/>
      <c r="AF3502" s="22"/>
    </row>
    <row r="3503" spans="29:32" x14ac:dyDescent="0.2">
      <c r="AC3503" s="20"/>
      <c r="AE3503" s="22"/>
      <c r="AF3503" s="22"/>
    </row>
    <row r="3504" spans="29:32" x14ac:dyDescent="0.2">
      <c r="AC3504" s="20"/>
      <c r="AE3504" s="22"/>
      <c r="AF3504" s="22"/>
    </row>
    <row r="3505" spans="29:32" x14ac:dyDescent="0.2">
      <c r="AC3505" s="20"/>
      <c r="AE3505" s="22"/>
      <c r="AF3505" s="22"/>
    </row>
    <row r="3506" spans="29:32" x14ac:dyDescent="0.2">
      <c r="AC3506" s="20"/>
      <c r="AE3506" s="22"/>
      <c r="AF3506" s="22"/>
    </row>
    <row r="3507" spans="29:32" x14ac:dyDescent="0.2">
      <c r="AC3507" s="20"/>
      <c r="AE3507" s="22"/>
      <c r="AF3507" s="22"/>
    </row>
    <row r="3508" spans="29:32" x14ac:dyDescent="0.2">
      <c r="AC3508" s="20"/>
      <c r="AE3508" s="22"/>
      <c r="AF3508" s="22"/>
    </row>
    <row r="3509" spans="29:32" x14ac:dyDescent="0.2">
      <c r="AC3509" s="20"/>
      <c r="AE3509" s="22"/>
      <c r="AF3509" s="22"/>
    </row>
    <row r="3510" spans="29:32" x14ac:dyDescent="0.2">
      <c r="AC3510" s="20"/>
      <c r="AE3510" s="22"/>
      <c r="AF3510" s="22"/>
    </row>
    <row r="3511" spans="29:32" x14ac:dyDescent="0.2">
      <c r="AC3511" s="20"/>
      <c r="AE3511" s="22"/>
      <c r="AF3511" s="22"/>
    </row>
    <row r="3512" spans="29:32" x14ac:dyDescent="0.2">
      <c r="AC3512" s="20"/>
      <c r="AE3512" s="22"/>
      <c r="AF3512" s="22"/>
    </row>
    <row r="3513" spans="29:32" x14ac:dyDescent="0.2">
      <c r="AC3513" s="20"/>
      <c r="AE3513" s="22"/>
      <c r="AF3513" s="22"/>
    </row>
    <row r="3514" spans="29:32" x14ac:dyDescent="0.2">
      <c r="AC3514" s="20"/>
      <c r="AE3514" s="22"/>
      <c r="AF3514" s="22"/>
    </row>
    <row r="3515" spans="29:32" x14ac:dyDescent="0.2">
      <c r="AC3515" s="20"/>
      <c r="AE3515" s="22"/>
      <c r="AF3515" s="22"/>
    </row>
    <row r="3516" spans="29:32" x14ac:dyDescent="0.2">
      <c r="AC3516" s="20"/>
      <c r="AE3516" s="22"/>
      <c r="AF3516" s="22"/>
    </row>
    <row r="3517" spans="29:32" x14ac:dyDescent="0.2">
      <c r="AC3517" s="20"/>
      <c r="AE3517" s="22"/>
      <c r="AF3517" s="22"/>
    </row>
    <row r="3518" spans="29:32" x14ac:dyDescent="0.2">
      <c r="AC3518" s="20"/>
      <c r="AE3518" s="22"/>
      <c r="AF3518" s="22"/>
    </row>
    <row r="3519" spans="29:32" x14ac:dyDescent="0.2">
      <c r="AC3519" s="20"/>
      <c r="AE3519" s="22"/>
      <c r="AF3519" s="22"/>
    </row>
    <row r="3520" spans="29:32" x14ac:dyDescent="0.2">
      <c r="AC3520" s="20"/>
      <c r="AE3520" s="22"/>
      <c r="AF3520" s="22"/>
    </row>
    <row r="3521" spans="29:32" x14ac:dyDescent="0.2">
      <c r="AC3521" s="20"/>
      <c r="AE3521" s="22"/>
      <c r="AF3521" s="22"/>
    </row>
    <row r="3522" spans="29:32" x14ac:dyDescent="0.2">
      <c r="AC3522" s="20"/>
      <c r="AE3522" s="22"/>
      <c r="AF3522" s="22"/>
    </row>
    <row r="3523" spans="29:32" x14ac:dyDescent="0.2">
      <c r="AC3523" s="20"/>
      <c r="AE3523" s="22"/>
      <c r="AF3523" s="22"/>
    </row>
    <row r="3524" spans="29:32" x14ac:dyDescent="0.2">
      <c r="AC3524" s="20"/>
      <c r="AE3524" s="22"/>
      <c r="AF3524" s="22"/>
    </row>
    <row r="3525" spans="29:32" x14ac:dyDescent="0.2">
      <c r="AC3525" s="20"/>
      <c r="AE3525" s="22"/>
      <c r="AF3525" s="22"/>
    </row>
    <row r="3526" spans="29:32" x14ac:dyDescent="0.2">
      <c r="AC3526" s="20"/>
      <c r="AE3526" s="22"/>
      <c r="AF3526" s="22"/>
    </row>
    <row r="3527" spans="29:32" x14ac:dyDescent="0.2">
      <c r="AC3527" s="20"/>
      <c r="AE3527" s="22"/>
      <c r="AF3527" s="22"/>
    </row>
    <row r="3528" spans="29:32" x14ac:dyDescent="0.2">
      <c r="AC3528" s="20"/>
      <c r="AE3528" s="22"/>
      <c r="AF3528" s="22"/>
    </row>
    <row r="3529" spans="29:32" x14ac:dyDescent="0.2">
      <c r="AC3529" s="20"/>
      <c r="AE3529" s="22"/>
      <c r="AF3529" s="22"/>
    </row>
    <row r="3530" spans="29:32" x14ac:dyDescent="0.2">
      <c r="AC3530" s="20"/>
      <c r="AE3530" s="22"/>
      <c r="AF3530" s="22"/>
    </row>
    <row r="3531" spans="29:32" x14ac:dyDescent="0.2">
      <c r="AC3531" s="20"/>
      <c r="AE3531" s="22"/>
      <c r="AF3531" s="22"/>
    </row>
    <row r="3532" spans="29:32" x14ac:dyDescent="0.2">
      <c r="AC3532" s="20"/>
      <c r="AE3532" s="22"/>
      <c r="AF3532" s="22"/>
    </row>
    <row r="3533" spans="29:32" x14ac:dyDescent="0.2">
      <c r="AC3533" s="20"/>
      <c r="AE3533" s="22"/>
      <c r="AF3533" s="22"/>
    </row>
    <row r="3534" spans="29:32" x14ac:dyDescent="0.2">
      <c r="AC3534" s="20"/>
      <c r="AE3534" s="22"/>
      <c r="AF3534" s="22"/>
    </row>
    <row r="3535" spans="29:32" x14ac:dyDescent="0.2">
      <c r="AC3535" s="20"/>
      <c r="AE3535" s="22"/>
      <c r="AF3535" s="22"/>
    </row>
    <row r="3536" spans="29:32" x14ac:dyDescent="0.2">
      <c r="AC3536" s="20"/>
      <c r="AE3536" s="22"/>
      <c r="AF3536" s="22"/>
    </row>
    <row r="3537" spans="29:32" x14ac:dyDescent="0.2">
      <c r="AC3537" s="20"/>
      <c r="AE3537" s="22"/>
      <c r="AF3537" s="22"/>
    </row>
    <row r="3538" spans="29:32" x14ac:dyDescent="0.2">
      <c r="AC3538" s="20"/>
      <c r="AE3538" s="22"/>
      <c r="AF3538" s="22"/>
    </row>
    <row r="3539" spans="29:32" x14ac:dyDescent="0.2">
      <c r="AC3539" s="20"/>
      <c r="AE3539" s="22"/>
      <c r="AF3539" s="22"/>
    </row>
    <row r="3540" spans="29:32" x14ac:dyDescent="0.2">
      <c r="AC3540" s="20"/>
      <c r="AE3540" s="22"/>
      <c r="AF3540" s="22"/>
    </row>
    <row r="3541" spans="29:32" x14ac:dyDescent="0.2">
      <c r="AC3541" s="20"/>
      <c r="AE3541" s="22"/>
      <c r="AF3541" s="22"/>
    </row>
    <row r="3542" spans="29:32" x14ac:dyDescent="0.2">
      <c r="AC3542" s="20"/>
      <c r="AE3542" s="22"/>
      <c r="AF3542" s="22"/>
    </row>
    <row r="3543" spans="29:32" x14ac:dyDescent="0.2">
      <c r="AC3543" s="20"/>
      <c r="AE3543" s="22"/>
      <c r="AF3543" s="22"/>
    </row>
    <row r="3544" spans="29:32" x14ac:dyDescent="0.2">
      <c r="AC3544" s="20"/>
      <c r="AE3544" s="22"/>
      <c r="AF3544" s="22"/>
    </row>
    <row r="3545" spans="29:32" x14ac:dyDescent="0.2">
      <c r="AC3545" s="20"/>
      <c r="AE3545" s="22"/>
      <c r="AF3545" s="22"/>
    </row>
    <row r="3546" spans="29:32" x14ac:dyDescent="0.2">
      <c r="AC3546" s="20"/>
      <c r="AE3546" s="22"/>
      <c r="AF3546" s="22"/>
    </row>
    <row r="3547" spans="29:32" x14ac:dyDescent="0.2">
      <c r="AC3547" s="20"/>
      <c r="AE3547" s="22"/>
      <c r="AF3547" s="22"/>
    </row>
    <row r="3548" spans="29:32" x14ac:dyDescent="0.2">
      <c r="AC3548" s="20"/>
      <c r="AE3548" s="22"/>
      <c r="AF3548" s="22"/>
    </row>
    <row r="3549" spans="29:32" x14ac:dyDescent="0.2">
      <c r="AC3549" s="20"/>
      <c r="AE3549" s="22"/>
      <c r="AF3549" s="22"/>
    </row>
    <row r="3550" spans="29:32" x14ac:dyDescent="0.2">
      <c r="AC3550" s="20"/>
      <c r="AE3550" s="22"/>
      <c r="AF3550" s="22"/>
    </row>
    <row r="3551" spans="29:32" x14ac:dyDescent="0.2">
      <c r="AC3551" s="20"/>
      <c r="AE3551" s="22"/>
      <c r="AF3551" s="22"/>
    </row>
    <row r="3552" spans="29:32" x14ac:dyDescent="0.2">
      <c r="AC3552" s="20"/>
      <c r="AE3552" s="22"/>
      <c r="AF3552" s="22"/>
    </row>
    <row r="3553" spans="29:32" x14ac:dyDescent="0.2">
      <c r="AC3553" s="20"/>
      <c r="AE3553" s="22"/>
      <c r="AF3553" s="22"/>
    </row>
    <row r="3554" spans="29:32" x14ac:dyDescent="0.2">
      <c r="AC3554" s="20"/>
      <c r="AE3554" s="22"/>
      <c r="AF3554" s="22"/>
    </row>
    <row r="3555" spans="29:32" x14ac:dyDescent="0.2">
      <c r="AC3555" s="20"/>
      <c r="AE3555" s="22"/>
      <c r="AF3555" s="22"/>
    </row>
    <row r="3556" spans="29:32" x14ac:dyDescent="0.2">
      <c r="AC3556" s="20"/>
      <c r="AE3556" s="22"/>
      <c r="AF3556" s="22"/>
    </row>
    <row r="3557" spans="29:32" x14ac:dyDescent="0.2">
      <c r="AC3557" s="20"/>
      <c r="AE3557" s="22"/>
      <c r="AF3557" s="22"/>
    </row>
    <row r="3558" spans="29:32" x14ac:dyDescent="0.2">
      <c r="AC3558" s="20"/>
      <c r="AE3558" s="22"/>
      <c r="AF3558" s="22"/>
    </row>
    <row r="3559" spans="29:32" x14ac:dyDescent="0.2">
      <c r="AC3559" s="20"/>
      <c r="AE3559" s="22"/>
      <c r="AF3559" s="22"/>
    </row>
    <row r="3560" spans="29:32" x14ac:dyDescent="0.2">
      <c r="AC3560" s="20"/>
      <c r="AE3560" s="22"/>
      <c r="AF3560" s="22"/>
    </row>
    <row r="3561" spans="29:32" x14ac:dyDescent="0.2">
      <c r="AC3561" s="20"/>
      <c r="AE3561" s="22"/>
      <c r="AF3561" s="22"/>
    </row>
    <row r="3562" spans="29:32" x14ac:dyDescent="0.2">
      <c r="AC3562" s="20"/>
      <c r="AE3562" s="22"/>
      <c r="AF3562" s="22"/>
    </row>
    <row r="3563" spans="29:32" x14ac:dyDescent="0.2">
      <c r="AC3563" s="20"/>
      <c r="AE3563" s="22"/>
      <c r="AF3563" s="22"/>
    </row>
    <row r="3564" spans="29:32" x14ac:dyDescent="0.2">
      <c r="AC3564" s="20"/>
      <c r="AE3564" s="22"/>
      <c r="AF3564" s="22"/>
    </row>
    <row r="3565" spans="29:32" x14ac:dyDescent="0.2">
      <c r="AC3565" s="20"/>
      <c r="AE3565" s="22"/>
      <c r="AF3565" s="22"/>
    </row>
    <row r="3566" spans="29:32" x14ac:dyDescent="0.2">
      <c r="AC3566" s="20"/>
      <c r="AE3566" s="22"/>
      <c r="AF3566" s="22"/>
    </row>
    <row r="3567" spans="29:32" x14ac:dyDescent="0.2">
      <c r="AC3567" s="20"/>
      <c r="AE3567" s="22"/>
      <c r="AF3567" s="22"/>
    </row>
    <row r="3568" spans="29:32" x14ac:dyDescent="0.2">
      <c r="AC3568" s="20"/>
      <c r="AE3568" s="22"/>
      <c r="AF3568" s="22"/>
    </row>
    <row r="3569" spans="29:32" x14ac:dyDescent="0.2">
      <c r="AC3569" s="20"/>
      <c r="AE3569" s="22"/>
      <c r="AF3569" s="22"/>
    </row>
    <row r="3570" spans="29:32" x14ac:dyDescent="0.2">
      <c r="AC3570" s="20"/>
      <c r="AE3570" s="22"/>
      <c r="AF3570" s="22"/>
    </row>
    <row r="3571" spans="29:32" x14ac:dyDescent="0.2">
      <c r="AC3571" s="20"/>
      <c r="AE3571" s="22"/>
      <c r="AF3571" s="22"/>
    </row>
    <row r="3572" spans="29:32" x14ac:dyDescent="0.2">
      <c r="AC3572" s="20"/>
      <c r="AE3572" s="22"/>
      <c r="AF3572" s="22"/>
    </row>
    <row r="3573" spans="29:32" x14ac:dyDescent="0.2">
      <c r="AC3573" s="20"/>
      <c r="AE3573" s="22"/>
      <c r="AF3573" s="22"/>
    </row>
    <row r="3574" spans="29:32" x14ac:dyDescent="0.2">
      <c r="AC3574" s="20"/>
      <c r="AE3574" s="22"/>
      <c r="AF3574" s="22"/>
    </row>
    <row r="3575" spans="29:32" x14ac:dyDescent="0.2">
      <c r="AC3575" s="20"/>
      <c r="AE3575" s="22"/>
      <c r="AF3575" s="22"/>
    </row>
    <row r="3576" spans="29:32" x14ac:dyDescent="0.2">
      <c r="AC3576" s="20"/>
      <c r="AE3576" s="22"/>
      <c r="AF3576" s="22"/>
    </row>
    <row r="3577" spans="29:32" x14ac:dyDescent="0.2">
      <c r="AC3577" s="20"/>
      <c r="AE3577" s="22"/>
      <c r="AF3577" s="22"/>
    </row>
    <row r="3578" spans="29:32" x14ac:dyDescent="0.2">
      <c r="AC3578" s="20"/>
      <c r="AE3578" s="22"/>
      <c r="AF3578" s="22"/>
    </row>
    <row r="3579" spans="29:32" x14ac:dyDescent="0.2">
      <c r="AC3579" s="20"/>
      <c r="AE3579" s="22"/>
      <c r="AF3579" s="22"/>
    </row>
    <row r="3580" spans="29:32" x14ac:dyDescent="0.2">
      <c r="AC3580" s="20"/>
      <c r="AE3580" s="22"/>
      <c r="AF3580" s="22"/>
    </row>
    <row r="3581" spans="29:32" x14ac:dyDescent="0.2">
      <c r="AC3581" s="20"/>
      <c r="AE3581" s="22"/>
      <c r="AF3581" s="22"/>
    </row>
    <row r="3582" spans="29:32" x14ac:dyDescent="0.2">
      <c r="AC3582" s="20"/>
      <c r="AE3582" s="22"/>
      <c r="AF3582" s="22"/>
    </row>
    <row r="3583" spans="29:32" x14ac:dyDescent="0.2">
      <c r="AC3583" s="20"/>
      <c r="AE3583" s="22"/>
      <c r="AF3583" s="22"/>
    </row>
    <row r="3584" spans="29:32" x14ac:dyDescent="0.2">
      <c r="AC3584" s="20"/>
      <c r="AE3584" s="22"/>
      <c r="AF3584" s="22"/>
    </row>
    <row r="3585" spans="29:32" x14ac:dyDescent="0.2">
      <c r="AC3585" s="20"/>
      <c r="AE3585" s="22"/>
      <c r="AF3585" s="22"/>
    </row>
    <row r="3586" spans="29:32" x14ac:dyDescent="0.2">
      <c r="AC3586" s="20"/>
      <c r="AE3586" s="22"/>
      <c r="AF3586" s="22"/>
    </row>
    <row r="3587" spans="29:32" x14ac:dyDescent="0.2">
      <c r="AC3587" s="20"/>
      <c r="AE3587" s="22"/>
      <c r="AF3587" s="22"/>
    </row>
    <row r="3588" spans="29:32" x14ac:dyDescent="0.2">
      <c r="AC3588" s="20"/>
      <c r="AE3588" s="22"/>
      <c r="AF3588" s="22"/>
    </row>
    <row r="3589" spans="29:32" x14ac:dyDescent="0.2">
      <c r="AC3589" s="20"/>
      <c r="AE3589" s="22"/>
      <c r="AF3589" s="22"/>
    </row>
    <row r="3590" spans="29:32" x14ac:dyDescent="0.2">
      <c r="AC3590" s="20"/>
      <c r="AE3590" s="22"/>
      <c r="AF3590" s="22"/>
    </row>
    <row r="3591" spans="29:32" x14ac:dyDescent="0.2">
      <c r="AC3591" s="20"/>
      <c r="AE3591" s="22"/>
      <c r="AF3591" s="22"/>
    </row>
    <row r="3592" spans="29:32" x14ac:dyDescent="0.2">
      <c r="AC3592" s="20"/>
      <c r="AE3592" s="22"/>
      <c r="AF3592" s="22"/>
    </row>
    <row r="3593" spans="29:32" x14ac:dyDescent="0.2">
      <c r="AC3593" s="20"/>
      <c r="AE3593" s="22"/>
      <c r="AF3593" s="22"/>
    </row>
    <row r="3594" spans="29:32" x14ac:dyDescent="0.2">
      <c r="AC3594" s="20"/>
      <c r="AE3594" s="22"/>
      <c r="AF3594" s="22"/>
    </row>
    <row r="3595" spans="29:32" x14ac:dyDescent="0.2">
      <c r="AC3595" s="20"/>
      <c r="AE3595" s="22"/>
      <c r="AF3595" s="22"/>
    </row>
    <row r="3596" spans="29:32" x14ac:dyDescent="0.2">
      <c r="AC3596" s="20"/>
      <c r="AE3596" s="22"/>
      <c r="AF3596" s="22"/>
    </row>
    <row r="3597" spans="29:32" x14ac:dyDescent="0.2">
      <c r="AC3597" s="20"/>
      <c r="AE3597" s="22"/>
      <c r="AF3597" s="22"/>
    </row>
    <row r="3598" spans="29:32" x14ac:dyDescent="0.2">
      <c r="AC3598" s="20"/>
      <c r="AE3598" s="22"/>
      <c r="AF3598" s="22"/>
    </row>
    <row r="3599" spans="29:32" x14ac:dyDescent="0.2">
      <c r="AC3599" s="20"/>
      <c r="AE3599" s="22"/>
      <c r="AF3599" s="22"/>
    </row>
    <row r="3600" spans="29:32" x14ac:dyDescent="0.2">
      <c r="AC3600" s="20"/>
      <c r="AE3600" s="22"/>
      <c r="AF3600" s="22"/>
    </row>
    <row r="3601" spans="29:32" x14ac:dyDescent="0.2">
      <c r="AC3601" s="20"/>
      <c r="AE3601" s="22"/>
      <c r="AF3601" s="22"/>
    </row>
    <row r="3602" spans="29:32" x14ac:dyDescent="0.2">
      <c r="AC3602" s="20"/>
      <c r="AE3602" s="22"/>
      <c r="AF3602" s="22"/>
    </row>
    <row r="3603" spans="29:32" x14ac:dyDescent="0.2">
      <c r="AC3603" s="20"/>
      <c r="AE3603" s="22"/>
      <c r="AF3603" s="22"/>
    </row>
    <row r="3604" spans="29:32" x14ac:dyDescent="0.2">
      <c r="AC3604" s="20"/>
      <c r="AE3604" s="22"/>
      <c r="AF3604" s="22"/>
    </row>
    <row r="3605" spans="29:32" x14ac:dyDescent="0.2">
      <c r="AC3605" s="20"/>
      <c r="AE3605" s="22"/>
      <c r="AF3605" s="22"/>
    </row>
    <row r="3606" spans="29:32" x14ac:dyDescent="0.2">
      <c r="AC3606" s="20"/>
      <c r="AE3606" s="22"/>
      <c r="AF3606" s="22"/>
    </row>
    <row r="3607" spans="29:32" x14ac:dyDescent="0.2">
      <c r="AC3607" s="20"/>
      <c r="AE3607" s="22"/>
      <c r="AF3607" s="22"/>
    </row>
    <row r="3608" spans="29:32" x14ac:dyDescent="0.2">
      <c r="AC3608" s="20"/>
      <c r="AE3608" s="22"/>
      <c r="AF3608" s="22"/>
    </row>
    <row r="3609" spans="29:32" x14ac:dyDescent="0.2">
      <c r="AC3609" s="20"/>
      <c r="AE3609" s="22"/>
      <c r="AF3609" s="22"/>
    </row>
    <row r="3610" spans="29:32" x14ac:dyDescent="0.2">
      <c r="AC3610" s="20"/>
      <c r="AE3610" s="22"/>
      <c r="AF3610" s="22"/>
    </row>
    <row r="3611" spans="29:32" x14ac:dyDescent="0.2">
      <c r="AC3611" s="20"/>
      <c r="AE3611" s="22"/>
      <c r="AF3611" s="22"/>
    </row>
    <row r="3612" spans="29:32" x14ac:dyDescent="0.2">
      <c r="AC3612" s="20"/>
      <c r="AE3612" s="22"/>
      <c r="AF3612" s="22"/>
    </row>
    <row r="3613" spans="29:32" x14ac:dyDescent="0.2">
      <c r="AC3613" s="20"/>
      <c r="AE3613" s="22"/>
      <c r="AF3613" s="22"/>
    </row>
    <row r="3614" spans="29:32" x14ac:dyDescent="0.2">
      <c r="AC3614" s="20"/>
      <c r="AE3614" s="22"/>
      <c r="AF3614" s="22"/>
    </row>
    <row r="3615" spans="29:32" x14ac:dyDescent="0.2">
      <c r="AC3615" s="20"/>
      <c r="AE3615" s="22"/>
      <c r="AF3615" s="22"/>
    </row>
    <row r="3616" spans="29:32" x14ac:dyDescent="0.2">
      <c r="AC3616" s="20"/>
      <c r="AE3616" s="22"/>
      <c r="AF3616" s="22"/>
    </row>
    <row r="3617" spans="29:32" x14ac:dyDescent="0.2">
      <c r="AC3617" s="20"/>
      <c r="AE3617" s="22"/>
      <c r="AF3617" s="22"/>
    </row>
    <row r="3618" spans="29:32" x14ac:dyDescent="0.2">
      <c r="AC3618" s="20"/>
      <c r="AE3618" s="22"/>
      <c r="AF3618" s="22"/>
    </row>
    <row r="3619" spans="29:32" x14ac:dyDescent="0.2">
      <c r="AC3619" s="20"/>
      <c r="AE3619" s="22"/>
      <c r="AF3619" s="22"/>
    </row>
    <row r="3620" spans="29:32" x14ac:dyDescent="0.2">
      <c r="AC3620" s="20"/>
      <c r="AE3620" s="22"/>
      <c r="AF3620" s="22"/>
    </row>
    <row r="3621" spans="29:32" x14ac:dyDescent="0.2">
      <c r="AC3621" s="20"/>
      <c r="AE3621" s="22"/>
      <c r="AF3621" s="22"/>
    </row>
    <row r="3622" spans="29:32" x14ac:dyDescent="0.2">
      <c r="AC3622" s="20"/>
      <c r="AE3622" s="22"/>
      <c r="AF3622" s="22"/>
    </row>
    <row r="3623" spans="29:32" x14ac:dyDescent="0.2">
      <c r="AC3623" s="20"/>
      <c r="AE3623" s="22"/>
      <c r="AF3623" s="22"/>
    </row>
    <row r="3624" spans="29:32" x14ac:dyDescent="0.2">
      <c r="AC3624" s="20"/>
      <c r="AE3624" s="22"/>
      <c r="AF3624" s="22"/>
    </row>
    <row r="3625" spans="29:32" x14ac:dyDescent="0.2">
      <c r="AC3625" s="20"/>
      <c r="AE3625" s="22"/>
      <c r="AF3625" s="22"/>
    </row>
    <row r="3626" spans="29:32" x14ac:dyDescent="0.2">
      <c r="AC3626" s="20"/>
      <c r="AE3626" s="22"/>
      <c r="AF3626" s="22"/>
    </row>
    <row r="3627" spans="29:32" x14ac:dyDescent="0.2">
      <c r="AC3627" s="20"/>
      <c r="AE3627" s="22"/>
      <c r="AF3627" s="22"/>
    </row>
    <row r="3628" spans="29:32" x14ac:dyDescent="0.2">
      <c r="AC3628" s="20"/>
      <c r="AE3628" s="22"/>
      <c r="AF3628" s="22"/>
    </row>
    <row r="3629" spans="29:32" x14ac:dyDescent="0.2">
      <c r="AC3629" s="20"/>
      <c r="AE3629" s="22"/>
      <c r="AF3629" s="22"/>
    </row>
    <row r="3630" spans="29:32" x14ac:dyDescent="0.2">
      <c r="AC3630" s="20"/>
      <c r="AE3630" s="22"/>
      <c r="AF3630" s="22"/>
    </row>
    <row r="3631" spans="29:32" x14ac:dyDescent="0.2">
      <c r="AC3631" s="20"/>
      <c r="AE3631" s="22"/>
      <c r="AF3631" s="22"/>
    </row>
    <row r="3632" spans="29:32" x14ac:dyDescent="0.2">
      <c r="AC3632" s="20"/>
      <c r="AE3632" s="22"/>
      <c r="AF3632" s="22"/>
    </row>
    <row r="3633" spans="29:32" x14ac:dyDescent="0.2">
      <c r="AC3633" s="20"/>
      <c r="AE3633" s="22"/>
      <c r="AF3633" s="22"/>
    </row>
    <row r="3634" spans="29:32" x14ac:dyDescent="0.2">
      <c r="AC3634" s="20"/>
      <c r="AE3634" s="22"/>
      <c r="AF3634" s="22"/>
    </row>
    <row r="3635" spans="29:32" x14ac:dyDescent="0.2">
      <c r="AC3635" s="20"/>
      <c r="AE3635" s="22"/>
      <c r="AF3635" s="22"/>
    </row>
    <row r="3636" spans="29:32" x14ac:dyDescent="0.2">
      <c r="AC3636" s="20"/>
      <c r="AE3636" s="22"/>
      <c r="AF3636" s="22"/>
    </row>
    <row r="3637" spans="29:32" x14ac:dyDescent="0.2">
      <c r="AC3637" s="20"/>
      <c r="AE3637" s="22"/>
      <c r="AF3637" s="22"/>
    </row>
    <row r="3638" spans="29:32" x14ac:dyDescent="0.2">
      <c r="AC3638" s="20"/>
      <c r="AE3638" s="22"/>
      <c r="AF3638" s="22"/>
    </row>
    <row r="3639" spans="29:32" x14ac:dyDescent="0.2">
      <c r="AC3639" s="20"/>
      <c r="AE3639" s="22"/>
      <c r="AF3639" s="22"/>
    </row>
    <row r="3640" spans="29:32" x14ac:dyDescent="0.2">
      <c r="AC3640" s="20"/>
      <c r="AE3640" s="22"/>
      <c r="AF3640" s="22"/>
    </row>
    <row r="3641" spans="29:32" x14ac:dyDescent="0.2">
      <c r="AC3641" s="20"/>
      <c r="AE3641" s="22"/>
      <c r="AF3641" s="22"/>
    </row>
    <row r="3642" spans="29:32" x14ac:dyDescent="0.2">
      <c r="AC3642" s="20"/>
      <c r="AE3642" s="22"/>
      <c r="AF3642" s="22"/>
    </row>
    <row r="3643" spans="29:32" x14ac:dyDescent="0.2">
      <c r="AC3643" s="20"/>
      <c r="AE3643" s="22"/>
      <c r="AF3643" s="22"/>
    </row>
    <row r="3644" spans="29:32" x14ac:dyDescent="0.2">
      <c r="AC3644" s="20"/>
      <c r="AE3644" s="22"/>
      <c r="AF3644" s="22"/>
    </row>
    <row r="3645" spans="29:32" x14ac:dyDescent="0.2">
      <c r="AC3645" s="20"/>
      <c r="AE3645" s="22"/>
      <c r="AF3645" s="22"/>
    </row>
    <row r="3646" spans="29:32" x14ac:dyDescent="0.2">
      <c r="AC3646" s="20"/>
      <c r="AE3646" s="22"/>
      <c r="AF3646" s="22"/>
    </row>
    <row r="3647" spans="29:32" x14ac:dyDescent="0.2">
      <c r="AC3647" s="20"/>
      <c r="AE3647" s="22"/>
      <c r="AF3647" s="22"/>
    </row>
    <row r="3648" spans="29:32" x14ac:dyDescent="0.2">
      <c r="AC3648" s="20"/>
      <c r="AE3648" s="22"/>
      <c r="AF3648" s="22"/>
    </row>
    <row r="3649" spans="29:32" x14ac:dyDescent="0.2">
      <c r="AC3649" s="20"/>
      <c r="AE3649" s="22"/>
      <c r="AF3649" s="22"/>
    </row>
    <row r="3650" spans="29:32" x14ac:dyDescent="0.2">
      <c r="AC3650" s="20"/>
      <c r="AE3650" s="22"/>
      <c r="AF3650" s="22"/>
    </row>
    <row r="3651" spans="29:32" x14ac:dyDescent="0.2">
      <c r="AC3651" s="20"/>
      <c r="AE3651" s="22"/>
      <c r="AF3651" s="22"/>
    </row>
    <row r="3652" spans="29:32" x14ac:dyDescent="0.2">
      <c r="AC3652" s="20"/>
      <c r="AE3652" s="22"/>
      <c r="AF3652" s="22"/>
    </row>
    <row r="3653" spans="29:32" x14ac:dyDescent="0.2">
      <c r="AC3653" s="20"/>
      <c r="AE3653" s="22"/>
      <c r="AF3653" s="22"/>
    </row>
    <row r="3654" spans="29:32" x14ac:dyDescent="0.2">
      <c r="AC3654" s="20"/>
      <c r="AE3654" s="22"/>
      <c r="AF3654" s="22"/>
    </row>
    <row r="3655" spans="29:32" x14ac:dyDescent="0.2">
      <c r="AC3655" s="20"/>
      <c r="AE3655" s="22"/>
      <c r="AF3655" s="22"/>
    </row>
    <row r="3656" spans="29:32" x14ac:dyDescent="0.2">
      <c r="AC3656" s="20"/>
      <c r="AE3656" s="22"/>
      <c r="AF3656" s="22"/>
    </row>
    <row r="3657" spans="29:32" x14ac:dyDescent="0.2">
      <c r="AC3657" s="20"/>
      <c r="AE3657" s="22"/>
      <c r="AF3657" s="22"/>
    </row>
    <row r="3658" spans="29:32" x14ac:dyDescent="0.2">
      <c r="AC3658" s="20"/>
      <c r="AE3658" s="22"/>
      <c r="AF3658" s="22"/>
    </row>
    <row r="3659" spans="29:32" x14ac:dyDescent="0.2">
      <c r="AC3659" s="20"/>
      <c r="AE3659" s="22"/>
      <c r="AF3659" s="22"/>
    </row>
    <row r="3660" spans="29:32" x14ac:dyDescent="0.2">
      <c r="AC3660" s="20"/>
      <c r="AE3660" s="22"/>
      <c r="AF3660" s="22"/>
    </row>
    <row r="3661" spans="29:32" x14ac:dyDescent="0.2">
      <c r="AC3661" s="20"/>
      <c r="AE3661" s="22"/>
      <c r="AF3661" s="22"/>
    </row>
    <row r="3662" spans="29:32" x14ac:dyDescent="0.2">
      <c r="AC3662" s="20"/>
      <c r="AE3662" s="22"/>
      <c r="AF3662" s="22"/>
    </row>
    <row r="3663" spans="29:32" x14ac:dyDescent="0.2">
      <c r="AC3663" s="20"/>
      <c r="AE3663" s="22"/>
      <c r="AF3663" s="22"/>
    </row>
    <row r="3664" spans="29:32" x14ac:dyDescent="0.2">
      <c r="AC3664" s="20"/>
      <c r="AE3664" s="22"/>
      <c r="AF3664" s="22"/>
    </row>
    <row r="3665" spans="29:32" x14ac:dyDescent="0.2">
      <c r="AC3665" s="20"/>
      <c r="AE3665" s="22"/>
      <c r="AF3665" s="22"/>
    </row>
    <row r="3666" spans="29:32" x14ac:dyDescent="0.2">
      <c r="AC3666" s="20"/>
      <c r="AE3666" s="22"/>
      <c r="AF3666" s="22"/>
    </row>
    <row r="3667" spans="29:32" x14ac:dyDescent="0.2">
      <c r="AC3667" s="20"/>
      <c r="AE3667" s="22"/>
      <c r="AF3667" s="22"/>
    </row>
    <row r="3668" spans="29:32" x14ac:dyDescent="0.2">
      <c r="AC3668" s="20"/>
      <c r="AE3668" s="22"/>
      <c r="AF3668" s="22"/>
    </row>
    <row r="3669" spans="29:32" x14ac:dyDescent="0.2">
      <c r="AC3669" s="20"/>
      <c r="AE3669" s="22"/>
      <c r="AF3669" s="22"/>
    </row>
    <row r="3670" spans="29:32" x14ac:dyDescent="0.2">
      <c r="AC3670" s="20"/>
      <c r="AE3670" s="22"/>
      <c r="AF3670" s="22"/>
    </row>
    <row r="3671" spans="29:32" x14ac:dyDescent="0.2">
      <c r="AC3671" s="20"/>
      <c r="AE3671" s="22"/>
      <c r="AF3671" s="22"/>
    </row>
    <row r="3672" spans="29:32" x14ac:dyDescent="0.2">
      <c r="AC3672" s="20"/>
      <c r="AE3672" s="22"/>
      <c r="AF3672" s="22"/>
    </row>
    <row r="3673" spans="29:32" x14ac:dyDescent="0.2">
      <c r="AC3673" s="20"/>
      <c r="AE3673" s="22"/>
      <c r="AF3673" s="22"/>
    </row>
    <row r="3674" spans="29:32" x14ac:dyDescent="0.2">
      <c r="AC3674" s="20"/>
      <c r="AE3674" s="22"/>
      <c r="AF3674" s="22"/>
    </row>
    <row r="3675" spans="29:32" x14ac:dyDescent="0.2">
      <c r="AC3675" s="20"/>
      <c r="AE3675" s="22"/>
      <c r="AF3675" s="22"/>
    </row>
    <row r="3676" spans="29:32" x14ac:dyDescent="0.2">
      <c r="AC3676" s="20"/>
      <c r="AE3676" s="22"/>
      <c r="AF3676" s="22"/>
    </row>
    <row r="3677" spans="29:32" x14ac:dyDescent="0.2">
      <c r="AC3677" s="20"/>
      <c r="AE3677" s="22"/>
      <c r="AF3677" s="22"/>
    </row>
    <row r="3678" spans="29:32" x14ac:dyDescent="0.2">
      <c r="AC3678" s="20"/>
      <c r="AE3678" s="22"/>
      <c r="AF3678" s="22"/>
    </row>
    <row r="3679" spans="29:32" x14ac:dyDescent="0.2">
      <c r="AC3679" s="20"/>
      <c r="AE3679" s="22"/>
      <c r="AF3679" s="22"/>
    </row>
    <row r="3680" spans="29:32" x14ac:dyDescent="0.2">
      <c r="AC3680" s="20"/>
      <c r="AE3680" s="22"/>
      <c r="AF3680" s="22"/>
    </row>
    <row r="3681" spans="29:32" x14ac:dyDescent="0.2">
      <c r="AC3681" s="20"/>
      <c r="AE3681" s="22"/>
      <c r="AF3681" s="22"/>
    </row>
    <row r="3682" spans="29:32" x14ac:dyDescent="0.2">
      <c r="AC3682" s="20"/>
      <c r="AE3682" s="22"/>
      <c r="AF3682" s="22"/>
    </row>
    <row r="3683" spans="29:32" x14ac:dyDescent="0.2">
      <c r="AC3683" s="20"/>
      <c r="AE3683" s="22"/>
      <c r="AF3683" s="22"/>
    </row>
    <row r="3684" spans="29:32" x14ac:dyDescent="0.2">
      <c r="AC3684" s="20"/>
      <c r="AE3684" s="22"/>
      <c r="AF3684" s="22"/>
    </row>
    <row r="3685" spans="29:32" x14ac:dyDescent="0.2">
      <c r="AC3685" s="20"/>
      <c r="AE3685" s="22"/>
      <c r="AF3685" s="22"/>
    </row>
    <row r="3686" spans="29:32" x14ac:dyDescent="0.2">
      <c r="AC3686" s="20"/>
      <c r="AE3686" s="22"/>
      <c r="AF3686" s="22"/>
    </row>
    <row r="3687" spans="29:32" x14ac:dyDescent="0.2">
      <c r="AC3687" s="20"/>
      <c r="AE3687" s="22"/>
      <c r="AF3687" s="22"/>
    </row>
    <row r="3688" spans="29:32" x14ac:dyDescent="0.2">
      <c r="AC3688" s="20"/>
      <c r="AE3688" s="22"/>
      <c r="AF3688" s="22"/>
    </row>
    <row r="3689" spans="29:32" x14ac:dyDescent="0.2">
      <c r="AC3689" s="20"/>
      <c r="AE3689" s="22"/>
      <c r="AF3689" s="22"/>
    </row>
    <row r="3690" spans="29:32" x14ac:dyDescent="0.2">
      <c r="AC3690" s="20"/>
      <c r="AE3690" s="22"/>
      <c r="AF3690" s="22"/>
    </row>
    <row r="3691" spans="29:32" x14ac:dyDescent="0.2">
      <c r="AC3691" s="20"/>
      <c r="AE3691" s="22"/>
      <c r="AF3691" s="22"/>
    </row>
    <row r="3692" spans="29:32" x14ac:dyDescent="0.2">
      <c r="AC3692" s="20"/>
      <c r="AE3692" s="22"/>
      <c r="AF3692" s="22"/>
    </row>
    <row r="3693" spans="29:32" x14ac:dyDescent="0.2">
      <c r="AC3693" s="20"/>
      <c r="AE3693" s="22"/>
      <c r="AF3693" s="22"/>
    </row>
    <row r="3694" spans="29:32" x14ac:dyDescent="0.2">
      <c r="AC3694" s="20"/>
      <c r="AE3694" s="22"/>
      <c r="AF3694" s="22"/>
    </row>
    <row r="3695" spans="29:32" x14ac:dyDescent="0.2">
      <c r="AC3695" s="20"/>
      <c r="AE3695" s="22"/>
      <c r="AF3695" s="22"/>
    </row>
    <row r="3696" spans="29:32" x14ac:dyDescent="0.2">
      <c r="AC3696" s="20"/>
      <c r="AE3696" s="22"/>
      <c r="AF3696" s="22"/>
    </row>
    <row r="3697" spans="29:32" x14ac:dyDescent="0.2">
      <c r="AC3697" s="20"/>
      <c r="AE3697" s="22"/>
      <c r="AF3697" s="22"/>
    </row>
    <row r="3698" spans="29:32" x14ac:dyDescent="0.2">
      <c r="AC3698" s="20"/>
      <c r="AE3698" s="22"/>
      <c r="AF3698" s="22"/>
    </row>
    <row r="3699" spans="29:32" x14ac:dyDescent="0.2">
      <c r="AC3699" s="20"/>
      <c r="AE3699" s="22"/>
      <c r="AF3699" s="22"/>
    </row>
    <row r="3700" spans="29:32" x14ac:dyDescent="0.2">
      <c r="AC3700" s="20"/>
      <c r="AE3700" s="22"/>
      <c r="AF3700" s="22"/>
    </row>
    <row r="3701" spans="29:32" x14ac:dyDescent="0.2">
      <c r="AC3701" s="20"/>
      <c r="AE3701" s="22"/>
      <c r="AF3701" s="22"/>
    </row>
    <row r="3702" spans="29:32" x14ac:dyDescent="0.2">
      <c r="AC3702" s="20"/>
      <c r="AE3702" s="22"/>
      <c r="AF3702" s="22"/>
    </row>
    <row r="3703" spans="29:32" x14ac:dyDescent="0.2">
      <c r="AC3703" s="20"/>
      <c r="AE3703" s="22"/>
      <c r="AF3703" s="22"/>
    </row>
    <row r="3704" spans="29:32" x14ac:dyDescent="0.2">
      <c r="AC3704" s="20"/>
      <c r="AE3704" s="22"/>
      <c r="AF3704" s="22"/>
    </row>
    <row r="3705" spans="29:32" x14ac:dyDescent="0.2">
      <c r="AC3705" s="20"/>
      <c r="AE3705" s="22"/>
      <c r="AF3705" s="22"/>
    </row>
    <row r="3706" spans="29:32" x14ac:dyDescent="0.2">
      <c r="AC3706" s="20"/>
      <c r="AE3706" s="22"/>
      <c r="AF3706" s="22"/>
    </row>
    <row r="3707" spans="29:32" x14ac:dyDescent="0.2">
      <c r="AC3707" s="20"/>
      <c r="AE3707" s="22"/>
      <c r="AF3707" s="22"/>
    </row>
    <row r="3708" spans="29:32" x14ac:dyDescent="0.2">
      <c r="AC3708" s="20"/>
      <c r="AE3708" s="22"/>
      <c r="AF3708" s="22"/>
    </row>
    <row r="3709" spans="29:32" x14ac:dyDescent="0.2">
      <c r="AC3709" s="20"/>
      <c r="AE3709" s="22"/>
      <c r="AF3709" s="22"/>
    </row>
    <row r="3710" spans="29:32" x14ac:dyDescent="0.2">
      <c r="AC3710" s="20"/>
      <c r="AE3710" s="22"/>
      <c r="AF3710" s="22"/>
    </row>
    <row r="3711" spans="29:32" x14ac:dyDescent="0.2">
      <c r="AC3711" s="20"/>
      <c r="AE3711" s="22"/>
      <c r="AF3711" s="22"/>
    </row>
    <row r="3712" spans="29:32" x14ac:dyDescent="0.2">
      <c r="AC3712" s="20"/>
      <c r="AE3712" s="22"/>
      <c r="AF3712" s="22"/>
    </row>
    <row r="3713" spans="29:32" x14ac:dyDescent="0.2">
      <c r="AC3713" s="20"/>
      <c r="AE3713" s="22"/>
      <c r="AF3713" s="22"/>
    </row>
    <row r="3714" spans="29:32" x14ac:dyDescent="0.2">
      <c r="AC3714" s="20"/>
      <c r="AE3714" s="22"/>
      <c r="AF3714" s="22"/>
    </row>
    <row r="3715" spans="29:32" x14ac:dyDescent="0.2">
      <c r="AC3715" s="20"/>
      <c r="AE3715" s="22"/>
      <c r="AF3715" s="22"/>
    </row>
    <row r="3716" spans="29:32" x14ac:dyDescent="0.2">
      <c r="AC3716" s="20"/>
      <c r="AE3716" s="22"/>
      <c r="AF3716" s="22"/>
    </row>
    <row r="3717" spans="29:32" x14ac:dyDescent="0.2">
      <c r="AC3717" s="20"/>
      <c r="AE3717" s="22"/>
      <c r="AF3717" s="22"/>
    </row>
    <row r="3718" spans="29:32" x14ac:dyDescent="0.2">
      <c r="AC3718" s="20"/>
      <c r="AE3718" s="22"/>
      <c r="AF3718" s="22"/>
    </row>
    <row r="3719" spans="29:32" x14ac:dyDescent="0.2">
      <c r="AC3719" s="20"/>
      <c r="AE3719" s="22"/>
      <c r="AF3719" s="22"/>
    </row>
    <row r="3720" spans="29:32" x14ac:dyDescent="0.2">
      <c r="AC3720" s="20"/>
      <c r="AE3720" s="22"/>
      <c r="AF3720" s="22"/>
    </row>
    <row r="3721" spans="29:32" x14ac:dyDescent="0.2">
      <c r="AC3721" s="20"/>
      <c r="AE3721" s="22"/>
      <c r="AF3721" s="22"/>
    </row>
    <row r="3722" spans="29:32" x14ac:dyDescent="0.2">
      <c r="AC3722" s="20"/>
      <c r="AE3722" s="22"/>
      <c r="AF3722" s="22"/>
    </row>
    <row r="3723" spans="29:32" x14ac:dyDescent="0.2">
      <c r="AC3723" s="20"/>
      <c r="AE3723" s="22"/>
      <c r="AF3723" s="22"/>
    </row>
    <row r="3724" spans="29:32" x14ac:dyDescent="0.2">
      <c r="AC3724" s="20"/>
      <c r="AE3724" s="22"/>
      <c r="AF3724" s="22"/>
    </row>
    <row r="3725" spans="29:32" x14ac:dyDescent="0.2">
      <c r="AC3725" s="20"/>
      <c r="AE3725" s="22"/>
      <c r="AF3725" s="22"/>
    </row>
    <row r="3726" spans="29:32" x14ac:dyDescent="0.2">
      <c r="AC3726" s="20"/>
      <c r="AE3726" s="22"/>
      <c r="AF3726" s="22"/>
    </row>
    <row r="3727" spans="29:32" x14ac:dyDescent="0.2">
      <c r="AC3727" s="20"/>
      <c r="AE3727" s="22"/>
      <c r="AF3727" s="22"/>
    </row>
    <row r="3728" spans="29:32" x14ac:dyDescent="0.2">
      <c r="AC3728" s="20"/>
      <c r="AE3728" s="22"/>
      <c r="AF3728" s="22"/>
    </row>
    <row r="3729" spans="29:32" x14ac:dyDescent="0.2">
      <c r="AC3729" s="20"/>
      <c r="AE3729" s="22"/>
      <c r="AF3729" s="22"/>
    </row>
    <row r="3730" spans="29:32" x14ac:dyDescent="0.2">
      <c r="AC3730" s="20"/>
      <c r="AE3730" s="22"/>
      <c r="AF3730" s="22"/>
    </row>
    <row r="3731" spans="29:32" x14ac:dyDescent="0.2">
      <c r="AC3731" s="20"/>
      <c r="AE3731" s="22"/>
      <c r="AF3731" s="22"/>
    </row>
    <row r="3732" spans="29:32" x14ac:dyDescent="0.2">
      <c r="AC3732" s="20"/>
      <c r="AE3732" s="22"/>
      <c r="AF3732" s="22"/>
    </row>
    <row r="3733" spans="29:32" x14ac:dyDescent="0.2">
      <c r="AC3733" s="20"/>
      <c r="AE3733" s="22"/>
      <c r="AF3733" s="22"/>
    </row>
    <row r="3734" spans="29:32" x14ac:dyDescent="0.2">
      <c r="AC3734" s="20"/>
      <c r="AE3734" s="22"/>
      <c r="AF3734" s="22"/>
    </row>
    <row r="3735" spans="29:32" x14ac:dyDescent="0.2">
      <c r="AC3735" s="20"/>
      <c r="AE3735" s="22"/>
      <c r="AF3735" s="22"/>
    </row>
    <row r="3736" spans="29:32" x14ac:dyDescent="0.2">
      <c r="AC3736" s="20"/>
      <c r="AE3736" s="22"/>
      <c r="AF3736" s="22"/>
    </row>
    <row r="3737" spans="29:32" x14ac:dyDescent="0.2">
      <c r="AC3737" s="20"/>
      <c r="AE3737" s="22"/>
      <c r="AF3737" s="22"/>
    </row>
    <row r="3738" spans="29:32" x14ac:dyDescent="0.2">
      <c r="AC3738" s="20"/>
      <c r="AE3738" s="22"/>
      <c r="AF3738" s="22"/>
    </row>
    <row r="3739" spans="29:32" x14ac:dyDescent="0.2">
      <c r="AC3739" s="20"/>
      <c r="AE3739" s="22"/>
      <c r="AF3739" s="22"/>
    </row>
    <row r="3740" spans="29:32" x14ac:dyDescent="0.2">
      <c r="AC3740" s="20"/>
      <c r="AE3740" s="22"/>
      <c r="AF3740" s="22"/>
    </row>
    <row r="3741" spans="29:32" x14ac:dyDescent="0.2">
      <c r="AC3741" s="20"/>
      <c r="AE3741" s="22"/>
      <c r="AF3741" s="22"/>
    </row>
    <row r="3742" spans="29:32" x14ac:dyDescent="0.2">
      <c r="AC3742" s="20"/>
      <c r="AE3742" s="22"/>
      <c r="AF3742" s="22"/>
    </row>
    <row r="3743" spans="29:32" x14ac:dyDescent="0.2">
      <c r="AC3743" s="20"/>
      <c r="AE3743" s="22"/>
      <c r="AF3743" s="22"/>
    </row>
    <row r="3744" spans="29:32" x14ac:dyDescent="0.2">
      <c r="AC3744" s="20"/>
      <c r="AE3744" s="22"/>
      <c r="AF3744" s="22"/>
    </row>
    <row r="3745" spans="29:32" x14ac:dyDescent="0.2">
      <c r="AC3745" s="20"/>
      <c r="AE3745" s="22"/>
      <c r="AF3745" s="22"/>
    </row>
    <row r="3746" spans="29:32" x14ac:dyDescent="0.2">
      <c r="AC3746" s="20"/>
      <c r="AE3746" s="22"/>
      <c r="AF3746" s="22"/>
    </row>
    <row r="3747" spans="29:32" x14ac:dyDescent="0.2">
      <c r="AC3747" s="20"/>
      <c r="AE3747" s="22"/>
      <c r="AF3747" s="22"/>
    </row>
    <row r="3748" spans="29:32" x14ac:dyDescent="0.2">
      <c r="AC3748" s="20"/>
      <c r="AE3748" s="22"/>
      <c r="AF3748" s="22"/>
    </row>
    <row r="3749" spans="29:32" x14ac:dyDescent="0.2">
      <c r="AC3749" s="20"/>
      <c r="AE3749" s="22"/>
      <c r="AF3749" s="22"/>
    </row>
    <row r="3750" spans="29:32" x14ac:dyDescent="0.2">
      <c r="AC3750" s="20"/>
      <c r="AE3750" s="22"/>
      <c r="AF3750" s="22"/>
    </row>
    <row r="3751" spans="29:32" x14ac:dyDescent="0.2">
      <c r="AC3751" s="20"/>
      <c r="AE3751" s="22"/>
      <c r="AF3751" s="22"/>
    </row>
    <row r="3752" spans="29:32" x14ac:dyDescent="0.2">
      <c r="AC3752" s="20"/>
      <c r="AE3752" s="22"/>
      <c r="AF3752" s="22"/>
    </row>
    <row r="3753" spans="29:32" x14ac:dyDescent="0.2">
      <c r="AC3753" s="20"/>
      <c r="AE3753" s="22"/>
      <c r="AF3753" s="22"/>
    </row>
    <row r="3754" spans="29:32" x14ac:dyDescent="0.2">
      <c r="AC3754" s="20"/>
      <c r="AE3754" s="22"/>
      <c r="AF3754" s="22"/>
    </row>
    <row r="3755" spans="29:32" x14ac:dyDescent="0.2">
      <c r="AC3755" s="20"/>
      <c r="AE3755" s="22"/>
      <c r="AF3755" s="22"/>
    </row>
    <row r="3756" spans="29:32" x14ac:dyDescent="0.2">
      <c r="AC3756" s="20"/>
      <c r="AE3756" s="22"/>
      <c r="AF3756" s="22"/>
    </row>
    <row r="3757" spans="29:32" x14ac:dyDescent="0.2">
      <c r="AC3757" s="20"/>
      <c r="AE3757" s="22"/>
      <c r="AF3757" s="22"/>
    </row>
    <row r="3758" spans="29:32" x14ac:dyDescent="0.2">
      <c r="AC3758" s="20"/>
      <c r="AE3758" s="22"/>
      <c r="AF3758" s="22"/>
    </row>
    <row r="3759" spans="29:32" x14ac:dyDescent="0.2">
      <c r="AC3759" s="20"/>
      <c r="AE3759" s="22"/>
      <c r="AF3759" s="22"/>
    </row>
    <row r="3760" spans="29:32" x14ac:dyDescent="0.2">
      <c r="AC3760" s="20"/>
      <c r="AE3760" s="22"/>
      <c r="AF3760" s="22"/>
    </row>
    <row r="3761" spans="29:32" x14ac:dyDescent="0.2">
      <c r="AC3761" s="20"/>
      <c r="AE3761" s="22"/>
      <c r="AF3761" s="22"/>
    </row>
    <row r="3762" spans="29:32" x14ac:dyDescent="0.2">
      <c r="AC3762" s="20"/>
      <c r="AE3762" s="22"/>
      <c r="AF3762" s="22"/>
    </row>
    <row r="3763" spans="29:32" x14ac:dyDescent="0.2">
      <c r="AC3763" s="20"/>
      <c r="AE3763" s="22"/>
      <c r="AF3763" s="22"/>
    </row>
    <row r="3764" spans="29:32" x14ac:dyDescent="0.2">
      <c r="AC3764" s="20"/>
      <c r="AE3764" s="22"/>
      <c r="AF3764" s="22"/>
    </row>
    <row r="3765" spans="29:32" x14ac:dyDescent="0.2">
      <c r="AC3765" s="20"/>
      <c r="AE3765" s="22"/>
      <c r="AF3765" s="22"/>
    </row>
    <row r="3766" spans="29:32" x14ac:dyDescent="0.2">
      <c r="AC3766" s="20"/>
      <c r="AE3766" s="22"/>
      <c r="AF3766" s="22"/>
    </row>
    <row r="3767" spans="29:32" x14ac:dyDescent="0.2">
      <c r="AC3767" s="20"/>
      <c r="AE3767" s="22"/>
      <c r="AF3767" s="22"/>
    </row>
    <row r="3768" spans="29:32" x14ac:dyDescent="0.2">
      <c r="AC3768" s="20"/>
      <c r="AE3768" s="22"/>
      <c r="AF3768" s="22"/>
    </row>
    <row r="3769" spans="29:32" x14ac:dyDescent="0.2">
      <c r="AC3769" s="20"/>
      <c r="AE3769" s="22"/>
      <c r="AF3769" s="22"/>
    </row>
    <row r="3770" spans="29:32" x14ac:dyDescent="0.2">
      <c r="AC3770" s="20"/>
      <c r="AE3770" s="22"/>
      <c r="AF3770" s="22"/>
    </row>
    <row r="3771" spans="29:32" x14ac:dyDescent="0.2">
      <c r="AC3771" s="20"/>
      <c r="AE3771" s="22"/>
      <c r="AF3771" s="22"/>
    </row>
    <row r="3772" spans="29:32" x14ac:dyDescent="0.2">
      <c r="AC3772" s="20"/>
      <c r="AE3772" s="22"/>
      <c r="AF3772" s="22"/>
    </row>
    <row r="3773" spans="29:32" x14ac:dyDescent="0.2">
      <c r="AC3773" s="20"/>
      <c r="AE3773" s="22"/>
      <c r="AF3773" s="22"/>
    </row>
    <row r="3774" spans="29:32" x14ac:dyDescent="0.2">
      <c r="AC3774" s="20"/>
      <c r="AE3774" s="22"/>
      <c r="AF3774" s="22"/>
    </row>
    <row r="3775" spans="29:32" x14ac:dyDescent="0.2">
      <c r="AC3775" s="20"/>
      <c r="AE3775" s="22"/>
      <c r="AF3775" s="22"/>
    </row>
    <row r="3776" spans="29:32" x14ac:dyDescent="0.2">
      <c r="AC3776" s="20"/>
      <c r="AE3776" s="22"/>
      <c r="AF3776" s="22"/>
    </row>
    <row r="3777" spans="29:32" x14ac:dyDescent="0.2">
      <c r="AC3777" s="20"/>
      <c r="AE3777" s="22"/>
      <c r="AF3777" s="22"/>
    </row>
    <row r="3778" spans="29:32" x14ac:dyDescent="0.2">
      <c r="AC3778" s="20"/>
      <c r="AE3778" s="22"/>
      <c r="AF3778" s="22"/>
    </row>
    <row r="3779" spans="29:32" x14ac:dyDescent="0.2">
      <c r="AC3779" s="20"/>
      <c r="AE3779" s="22"/>
      <c r="AF3779" s="22"/>
    </row>
    <row r="3780" spans="29:32" x14ac:dyDescent="0.2">
      <c r="AC3780" s="20"/>
      <c r="AE3780" s="22"/>
      <c r="AF3780" s="22"/>
    </row>
    <row r="3781" spans="29:32" x14ac:dyDescent="0.2">
      <c r="AC3781" s="20"/>
      <c r="AE3781" s="22"/>
      <c r="AF3781" s="22"/>
    </row>
    <row r="3782" spans="29:32" x14ac:dyDescent="0.2">
      <c r="AC3782" s="20"/>
      <c r="AE3782" s="22"/>
      <c r="AF3782" s="22"/>
    </row>
    <row r="3783" spans="29:32" x14ac:dyDescent="0.2">
      <c r="AC3783" s="20"/>
      <c r="AE3783" s="22"/>
      <c r="AF3783" s="22"/>
    </row>
    <row r="3784" spans="29:32" x14ac:dyDescent="0.2">
      <c r="AC3784" s="20"/>
      <c r="AE3784" s="22"/>
      <c r="AF3784" s="22"/>
    </row>
    <row r="3785" spans="29:32" x14ac:dyDescent="0.2">
      <c r="AC3785" s="20"/>
      <c r="AE3785" s="22"/>
      <c r="AF3785" s="22"/>
    </row>
    <row r="3786" spans="29:32" x14ac:dyDescent="0.2">
      <c r="AC3786" s="20"/>
      <c r="AE3786" s="22"/>
      <c r="AF3786" s="22"/>
    </row>
    <row r="3787" spans="29:32" x14ac:dyDescent="0.2">
      <c r="AC3787" s="20"/>
      <c r="AE3787" s="22"/>
      <c r="AF3787" s="22"/>
    </row>
    <row r="3788" spans="29:32" x14ac:dyDescent="0.2">
      <c r="AC3788" s="20"/>
      <c r="AE3788" s="22"/>
      <c r="AF3788" s="22"/>
    </row>
    <row r="3789" spans="29:32" x14ac:dyDescent="0.2">
      <c r="AC3789" s="20"/>
      <c r="AE3789" s="22"/>
      <c r="AF3789" s="22"/>
    </row>
    <row r="3790" spans="29:32" x14ac:dyDescent="0.2">
      <c r="AC3790" s="20"/>
      <c r="AE3790" s="22"/>
      <c r="AF3790" s="22"/>
    </row>
    <row r="3791" spans="29:32" x14ac:dyDescent="0.2">
      <c r="AC3791" s="20"/>
      <c r="AE3791" s="22"/>
      <c r="AF3791" s="22"/>
    </row>
    <row r="3792" spans="29:32" x14ac:dyDescent="0.2">
      <c r="AC3792" s="20"/>
      <c r="AE3792" s="22"/>
      <c r="AF3792" s="22"/>
    </row>
    <row r="3793" spans="29:32" x14ac:dyDescent="0.2">
      <c r="AC3793" s="20"/>
      <c r="AE3793" s="22"/>
      <c r="AF3793" s="22"/>
    </row>
    <row r="3794" spans="29:32" x14ac:dyDescent="0.2">
      <c r="AC3794" s="20"/>
      <c r="AE3794" s="22"/>
      <c r="AF3794" s="22"/>
    </row>
    <row r="3795" spans="29:32" x14ac:dyDescent="0.2">
      <c r="AC3795" s="20"/>
      <c r="AE3795" s="22"/>
      <c r="AF3795" s="22"/>
    </row>
    <row r="3796" spans="29:32" x14ac:dyDescent="0.2">
      <c r="AC3796" s="20"/>
      <c r="AE3796" s="22"/>
      <c r="AF3796" s="22"/>
    </row>
    <row r="3797" spans="29:32" x14ac:dyDescent="0.2">
      <c r="AC3797" s="20"/>
      <c r="AE3797" s="22"/>
      <c r="AF3797" s="22"/>
    </row>
    <row r="3798" spans="29:32" x14ac:dyDescent="0.2">
      <c r="AC3798" s="20"/>
      <c r="AE3798" s="22"/>
      <c r="AF3798" s="22"/>
    </row>
    <row r="3799" spans="29:32" x14ac:dyDescent="0.2">
      <c r="AC3799" s="20"/>
      <c r="AE3799" s="22"/>
      <c r="AF3799" s="22"/>
    </row>
    <row r="3800" spans="29:32" x14ac:dyDescent="0.2">
      <c r="AC3800" s="20"/>
      <c r="AE3800" s="22"/>
      <c r="AF3800" s="22"/>
    </row>
    <row r="3801" spans="29:32" x14ac:dyDescent="0.2">
      <c r="AC3801" s="20"/>
      <c r="AE3801" s="22"/>
      <c r="AF3801" s="22"/>
    </row>
    <row r="3802" spans="29:32" x14ac:dyDescent="0.2">
      <c r="AC3802" s="20"/>
      <c r="AE3802" s="22"/>
      <c r="AF3802" s="22"/>
    </row>
    <row r="3803" spans="29:32" x14ac:dyDescent="0.2">
      <c r="AC3803" s="20"/>
      <c r="AE3803" s="22"/>
      <c r="AF3803" s="22"/>
    </row>
    <row r="3804" spans="29:32" x14ac:dyDescent="0.2">
      <c r="AC3804" s="20"/>
      <c r="AE3804" s="22"/>
      <c r="AF3804" s="22"/>
    </row>
    <row r="3805" spans="29:32" x14ac:dyDescent="0.2">
      <c r="AC3805" s="20"/>
      <c r="AE3805" s="22"/>
      <c r="AF3805" s="22"/>
    </row>
    <row r="3806" spans="29:32" x14ac:dyDescent="0.2">
      <c r="AC3806" s="20"/>
      <c r="AE3806" s="22"/>
      <c r="AF3806" s="22"/>
    </row>
    <row r="3807" spans="29:32" x14ac:dyDescent="0.2">
      <c r="AC3807" s="20"/>
      <c r="AE3807" s="22"/>
      <c r="AF3807" s="22"/>
    </row>
    <row r="3808" spans="29:32" x14ac:dyDescent="0.2">
      <c r="AC3808" s="20"/>
      <c r="AE3808" s="22"/>
      <c r="AF3808" s="22"/>
    </row>
    <row r="3809" spans="29:32" x14ac:dyDescent="0.2">
      <c r="AC3809" s="20"/>
      <c r="AE3809" s="22"/>
      <c r="AF3809" s="22"/>
    </row>
    <row r="3810" spans="29:32" x14ac:dyDescent="0.2">
      <c r="AC3810" s="20"/>
      <c r="AE3810" s="22"/>
      <c r="AF3810" s="22"/>
    </row>
    <row r="3811" spans="29:32" x14ac:dyDescent="0.2">
      <c r="AC3811" s="20"/>
      <c r="AE3811" s="22"/>
      <c r="AF3811" s="22"/>
    </row>
    <row r="3812" spans="29:32" x14ac:dyDescent="0.2">
      <c r="AC3812" s="20"/>
      <c r="AE3812" s="22"/>
      <c r="AF3812" s="22"/>
    </row>
    <row r="3813" spans="29:32" x14ac:dyDescent="0.2">
      <c r="AC3813" s="20"/>
      <c r="AE3813" s="22"/>
      <c r="AF3813" s="22"/>
    </row>
    <row r="3814" spans="29:32" x14ac:dyDescent="0.2">
      <c r="AC3814" s="20"/>
      <c r="AE3814" s="22"/>
      <c r="AF3814" s="22"/>
    </row>
    <row r="3815" spans="29:32" x14ac:dyDescent="0.2">
      <c r="AC3815" s="20"/>
      <c r="AE3815" s="22"/>
      <c r="AF3815" s="22"/>
    </row>
    <row r="3816" spans="29:32" x14ac:dyDescent="0.2">
      <c r="AC3816" s="20"/>
      <c r="AE3816" s="22"/>
      <c r="AF3816" s="22"/>
    </row>
    <row r="3817" spans="29:32" x14ac:dyDescent="0.2">
      <c r="AC3817" s="20"/>
      <c r="AE3817" s="22"/>
      <c r="AF3817" s="22"/>
    </row>
    <row r="3818" spans="29:32" x14ac:dyDescent="0.2">
      <c r="AC3818" s="20"/>
      <c r="AE3818" s="22"/>
      <c r="AF3818" s="22"/>
    </row>
    <row r="3819" spans="29:32" x14ac:dyDescent="0.2">
      <c r="AC3819" s="20"/>
      <c r="AE3819" s="22"/>
      <c r="AF3819" s="22"/>
    </row>
    <row r="3820" spans="29:32" x14ac:dyDescent="0.2">
      <c r="AC3820" s="20"/>
      <c r="AE3820" s="22"/>
      <c r="AF3820" s="22"/>
    </row>
    <row r="3821" spans="29:32" x14ac:dyDescent="0.2">
      <c r="AC3821" s="20"/>
      <c r="AE3821" s="22"/>
      <c r="AF3821" s="22"/>
    </row>
    <row r="3822" spans="29:32" x14ac:dyDescent="0.2">
      <c r="AC3822" s="20"/>
      <c r="AE3822" s="22"/>
      <c r="AF3822" s="22"/>
    </row>
    <row r="3823" spans="29:32" x14ac:dyDescent="0.2">
      <c r="AC3823" s="20"/>
      <c r="AE3823" s="22"/>
      <c r="AF3823" s="22"/>
    </row>
    <row r="3824" spans="29:32" x14ac:dyDescent="0.2">
      <c r="AC3824" s="20"/>
      <c r="AE3824" s="22"/>
      <c r="AF3824" s="22"/>
    </row>
    <row r="3825" spans="29:32" x14ac:dyDescent="0.2">
      <c r="AC3825" s="20"/>
      <c r="AE3825" s="22"/>
      <c r="AF3825" s="22"/>
    </row>
    <row r="3826" spans="29:32" x14ac:dyDescent="0.2">
      <c r="AC3826" s="20"/>
      <c r="AE3826" s="22"/>
      <c r="AF3826" s="22"/>
    </row>
    <row r="3827" spans="29:32" x14ac:dyDescent="0.2">
      <c r="AC3827" s="20"/>
      <c r="AE3827" s="22"/>
      <c r="AF3827" s="22"/>
    </row>
    <row r="3828" spans="29:32" x14ac:dyDescent="0.2">
      <c r="AC3828" s="20"/>
      <c r="AE3828" s="22"/>
      <c r="AF3828" s="22"/>
    </row>
    <row r="3829" spans="29:32" x14ac:dyDescent="0.2">
      <c r="AC3829" s="20"/>
      <c r="AE3829" s="22"/>
      <c r="AF3829" s="22"/>
    </row>
    <row r="3830" spans="29:32" x14ac:dyDescent="0.2">
      <c r="AC3830" s="20"/>
      <c r="AE3830" s="22"/>
      <c r="AF3830" s="22"/>
    </row>
    <row r="3831" spans="29:32" x14ac:dyDescent="0.2">
      <c r="AC3831" s="20"/>
      <c r="AE3831" s="22"/>
      <c r="AF3831" s="22"/>
    </row>
    <row r="3832" spans="29:32" x14ac:dyDescent="0.2">
      <c r="AC3832" s="20"/>
      <c r="AE3832" s="22"/>
      <c r="AF3832" s="22"/>
    </row>
    <row r="3833" spans="29:32" x14ac:dyDescent="0.2">
      <c r="AC3833" s="20"/>
      <c r="AE3833" s="22"/>
      <c r="AF3833" s="22"/>
    </row>
    <row r="3834" spans="29:32" x14ac:dyDescent="0.2">
      <c r="AC3834" s="20"/>
      <c r="AE3834" s="22"/>
      <c r="AF3834" s="22"/>
    </row>
    <row r="3835" spans="29:32" x14ac:dyDescent="0.2">
      <c r="AC3835" s="20"/>
      <c r="AE3835" s="22"/>
      <c r="AF3835" s="22"/>
    </row>
    <row r="3836" spans="29:32" x14ac:dyDescent="0.2">
      <c r="AC3836" s="20"/>
      <c r="AE3836" s="22"/>
      <c r="AF3836" s="22"/>
    </row>
    <row r="3837" spans="29:32" x14ac:dyDescent="0.2">
      <c r="AC3837" s="20"/>
      <c r="AE3837" s="22"/>
      <c r="AF3837" s="22"/>
    </row>
    <row r="3838" spans="29:32" x14ac:dyDescent="0.2">
      <c r="AC3838" s="20"/>
      <c r="AE3838" s="22"/>
      <c r="AF3838" s="22"/>
    </row>
    <row r="3839" spans="29:32" x14ac:dyDescent="0.2">
      <c r="AC3839" s="20"/>
      <c r="AE3839" s="22"/>
      <c r="AF3839" s="22"/>
    </row>
    <row r="3840" spans="29:32" x14ac:dyDescent="0.2">
      <c r="AC3840" s="20"/>
      <c r="AE3840" s="22"/>
      <c r="AF3840" s="22"/>
    </row>
    <row r="3841" spans="29:32" x14ac:dyDescent="0.2">
      <c r="AC3841" s="20"/>
      <c r="AE3841" s="22"/>
      <c r="AF3841" s="22"/>
    </row>
    <row r="3842" spans="29:32" x14ac:dyDescent="0.2">
      <c r="AC3842" s="20"/>
      <c r="AE3842" s="22"/>
      <c r="AF3842" s="22"/>
    </row>
    <row r="3843" spans="29:32" x14ac:dyDescent="0.2">
      <c r="AC3843" s="20"/>
      <c r="AE3843" s="22"/>
      <c r="AF3843" s="22"/>
    </row>
    <row r="3844" spans="29:32" x14ac:dyDescent="0.2">
      <c r="AC3844" s="20"/>
      <c r="AE3844" s="22"/>
      <c r="AF3844" s="22"/>
    </row>
    <row r="3845" spans="29:32" x14ac:dyDescent="0.2">
      <c r="AC3845" s="20"/>
      <c r="AE3845" s="22"/>
      <c r="AF3845" s="22"/>
    </row>
    <row r="3846" spans="29:32" x14ac:dyDescent="0.2">
      <c r="AC3846" s="20"/>
      <c r="AE3846" s="22"/>
      <c r="AF3846" s="22"/>
    </row>
    <row r="3847" spans="29:32" x14ac:dyDescent="0.2">
      <c r="AC3847" s="20"/>
      <c r="AE3847" s="22"/>
      <c r="AF3847" s="22"/>
    </row>
    <row r="3848" spans="29:32" x14ac:dyDescent="0.2">
      <c r="AC3848" s="20"/>
      <c r="AE3848" s="22"/>
      <c r="AF3848" s="22"/>
    </row>
    <row r="3849" spans="29:32" x14ac:dyDescent="0.2">
      <c r="AC3849" s="20"/>
      <c r="AE3849" s="22"/>
      <c r="AF3849" s="22"/>
    </row>
    <row r="3850" spans="29:32" x14ac:dyDescent="0.2">
      <c r="AC3850" s="20"/>
      <c r="AE3850" s="22"/>
      <c r="AF3850" s="22"/>
    </row>
    <row r="3851" spans="29:32" x14ac:dyDescent="0.2">
      <c r="AC3851" s="20"/>
      <c r="AE3851" s="22"/>
      <c r="AF3851" s="22"/>
    </row>
    <row r="3852" spans="29:32" x14ac:dyDescent="0.2">
      <c r="AC3852" s="20"/>
      <c r="AE3852" s="22"/>
      <c r="AF3852" s="22"/>
    </row>
    <row r="3853" spans="29:32" x14ac:dyDescent="0.2">
      <c r="AC3853" s="20"/>
      <c r="AE3853" s="22"/>
      <c r="AF3853" s="22"/>
    </row>
    <row r="3854" spans="29:32" x14ac:dyDescent="0.2">
      <c r="AC3854" s="20"/>
      <c r="AE3854" s="22"/>
      <c r="AF3854" s="22"/>
    </row>
    <row r="3855" spans="29:32" x14ac:dyDescent="0.2">
      <c r="AC3855" s="20"/>
      <c r="AE3855" s="22"/>
      <c r="AF3855" s="22"/>
    </row>
    <row r="3856" spans="29:32" x14ac:dyDescent="0.2">
      <c r="AC3856" s="20"/>
      <c r="AE3856" s="22"/>
      <c r="AF3856" s="22"/>
    </row>
    <row r="3857" spans="29:32" x14ac:dyDescent="0.2">
      <c r="AC3857" s="20"/>
      <c r="AE3857" s="22"/>
      <c r="AF3857" s="22"/>
    </row>
    <row r="3858" spans="29:32" x14ac:dyDescent="0.2">
      <c r="AC3858" s="20"/>
      <c r="AE3858" s="22"/>
      <c r="AF3858" s="22"/>
    </row>
    <row r="3859" spans="29:32" x14ac:dyDescent="0.2">
      <c r="AC3859" s="20"/>
      <c r="AE3859" s="22"/>
      <c r="AF3859" s="22"/>
    </row>
    <row r="3860" spans="29:32" x14ac:dyDescent="0.2">
      <c r="AC3860" s="20"/>
      <c r="AE3860" s="22"/>
      <c r="AF3860" s="22"/>
    </row>
    <row r="3861" spans="29:32" x14ac:dyDescent="0.2">
      <c r="AC3861" s="20"/>
      <c r="AE3861" s="22"/>
      <c r="AF3861" s="22"/>
    </row>
    <row r="3862" spans="29:32" x14ac:dyDescent="0.2">
      <c r="AC3862" s="20"/>
      <c r="AE3862" s="22"/>
      <c r="AF3862" s="22"/>
    </row>
    <row r="3863" spans="29:32" x14ac:dyDescent="0.2">
      <c r="AC3863" s="20"/>
      <c r="AE3863" s="22"/>
      <c r="AF3863" s="22"/>
    </row>
    <row r="3864" spans="29:32" x14ac:dyDescent="0.2">
      <c r="AC3864" s="20"/>
      <c r="AE3864" s="22"/>
      <c r="AF3864" s="22"/>
    </row>
    <row r="3865" spans="29:32" x14ac:dyDescent="0.2">
      <c r="AC3865" s="20"/>
      <c r="AE3865" s="22"/>
      <c r="AF3865" s="22"/>
    </row>
    <row r="3866" spans="29:32" x14ac:dyDescent="0.2">
      <c r="AC3866" s="20"/>
      <c r="AE3866" s="22"/>
      <c r="AF3866" s="22"/>
    </row>
    <row r="3867" spans="29:32" x14ac:dyDescent="0.2">
      <c r="AC3867" s="20"/>
      <c r="AE3867" s="22"/>
      <c r="AF3867" s="22"/>
    </row>
    <row r="3868" spans="29:32" x14ac:dyDescent="0.2">
      <c r="AC3868" s="20"/>
      <c r="AE3868" s="22"/>
      <c r="AF3868" s="22"/>
    </row>
    <row r="3869" spans="29:32" x14ac:dyDescent="0.2">
      <c r="AC3869" s="20"/>
      <c r="AE3869" s="22"/>
      <c r="AF3869" s="22"/>
    </row>
    <row r="3870" spans="29:32" x14ac:dyDescent="0.2">
      <c r="AC3870" s="20"/>
      <c r="AE3870" s="22"/>
      <c r="AF3870" s="22"/>
    </row>
    <row r="3871" spans="29:32" x14ac:dyDescent="0.2">
      <c r="AC3871" s="20"/>
      <c r="AE3871" s="22"/>
      <c r="AF3871" s="22"/>
    </row>
    <row r="3872" spans="29:32" x14ac:dyDescent="0.2">
      <c r="AC3872" s="20"/>
      <c r="AE3872" s="22"/>
      <c r="AF3872" s="22"/>
    </row>
    <row r="3873" spans="29:32" x14ac:dyDescent="0.2">
      <c r="AC3873" s="20"/>
      <c r="AE3873" s="22"/>
      <c r="AF3873" s="22"/>
    </row>
    <row r="3874" spans="29:32" x14ac:dyDescent="0.2">
      <c r="AC3874" s="20"/>
      <c r="AE3874" s="22"/>
      <c r="AF3874" s="22"/>
    </row>
    <row r="3875" spans="29:32" x14ac:dyDescent="0.2">
      <c r="AC3875" s="20"/>
      <c r="AE3875" s="22"/>
      <c r="AF3875" s="22"/>
    </row>
    <row r="3876" spans="29:32" x14ac:dyDescent="0.2">
      <c r="AC3876" s="20"/>
      <c r="AE3876" s="22"/>
      <c r="AF3876" s="22"/>
    </row>
    <row r="3877" spans="29:32" x14ac:dyDescent="0.2">
      <c r="AC3877" s="20"/>
      <c r="AE3877" s="22"/>
      <c r="AF3877" s="22"/>
    </row>
    <row r="3878" spans="29:32" x14ac:dyDescent="0.2">
      <c r="AC3878" s="20"/>
      <c r="AE3878" s="22"/>
      <c r="AF3878" s="22"/>
    </row>
    <row r="3879" spans="29:32" x14ac:dyDescent="0.2">
      <c r="AC3879" s="20"/>
      <c r="AE3879" s="22"/>
      <c r="AF3879" s="22"/>
    </row>
    <row r="3880" spans="29:32" x14ac:dyDescent="0.2">
      <c r="AC3880" s="20"/>
      <c r="AE3880" s="22"/>
      <c r="AF3880" s="22"/>
    </row>
    <row r="3881" spans="29:32" x14ac:dyDescent="0.2">
      <c r="AC3881" s="20"/>
      <c r="AE3881" s="22"/>
      <c r="AF3881" s="22"/>
    </row>
    <row r="3882" spans="29:32" x14ac:dyDescent="0.2">
      <c r="AC3882" s="20"/>
      <c r="AE3882" s="22"/>
      <c r="AF3882" s="22"/>
    </row>
    <row r="3883" spans="29:32" x14ac:dyDescent="0.2">
      <c r="AC3883" s="20"/>
      <c r="AE3883" s="22"/>
      <c r="AF3883" s="22"/>
    </row>
    <row r="3884" spans="29:32" x14ac:dyDescent="0.2">
      <c r="AC3884" s="20"/>
      <c r="AE3884" s="22"/>
      <c r="AF3884" s="22"/>
    </row>
    <row r="3885" spans="29:32" x14ac:dyDescent="0.2">
      <c r="AC3885" s="20"/>
      <c r="AE3885" s="22"/>
      <c r="AF3885" s="22"/>
    </row>
    <row r="3886" spans="29:32" x14ac:dyDescent="0.2">
      <c r="AC3886" s="20"/>
      <c r="AE3886" s="22"/>
      <c r="AF3886" s="22"/>
    </row>
    <row r="3887" spans="29:32" x14ac:dyDescent="0.2">
      <c r="AC3887" s="20"/>
      <c r="AE3887" s="22"/>
      <c r="AF3887" s="22"/>
    </row>
    <row r="3888" spans="29:32" x14ac:dyDescent="0.2">
      <c r="AC3888" s="20"/>
      <c r="AE3888" s="22"/>
      <c r="AF3888" s="22"/>
    </row>
    <row r="3889" spans="29:32" x14ac:dyDescent="0.2">
      <c r="AC3889" s="20"/>
      <c r="AE3889" s="22"/>
      <c r="AF3889" s="22"/>
    </row>
    <row r="3890" spans="29:32" x14ac:dyDescent="0.2">
      <c r="AC3890" s="20"/>
      <c r="AE3890" s="22"/>
      <c r="AF3890" s="22"/>
    </row>
    <row r="3891" spans="29:32" x14ac:dyDescent="0.2">
      <c r="AC3891" s="20"/>
      <c r="AE3891" s="22"/>
      <c r="AF3891" s="22"/>
    </row>
    <row r="3892" spans="29:32" x14ac:dyDescent="0.2">
      <c r="AC3892" s="20"/>
      <c r="AE3892" s="22"/>
      <c r="AF3892" s="22"/>
    </row>
    <row r="3893" spans="29:32" x14ac:dyDescent="0.2">
      <c r="AC3893" s="20"/>
      <c r="AE3893" s="22"/>
      <c r="AF3893" s="22"/>
    </row>
    <row r="3894" spans="29:32" x14ac:dyDescent="0.2">
      <c r="AC3894" s="20"/>
      <c r="AE3894" s="22"/>
      <c r="AF3894" s="22"/>
    </row>
    <row r="3895" spans="29:32" x14ac:dyDescent="0.2">
      <c r="AC3895" s="20"/>
      <c r="AE3895" s="22"/>
      <c r="AF3895" s="22"/>
    </row>
    <row r="3896" spans="29:32" x14ac:dyDescent="0.2">
      <c r="AC3896" s="20"/>
      <c r="AE3896" s="22"/>
      <c r="AF3896" s="22"/>
    </row>
    <row r="3897" spans="29:32" x14ac:dyDescent="0.2">
      <c r="AC3897" s="20"/>
      <c r="AE3897" s="22"/>
      <c r="AF3897" s="22"/>
    </row>
    <row r="3898" spans="29:32" x14ac:dyDescent="0.2">
      <c r="AC3898" s="20"/>
      <c r="AE3898" s="22"/>
      <c r="AF3898" s="22"/>
    </row>
    <row r="3899" spans="29:32" x14ac:dyDescent="0.2">
      <c r="AC3899" s="20"/>
      <c r="AE3899" s="22"/>
      <c r="AF3899" s="22"/>
    </row>
    <row r="3900" spans="29:32" x14ac:dyDescent="0.2">
      <c r="AC3900" s="20"/>
      <c r="AE3900" s="22"/>
      <c r="AF3900" s="22"/>
    </row>
    <row r="3901" spans="29:32" x14ac:dyDescent="0.2">
      <c r="AC3901" s="20"/>
      <c r="AE3901" s="22"/>
      <c r="AF3901" s="22"/>
    </row>
    <row r="3902" spans="29:32" x14ac:dyDescent="0.2">
      <c r="AC3902" s="20"/>
      <c r="AE3902" s="22"/>
      <c r="AF3902" s="22"/>
    </row>
    <row r="3903" spans="29:32" x14ac:dyDescent="0.2">
      <c r="AC3903" s="20"/>
      <c r="AE3903" s="22"/>
      <c r="AF3903" s="22"/>
    </row>
    <row r="3904" spans="29:32" x14ac:dyDescent="0.2">
      <c r="AC3904" s="20"/>
      <c r="AE3904" s="22"/>
      <c r="AF3904" s="22"/>
    </row>
    <row r="3905" spans="29:32" x14ac:dyDescent="0.2">
      <c r="AC3905" s="20"/>
      <c r="AE3905" s="22"/>
      <c r="AF3905" s="22"/>
    </row>
    <row r="3906" spans="29:32" x14ac:dyDescent="0.2">
      <c r="AC3906" s="20"/>
      <c r="AE3906" s="22"/>
      <c r="AF3906" s="22"/>
    </row>
    <row r="3907" spans="29:32" x14ac:dyDescent="0.2">
      <c r="AC3907" s="20"/>
      <c r="AE3907" s="22"/>
      <c r="AF3907" s="22"/>
    </row>
    <row r="3908" spans="29:32" x14ac:dyDescent="0.2">
      <c r="AC3908" s="20"/>
      <c r="AE3908" s="22"/>
      <c r="AF3908" s="22"/>
    </row>
    <row r="3909" spans="29:32" x14ac:dyDescent="0.2">
      <c r="AC3909" s="20"/>
      <c r="AE3909" s="22"/>
      <c r="AF3909" s="22"/>
    </row>
    <row r="3910" spans="29:32" x14ac:dyDescent="0.2">
      <c r="AC3910" s="20"/>
      <c r="AE3910" s="22"/>
      <c r="AF3910" s="22"/>
    </row>
    <row r="3911" spans="29:32" x14ac:dyDescent="0.2">
      <c r="AC3911" s="20"/>
      <c r="AE3911" s="22"/>
      <c r="AF3911" s="22"/>
    </row>
    <row r="3912" spans="29:32" x14ac:dyDescent="0.2">
      <c r="AC3912" s="20"/>
      <c r="AE3912" s="22"/>
      <c r="AF3912" s="22"/>
    </row>
    <row r="3913" spans="29:32" x14ac:dyDescent="0.2">
      <c r="AC3913" s="20"/>
      <c r="AE3913" s="22"/>
      <c r="AF3913" s="22"/>
    </row>
    <row r="3914" spans="29:32" x14ac:dyDescent="0.2">
      <c r="AC3914" s="20"/>
      <c r="AE3914" s="22"/>
      <c r="AF3914" s="22"/>
    </row>
    <row r="3915" spans="29:32" x14ac:dyDescent="0.2">
      <c r="AC3915" s="20"/>
      <c r="AE3915" s="22"/>
      <c r="AF3915" s="22"/>
    </row>
    <row r="3916" spans="29:32" x14ac:dyDescent="0.2">
      <c r="AC3916" s="20"/>
      <c r="AE3916" s="22"/>
      <c r="AF3916" s="22"/>
    </row>
    <row r="3917" spans="29:32" x14ac:dyDescent="0.2">
      <c r="AC3917" s="20"/>
      <c r="AE3917" s="22"/>
      <c r="AF3917" s="22"/>
    </row>
    <row r="3918" spans="29:32" x14ac:dyDescent="0.2">
      <c r="AC3918" s="20"/>
      <c r="AE3918" s="22"/>
      <c r="AF3918" s="22"/>
    </row>
    <row r="3919" spans="29:32" x14ac:dyDescent="0.2">
      <c r="AC3919" s="20"/>
      <c r="AE3919" s="22"/>
      <c r="AF3919" s="22"/>
    </row>
    <row r="3920" spans="29:32" x14ac:dyDescent="0.2">
      <c r="AC3920" s="20"/>
      <c r="AE3920" s="22"/>
      <c r="AF3920" s="22"/>
    </row>
    <row r="3921" spans="29:32" x14ac:dyDescent="0.2">
      <c r="AC3921" s="20"/>
      <c r="AE3921" s="22"/>
      <c r="AF3921" s="22"/>
    </row>
    <row r="3922" spans="29:32" x14ac:dyDescent="0.2">
      <c r="AC3922" s="20"/>
      <c r="AE3922" s="22"/>
      <c r="AF3922" s="22"/>
    </row>
    <row r="3923" spans="29:32" x14ac:dyDescent="0.2">
      <c r="AC3923" s="20"/>
      <c r="AE3923" s="22"/>
      <c r="AF3923" s="22"/>
    </row>
    <row r="3924" spans="29:32" x14ac:dyDescent="0.2">
      <c r="AC3924" s="20"/>
      <c r="AE3924" s="22"/>
      <c r="AF3924" s="22"/>
    </row>
    <row r="3925" spans="29:32" x14ac:dyDescent="0.2">
      <c r="AC3925" s="20"/>
      <c r="AE3925" s="22"/>
      <c r="AF3925" s="22"/>
    </row>
    <row r="3926" spans="29:32" x14ac:dyDescent="0.2">
      <c r="AC3926" s="20"/>
      <c r="AE3926" s="22"/>
      <c r="AF3926" s="22"/>
    </row>
    <row r="3927" spans="29:32" x14ac:dyDescent="0.2">
      <c r="AC3927" s="20"/>
      <c r="AE3927" s="22"/>
      <c r="AF3927" s="22"/>
    </row>
    <row r="3928" spans="29:32" x14ac:dyDescent="0.2">
      <c r="AC3928" s="20"/>
      <c r="AE3928" s="22"/>
      <c r="AF3928" s="22"/>
    </row>
    <row r="3929" spans="29:32" x14ac:dyDescent="0.2">
      <c r="AC3929" s="20"/>
      <c r="AE3929" s="22"/>
      <c r="AF3929" s="22"/>
    </row>
    <row r="3930" spans="29:32" x14ac:dyDescent="0.2">
      <c r="AC3930" s="20"/>
      <c r="AE3930" s="22"/>
      <c r="AF3930" s="22"/>
    </row>
    <row r="3931" spans="29:32" x14ac:dyDescent="0.2">
      <c r="AC3931" s="20"/>
      <c r="AE3931" s="22"/>
      <c r="AF3931" s="22"/>
    </row>
    <row r="3932" spans="29:32" x14ac:dyDescent="0.2">
      <c r="AC3932" s="20"/>
      <c r="AE3932" s="22"/>
      <c r="AF3932" s="22"/>
    </row>
    <row r="3933" spans="29:32" x14ac:dyDescent="0.2">
      <c r="AC3933" s="20"/>
      <c r="AE3933" s="22"/>
      <c r="AF3933" s="22"/>
    </row>
    <row r="3934" spans="29:32" x14ac:dyDescent="0.2">
      <c r="AC3934" s="20"/>
      <c r="AE3934" s="22"/>
      <c r="AF3934" s="22"/>
    </row>
    <row r="3935" spans="29:32" x14ac:dyDescent="0.2">
      <c r="AC3935" s="20"/>
      <c r="AE3935" s="22"/>
      <c r="AF3935" s="22"/>
    </row>
    <row r="3936" spans="29:32" x14ac:dyDescent="0.2">
      <c r="AC3936" s="20"/>
      <c r="AE3936" s="22"/>
      <c r="AF3936" s="22"/>
    </row>
    <row r="3937" spans="29:32" x14ac:dyDescent="0.2">
      <c r="AC3937" s="20"/>
      <c r="AE3937" s="22"/>
      <c r="AF3937" s="22"/>
    </row>
    <row r="3938" spans="29:32" x14ac:dyDescent="0.2">
      <c r="AC3938" s="20"/>
      <c r="AE3938" s="22"/>
      <c r="AF3938" s="22"/>
    </row>
    <row r="3939" spans="29:32" x14ac:dyDescent="0.2">
      <c r="AC3939" s="20"/>
      <c r="AE3939" s="22"/>
      <c r="AF3939" s="22"/>
    </row>
    <row r="3940" spans="29:32" x14ac:dyDescent="0.2">
      <c r="AC3940" s="20"/>
      <c r="AE3940" s="22"/>
      <c r="AF3940" s="22"/>
    </row>
    <row r="3941" spans="29:32" x14ac:dyDescent="0.2">
      <c r="AC3941" s="20"/>
      <c r="AE3941" s="22"/>
      <c r="AF3941" s="22"/>
    </row>
    <row r="3942" spans="29:32" x14ac:dyDescent="0.2">
      <c r="AC3942" s="20"/>
      <c r="AE3942" s="22"/>
      <c r="AF3942" s="22"/>
    </row>
    <row r="3943" spans="29:32" x14ac:dyDescent="0.2">
      <c r="AC3943" s="20"/>
      <c r="AE3943" s="22"/>
      <c r="AF3943" s="22"/>
    </row>
    <row r="3944" spans="29:32" x14ac:dyDescent="0.2">
      <c r="AC3944" s="20"/>
      <c r="AE3944" s="22"/>
      <c r="AF3944" s="22"/>
    </row>
    <row r="3945" spans="29:32" x14ac:dyDescent="0.2">
      <c r="AC3945" s="20"/>
      <c r="AE3945" s="22"/>
      <c r="AF3945" s="22"/>
    </row>
    <row r="3946" spans="29:32" x14ac:dyDescent="0.2">
      <c r="AC3946" s="20"/>
      <c r="AE3946" s="22"/>
      <c r="AF3946" s="22"/>
    </row>
    <row r="3947" spans="29:32" x14ac:dyDescent="0.2">
      <c r="AC3947" s="20"/>
      <c r="AE3947" s="22"/>
      <c r="AF3947" s="22"/>
    </row>
    <row r="3948" spans="29:32" x14ac:dyDescent="0.2">
      <c r="AC3948" s="20"/>
      <c r="AE3948" s="22"/>
      <c r="AF3948" s="22"/>
    </row>
    <row r="3949" spans="29:32" x14ac:dyDescent="0.2">
      <c r="AC3949" s="20"/>
      <c r="AE3949" s="22"/>
      <c r="AF3949" s="22"/>
    </row>
    <row r="3950" spans="29:32" x14ac:dyDescent="0.2">
      <c r="AC3950" s="20"/>
      <c r="AE3950" s="22"/>
      <c r="AF3950" s="22"/>
    </row>
    <row r="3951" spans="29:32" x14ac:dyDescent="0.2">
      <c r="AC3951" s="20"/>
      <c r="AE3951" s="22"/>
      <c r="AF3951" s="22"/>
    </row>
    <row r="3952" spans="29:32" x14ac:dyDescent="0.2">
      <c r="AC3952" s="20"/>
      <c r="AE3952" s="22"/>
      <c r="AF3952" s="22"/>
    </row>
    <row r="3953" spans="29:32" x14ac:dyDescent="0.2">
      <c r="AC3953" s="20"/>
      <c r="AE3953" s="22"/>
      <c r="AF3953" s="22"/>
    </row>
    <row r="3954" spans="29:32" x14ac:dyDescent="0.2">
      <c r="AC3954" s="20"/>
      <c r="AE3954" s="22"/>
      <c r="AF3954" s="22"/>
    </row>
    <row r="3955" spans="29:32" x14ac:dyDescent="0.2">
      <c r="AC3955" s="20"/>
      <c r="AE3955" s="22"/>
      <c r="AF3955" s="22"/>
    </row>
    <row r="3956" spans="29:32" x14ac:dyDescent="0.2">
      <c r="AC3956" s="20"/>
      <c r="AE3956" s="22"/>
      <c r="AF3956" s="22"/>
    </row>
    <row r="3957" spans="29:32" x14ac:dyDescent="0.2">
      <c r="AC3957" s="20"/>
      <c r="AE3957" s="22"/>
      <c r="AF3957" s="22"/>
    </row>
    <row r="3958" spans="29:32" x14ac:dyDescent="0.2">
      <c r="AC3958" s="20"/>
      <c r="AE3958" s="22"/>
      <c r="AF3958" s="22"/>
    </row>
    <row r="3959" spans="29:32" x14ac:dyDescent="0.2">
      <c r="AC3959" s="20"/>
      <c r="AE3959" s="22"/>
      <c r="AF3959" s="22"/>
    </row>
    <row r="3960" spans="29:32" x14ac:dyDescent="0.2">
      <c r="AC3960" s="20"/>
      <c r="AE3960" s="22"/>
      <c r="AF3960" s="22"/>
    </row>
    <row r="3961" spans="29:32" x14ac:dyDescent="0.2">
      <c r="AC3961" s="20"/>
      <c r="AE3961" s="22"/>
      <c r="AF3961" s="22"/>
    </row>
    <row r="3962" spans="29:32" x14ac:dyDescent="0.2">
      <c r="AC3962" s="20"/>
      <c r="AE3962" s="22"/>
      <c r="AF3962" s="22"/>
    </row>
    <row r="3963" spans="29:32" x14ac:dyDescent="0.2">
      <c r="AC3963" s="20"/>
      <c r="AE3963" s="22"/>
      <c r="AF3963" s="22"/>
    </row>
    <row r="3964" spans="29:32" x14ac:dyDescent="0.2">
      <c r="AC3964" s="20"/>
      <c r="AE3964" s="22"/>
      <c r="AF3964" s="22"/>
    </row>
    <row r="3965" spans="29:32" x14ac:dyDescent="0.2">
      <c r="AC3965" s="20"/>
      <c r="AE3965" s="22"/>
      <c r="AF3965" s="22"/>
    </row>
    <row r="3966" spans="29:32" x14ac:dyDescent="0.2">
      <c r="AC3966" s="20"/>
      <c r="AE3966" s="22"/>
      <c r="AF3966" s="22"/>
    </row>
    <row r="3967" spans="29:32" x14ac:dyDescent="0.2">
      <c r="AC3967" s="20"/>
      <c r="AE3967" s="22"/>
      <c r="AF3967" s="22"/>
    </row>
    <row r="3968" spans="29:32" x14ac:dyDescent="0.2">
      <c r="AC3968" s="20"/>
      <c r="AE3968" s="22"/>
      <c r="AF3968" s="22"/>
    </row>
    <row r="3969" spans="29:32" x14ac:dyDescent="0.2">
      <c r="AC3969" s="20"/>
      <c r="AE3969" s="22"/>
      <c r="AF3969" s="22"/>
    </row>
    <row r="3970" spans="29:32" x14ac:dyDescent="0.2">
      <c r="AC3970" s="20"/>
      <c r="AE3970" s="22"/>
      <c r="AF3970" s="22"/>
    </row>
    <row r="3971" spans="29:32" x14ac:dyDescent="0.2">
      <c r="AC3971" s="20"/>
      <c r="AE3971" s="22"/>
      <c r="AF3971" s="22"/>
    </row>
    <row r="3972" spans="29:32" x14ac:dyDescent="0.2">
      <c r="AC3972" s="20"/>
      <c r="AE3972" s="22"/>
      <c r="AF3972" s="22"/>
    </row>
    <row r="3973" spans="29:32" x14ac:dyDescent="0.2">
      <c r="AC3973" s="20"/>
      <c r="AE3973" s="22"/>
      <c r="AF3973" s="22"/>
    </row>
    <row r="3974" spans="29:32" x14ac:dyDescent="0.2">
      <c r="AC3974" s="20"/>
      <c r="AE3974" s="22"/>
      <c r="AF3974" s="22"/>
    </row>
    <row r="3975" spans="29:32" x14ac:dyDescent="0.2">
      <c r="AC3975" s="20"/>
      <c r="AE3975" s="22"/>
      <c r="AF3975" s="22"/>
    </row>
    <row r="3976" spans="29:32" x14ac:dyDescent="0.2">
      <c r="AC3976" s="20"/>
      <c r="AE3976" s="22"/>
      <c r="AF3976" s="22"/>
    </row>
    <row r="3977" spans="29:32" x14ac:dyDescent="0.2">
      <c r="AC3977" s="20"/>
      <c r="AE3977" s="22"/>
      <c r="AF3977" s="22"/>
    </row>
    <row r="3978" spans="29:32" x14ac:dyDescent="0.2">
      <c r="AC3978" s="20"/>
      <c r="AE3978" s="22"/>
      <c r="AF3978" s="22"/>
    </row>
    <row r="3979" spans="29:32" x14ac:dyDescent="0.2">
      <c r="AC3979" s="20"/>
      <c r="AE3979" s="22"/>
      <c r="AF3979" s="22"/>
    </row>
    <row r="3980" spans="29:32" x14ac:dyDescent="0.2">
      <c r="AC3980" s="20"/>
      <c r="AE3980" s="22"/>
      <c r="AF3980" s="22"/>
    </row>
    <row r="3981" spans="29:32" x14ac:dyDescent="0.2">
      <c r="AC3981" s="20"/>
      <c r="AE3981" s="22"/>
      <c r="AF3981" s="22"/>
    </row>
    <row r="3982" spans="29:32" x14ac:dyDescent="0.2">
      <c r="AC3982" s="20"/>
      <c r="AE3982" s="22"/>
      <c r="AF3982" s="22"/>
    </row>
    <row r="3983" spans="29:32" x14ac:dyDescent="0.2">
      <c r="AC3983" s="20"/>
      <c r="AE3983" s="22"/>
      <c r="AF3983" s="22"/>
    </row>
    <row r="3984" spans="29:32" x14ac:dyDescent="0.2">
      <c r="AC3984" s="20"/>
      <c r="AE3984" s="22"/>
      <c r="AF3984" s="22"/>
    </row>
    <row r="3985" spans="29:32" x14ac:dyDescent="0.2">
      <c r="AC3985" s="20"/>
      <c r="AE3985" s="22"/>
      <c r="AF3985" s="22"/>
    </row>
    <row r="3986" spans="29:32" x14ac:dyDescent="0.2">
      <c r="AC3986" s="20"/>
      <c r="AE3986" s="22"/>
      <c r="AF3986" s="22"/>
    </row>
    <row r="3987" spans="29:32" x14ac:dyDescent="0.2">
      <c r="AC3987" s="20"/>
      <c r="AE3987" s="22"/>
      <c r="AF3987" s="22"/>
    </row>
    <row r="3988" spans="29:32" x14ac:dyDescent="0.2">
      <c r="AC3988" s="20"/>
      <c r="AE3988" s="22"/>
      <c r="AF3988" s="22"/>
    </row>
    <row r="3989" spans="29:32" x14ac:dyDescent="0.2">
      <c r="AC3989" s="20"/>
      <c r="AE3989" s="22"/>
      <c r="AF3989" s="22"/>
    </row>
    <row r="3990" spans="29:32" x14ac:dyDescent="0.2">
      <c r="AC3990" s="20"/>
      <c r="AE3990" s="22"/>
      <c r="AF3990" s="22"/>
    </row>
    <row r="3991" spans="29:32" x14ac:dyDescent="0.2">
      <c r="AC3991" s="20"/>
      <c r="AE3991" s="22"/>
      <c r="AF3991" s="22"/>
    </row>
    <row r="3992" spans="29:32" x14ac:dyDescent="0.2">
      <c r="AC3992" s="20"/>
      <c r="AE3992" s="22"/>
      <c r="AF3992" s="22"/>
    </row>
    <row r="3993" spans="29:32" x14ac:dyDescent="0.2">
      <c r="AC3993" s="20"/>
      <c r="AE3993" s="22"/>
      <c r="AF3993" s="22"/>
    </row>
    <row r="3994" spans="29:32" x14ac:dyDescent="0.2">
      <c r="AC3994" s="20"/>
      <c r="AE3994" s="22"/>
      <c r="AF3994" s="22"/>
    </row>
    <row r="3995" spans="29:32" x14ac:dyDescent="0.2">
      <c r="AC3995" s="20"/>
      <c r="AE3995" s="22"/>
      <c r="AF3995" s="22"/>
    </row>
    <row r="3996" spans="29:32" x14ac:dyDescent="0.2">
      <c r="AC3996" s="20"/>
      <c r="AE3996" s="22"/>
      <c r="AF3996" s="22"/>
    </row>
    <row r="3997" spans="29:32" x14ac:dyDescent="0.2">
      <c r="AC3997" s="20"/>
      <c r="AE3997" s="22"/>
      <c r="AF3997" s="22"/>
    </row>
    <row r="3998" spans="29:32" x14ac:dyDescent="0.2">
      <c r="AC3998" s="20"/>
      <c r="AE3998" s="22"/>
      <c r="AF3998" s="22"/>
    </row>
    <row r="3999" spans="29:32" x14ac:dyDescent="0.2">
      <c r="AC3999" s="20"/>
      <c r="AE3999" s="22"/>
      <c r="AF3999" s="22"/>
    </row>
    <row r="4000" spans="29:32" x14ac:dyDescent="0.2">
      <c r="AC4000" s="20"/>
      <c r="AE4000" s="22"/>
      <c r="AF4000" s="22"/>
    </row>
    <row r="4001" spans="29:32" x14ac:dyDescent="0.2">
      <c r="AC4001" s="20"/>
      <c r="AE4001" s="22"/>
      <c r="AF4001" s="22"/>
    </row>
    <row r="4002" spans="29:32" x14ac:dyDescent="0.2">
      <c r="AC4002" s="20"/>
      <c r="AE4002" s="22"/>
      <c r="AF4002" s="22"/>
    </row>
    <row r="4003" spans="29:32" x14ac:dyDescent="0.2">
      <c r="AC4003" s="20"/>
      <c r="AE4003" s="22"/>
      <c r="AF4003" s="22"/>
    </row>
    <row r="4004" spans="29:32" x14ac:dyDescent="0.2">
      <c r="AC4004" s="20"/>
      <c r="AE4004" s="22"/>
      <c r="AF4004" s="22"/>
    </row>
    <row r="4005" spans="29:32" x14ac:dyDescent="0.2">
      <c r="AC4005" s="20"/>
      <c r="AE4005" s="22"/>
      <c r="AF4005" s="22"/>
    </row>
    <row r="4006" spans="29:32" x14ac:dyDescent="0.2">
      <c r="AC4006" s="20"/>
      <c r="AE4006" s="22"/>
      <c r="AF4006" s="22"/>
    </row>
    <row r="4007" spans="29:32" x14ac:dyDescent="0.2">
      <c r="AC4007" s="20"/>
      <c r="AE4007" s="22"/>
      <c r="AF4007" s="22"/>
    </row>
    <row r="4008" spans="29:32" x14ac:dyDescent="0.2">
      <c r="AC4008" s="20"/>
      <c r="AE4008" s="22"/>
      <c r="AF4008" s="22"/>
    </row>
    <row r="4009" spans="29:32" x14ac:dyDescent="0.2">
      <c r="AC4009" s="20"/>
      <c r="AE4009" s="22"/>
      <c r="AF4009" s="22"/>
    </row>
    <row r="4010" spans="29:32" x14ac:dyDescent="0.2">
      <c r="AC4010" s="20"/>
      <c r="AE4010" s="22"/>
      <c r="AF4010" s="22"/>
    </row>
    <row r="4011" spans="29:32" x14ac:dyDescent="0.2">
      <c r="AC4011" s="20"/>
      <c r="AE4011" s="22"/>
      <c r="AF4011" s="22"/>
    </row>
    <row r="4012" spans="29:32" x14ac:dyDescent="0.2">
      <c r="AC4012" s="20"/>
      <c r="AE4012" s="22"/>
      <c r="AF4012" s="22"/>
    </row>
    <row r="4013" spans="29:32" x14ac:dyDescent="0.2">
      <c r="AC4013" s="20"/>
      <c r="AE4013" s="22"/>
      <c r="AF4013" s="22"/>
    </row>
    <row r="4014" spans="29:32" x14ac:dyDescent="0.2">
      <c r="AC4014" s="20"/>
      <c r="AE4014" s="22"/>
      <c r="AF4014" s="22"/>
    </row>
    <row r="4015" spans="29:32" x14ac:dyDescent="0.2">
      <c r="AC4015" s="20"/>
      <c r="AE4015" s="22"/>
      <c r="AF4015" s="22"/>
    </row>
    <row r="4016" spans="29:32" x14ac:dyDescent="0.2">
      <c r="AC4016" s="20"/>
      <c r="AE4016" s="22"/>
      <c r="AF4016" s="22"/>
    </row>
    <row r="4017" spans="29:32" x14ac:dyDescent="0.2">
      <c r="AC4017" s="20"/>
      <c r="AE4017" s="22"/>
      <c r="AF4017" s="22"/>
    </row>
    <row r="4018" spans="29:32" x14ac:dyDescent="0.2">
      <c r="AC4018" s="20"/>
      <c r="AE4018" s="22"/>
      <c r="AF4018" s="22"/>
    </row>
    <row r="4019" spans="29:32" x14ac:dyDescent="0.2">
      <c r="AC4019" s="20"/>
      <c r="AE4019" s="22"/>
      <c r="AF4019" s="22"/>
    </row>
    <row r="4020" spans="29:32" x14ac:dyDescent="0.2">
      <c r="AC4020" s="20"/>
      <c r="AE4020" s="22"/>
      <c r="AF4020" s="22"/>
    </row>
    <row r="4021" spans="29:32" x14ac:dyDescent="0.2">
      <c r="AC4021" s="20"/>
      <c r="AE4021" s="22"/>
      <c r="AF4021" s="22"/>
    </row>
    <row r="4022" spans="29:32" x14ac:dyDescent="0.2">
      <c r="AC4022" s="20"/>
      <c r="AE4022" s="22"/>
      <c r="AF4022" s="22"/>
    </row>
    <row r="4023" spans="29:32" x14ac:dyDescent="0.2">
      <c r="AC4023" s="20"/>
      <c r="AE4023" s="22"/>
      <c r="AF4023" s="22"/>
    </row>
    <row r="4024" spans="29:32" x14ac:dyDescent="0.2">
      <c r="AC4024" s="20"/>
      <c r="AE4024" s="22"/>
      <c r="AF4024" s="22"/>
    </row>
    <row r="4025" spans="29:32" x14ac:dyDescent="0.2">
      <c r="AC4025" s="20"/>
      <c r="AE4025" s="22"/>
      <c r="AF4025" s="22"/>
    </row>
    <row r="4026" spans="29:32" x14ac:dyDescent="0.2">
      <c r="AC4026" s="20"/>
      <c r="AE4026" s="22"/>
      <c r="AF4026" s="22"/>
    </row>
    <row r="4027" spans="29:32" x14ac:dyDescent="0.2">
      <c r="AC4027" s="20"/>
      <c r="AE4027" s="22"/>
      <c r="AF4027" s="22"/>
    </row>
    <row r="4028" spans="29:32" x14ac:dyDescent="0.2">
      <c r="AC4028" s="20"/>
      <c r="AE4028" s="22"/>
      <c r="AF4028" s="22"/>
    </row>
    <row r="4029" spans="29:32" x14ac:dyDescent="0.2">
      <c r="AC4029" s="20"/>
      <c r="AE4029" s="22"/>
      <c r="AF4029" s="22"/>
    </row>
    <row r="4030" spans="29:32" x14ac:dyDescent="0.2">
      <c r="AC4030" s="20"/>
      <c r="AE4030" s="22"/>
      <c r="AF4030" s="22"/>
    </row>
    <row r="4031" spans="29:32" x14ac:dyDescent="0.2">
      <c r="AC4031" s="20"/>
      <c r="AE4031" s="22"/>
      <c r="AF4031" s="22"/>
    </row>
    <row r="4032" spans="29:32" x14ac:dyDescent="0.2">
      <c r="AC4032" s="20"/>
      <c r="AE4032" s="22"/>
      <c r="AF4032" s="22"/>
    </row>
    <row r="4033" spans="29:32" x14ac:dyDescent="0.2">
      <c r="AC4033" s="20"/>
      <c r="AE4033" s="22"/>
      <c r="AF4033" s="22"/>
    </row>
    <row r="4034" spans="29:32" x14ac:dyDescent="0.2">
      <c r="AC4034" s="20"/>
      <c r="AE4034" s="22"/>
      <c r="AF4034" s="22"/>
    </row>
    <row r="4035" spans="29:32" x14ac:dyDescent="0.2">
      <c r="AC4035" s="20"/>
      <c r="AE4035" s="22"/>
      <c r="AF4035" s="22"/>
    </row>
    <row r="4036" spans="29:32" x14ac:dyDescent="0.2">
      <c r="AC4036" s="20"/>
      <c r="AE4036" s="22"/>
      <c r="AF4036" s="22"/>
    </row>
    <row r="4037" spans="29:32" x14ac:dyDescent="0.2">
      <c r="AC4037" s="20"/>
      <c r="AE4037" s="22"/>
      <c r="AF4037" s="22"/>
    </row>
    <row r="4038" spans="29:32" x14ac:dyDescent="0.2">
      <c r="AC4038" s="20"/>
      <c r="AE4038" s="22"/>
      <c r="AF4038" s="22"/>
    </row>
    <row r="4039" spans="29:32" x14ac:dyDescent="0.2">
      <c r="AC4039" s="20"/>
      <c r="AE4039" s="22"/>
      <c r="AF4039" s="22"/>
    </row>
    <row r="4040" spans="29:32" x14ac:dyDescent="0.2">
      <c r="AC4040" s="20"/>
      <c r="AE4040" s="22"/>
      <c r="AF4040" s="22"/>
    </row>
    <row r="4041" spans="29:32" x14ac:dyDescent="0.2">
      <c r="AC4041" s="20"/>
      <c r="AE4041" s="22"/>
      <c r="AF4041" s="22"/>
    </row>
    <row r="4042" spans="29:32" x14ac:dyDescent="0.2">
      <c r="AC4042" s="20"/>
      <c r="AE4042" s="22"/>
      <c r="AF4042" s="22"/>
    </row>
    <row r="4043" spans="29:32" x14ac:dyDescent="0.2">
      <c r="AC4043" s="20"/>
      <c r="AE4043" s="22"/>
      <c r="AF4043" s="22"/>
    </row>
    <row r="4044" spans="29:32" x14ac:dyDescent="0.2">
      <c r="AC4044" s="20"/>
      <c r="AE4044" s="22"/>
      <c r="AF4044" s="22"/>
    </row>
    <row r="4045" spans="29:32" x14ac:dyDescent="0.2">
      <c r="AC4045" s="20"/>
      <c r="AE4045" s="22"/>
      <c r="AF4045" s="22"/>
    </row>
    <row r="4046" spans="29:32" x14ac:dyDescent="0.2">
      <c r="AC4046" s="20"/>
      <c r="AE4046" s="22"/>
      <c r="AF4046" s="22"/>
    </row>
    <row r="4047" spans="29:32" x14ac:dyDescent="0.2">
      <c r="AC4047" s="20"/>
      <c r="AE4047" s="22"/>
      <c r="AF4047" s="22"/>
    </row>
    <row r="4048" spans="29:32" x14ac:dyDescent="0.2">
      <c r="AC4048" s="20"/>
      <c r="AE4048" s="22"/>
      <c r="AF4048" s="22"/>
    </row>
    <row r="4049" spans="29:32" x14ac:dyDescent="0.2">
      <c r="AC4049" s="20"/>
      <c r="AE4049" s="22"/>
      <c r="AF4049" s="22"/>
    </row>
    <row r="4050" spans="29:32" x14ac:dyDescent="0.2">
      <c r="AC4050" s="20"/>
      <c r="AE4050" s="22"/>
      <c r="AF4050" s="22"/>
    </row>
    <row r="4051" spans="29:32" x14ac:dyDescent="0.2">
      <c r="AC4051" s="20"/>
      <c r="AE4051" s="22"/>
      <c r="AF4051" s="22"/>
    </row>
    <row r="4052" spans="29:32" x14ac:dyDescent="0.2">
      <c r="AC4052" s="20"/>
      <c r="AE4052" s="22"/>
      <c r="AF4052" s="22"/>
    </row>
    <row r="4053" spans="29:32" x14ac:dyDescent="0.2">
      <c r="AC4053" s="20"/>
      <c r="AE4053" s="22"/>
      <c r="AF4053" s="22"/>
    </row>
    <row r="4054" spans="29:32" x14ac:dyDescent="0.2">
      <c r="AC4054" s="20"/>
      <c r="AE4054" s="22"/>
      <c r="AF4054" s="22"/>
    </row>
    <row r="4055" spans="29:32" x14ac:dyDescent="0.2">
      <c r="AC4055" s="20"/>
      <c r="AE4055" s="22"/>
      <c r="AF4055" s="22"/>
    </row>
    <row r="4056" spans="29:32" x14ac:dyDescent="0.2">
      <c r="AC4056" s="20"/>
      <c r="AE4056" s="22"/>
      <c r="AF4056" s="22"/>
    </row>
    <row r="4057" spans="29:32" x14ac:dyDescent="0.2">
      <c r="AC4057" s="20"/>
      <c r="AE4057" s="22"/>
      <c r="AF4057" s="22"/>
    </row>
    <row r="4058" spans="29:32" x14ac:dyDescent="0.2">
      <c r="AC4058" s="20"/>
      <c r="AE4058" s="22"/>
      <c r="AF4058" s="22"/>
    </row>
    <row r="4059" spans="29:32" x14ac:dyDescent="0.2">
      <c r="AC4059" s="20"/>
      <c r="AE4059" s="22"/>
      <c r="AF4059" s="22"/>
    </row>
    <row r="4060" spans="29:32" x14ac:dyDescent="0.2">
      <c r="AC4060" s="20"/>
      <c r="AE4060" s="22"/>
      <c r="AF4060" s="22"/>
    </row>
    <row r="4061" spans="29:32" x14ac:dyDescent="0.2">
      <c r="AC4061" s="20"/>
      <c r="AE4061" s="22"/>
      <c r="AF4061" s="22"/>
    </row>
    <row r="4062" spans="29:32" x14ac:dyDescent="0.2">
      <c r="AC4062" s="20"/>
      <c r="AE4062" s="22"/>
      <c r="AF4062" s="22"/>
    </row>
    <row r="4063" spans="29:32" x14ac:dyDescent="0.2">
      <c r="AC4063" s="20"/>
      <c r="AE4063" s="22"/>
      <c r="AF4063" s="22"/>
    </row>
    <row r="4064" spans="29:32" x14ac:dyDescent="0.2">
      <c r="AC4064" s="20"/>
      <c r="AE4064" s="22"/>
      <c r="AF4064" s="22"/>
    </row>
    <row r="4065" spans="29:32" x14ac:dyDescent="0.2">
      <c r="AC4065" s="20"/>
      <c r="AE4065" s="22"/>
      <c r="AF4065" s="22"/>
    </row>
    <row r="4066" spans="29:32" x14ac:dyDescent="0.2">
      <c r="AC4066" s="20"/>
      <c r="AE4066" s="22"/>
      <c r="AF4066" s="22"/>
    </row>
    <row r="4067" spans="29:32" x14ac:dyDescent="0.2">
      <c r="AC4067" s="20"/>
      <c r="AE4067" s="22"/>
      <c r="AF4067" s="22"/>
    </row>
    <row r="4068" spans="29:32" x14ac:dyDescent="0.2">
      <c r="AC4068" s="20"/>
      <c r="AE4068" s="22"/>
      <c r="AF4068" s="22"/>
    </row>
    <row r="4069" spans="29:32" x14ac:dyDescent="0.2">
      <c r="AC4069" s="20"/>
      <c r="AE4069" s="22"/>
      <c r="AF4069" s="22"/>
    </row>
    <row r="4070" spans="29:32" x14ac:dyDescent="0.2">
      <c r="AC4070" s="20"/>
      <c r="AE4070" s="22"/>
      <c r="AF4070" s="22"/>
    </row>
    <row r="4071" spans="29:32" x14ac:dyDescent="0.2">
      <c r="AC4071" s="20"/>
      <c r="AE4071" s="22"/>
      <c r="AF4071" s="22"/>
    </row>
    <row r="4072" spans="29:32" x14ac:dyDescent="0.2">
      <c r="AC4072" s="20"/>
      <c r="AE4072" s="22"/>
      <c r="AF4072" s="22"/>
    </row>
    <row r="4073" spans="29:32" x14ac:dyDescent="0.2">
      <c r="AC4073" s="20"/>
      <c r="AE4073" s="22"/>
      <c r="AF4073" s="22"/>
    </row>
    <row r="4074" spans="29:32" x14ac:dyDescent="0.2">
      <c r="AC4074" s="20"/>
      <c r="AE4074" s="22"/>
      <c r="AF4074" s="22"/>
    </row>
    <row r="4075" spans="29:32" x14ac:dyDescent="0.2">
      <c r="AC4075" s="20"/>
      <c r="AE4075" s="22"/>
      <c r="AF4075" s="22"/>
    </row>
    <row r="4076" spans="29:32" x14ac:dyDescent="0.2">
      <c r="AC4076" s="20"/>
      <c r="AE4076" s="22"/>
      <c r="AF4076" s="22"/>
    </row>
    <row r="4077" spans="29:32" x14ac:dyDescent="0.2">
      <c r="AC4077" s="20"/>
      <c r="AE4077" s="22"/>
      <c r="AF4077" s="22"/>
    </row>
    <row r="4078" spans="29:32" x14ac:dyDescent="0.2">
      <c r="AC4078" s="20"/>
      <c r="AE4078" s="22"/>
      <c r="AF4078" s="22"/>
    </row>
    <row r="4079" spans="29:32" x14ac:dyDescent="0.2">
      <c r="AC4079" s="20"/>
      <c r="AE4079" s="22"/>
      <c r="AF4079" s="22"/>
    </row>
    <row r="4080" spans="29:32" x14ac:dyDescent="0.2">
      <c r="AC4080" s="20"/>
      <c r="AE4080" s="22"/>
      <c r="AF4080" s="22"/>
    </row>
    <row r="4081" spans="29:32" x14ac:dyDescent="0.2">
      <c r="AC4081" s="20"/>
      <c r="AE4081" s="22"/>
      <c r="AF4081" s="22"/>
    </row>
    <row r="4082" spans="29:32" x14ac:dyDescent="0.2">
      <c r="AC4082" s="20"/>
      <c r="AE4082" s="22"/>
      <c r="AF4082" s="22"/>
    </row>
    <row r="4083" spans="29:32" x14ac:dyDescent="0.2">
      <c r="AC4083" s="20"/>
      <c r="AE4083" s="22"/>
      <c r="AF4083" s="22"/>
    </row>
    <row r="4084" spans="29:32" x14ac:dyDescent="0.2">
      <c r="AC4084" s="20"/>
      <c r="AE4084" s="22"/>
      <c r="AF4084" s="22"/>
    </row>
    <row r="4085" spans="29:32" x14ac:dyDescent="0.2">
      <c r="AC4085" s="20"/>
      <c r="AE4085" s="22"/>
      <c r="AF4085" s="22"/>
    </row>
    <row r="4086" spans="29:32" x14ac:dyDescent="0.2">
      <c r="AC4086" s="20"/>
      <c r="AE4086" s="22"/>
      <c r="AF4086" s="22"/>
    </row>
    <row r="4087" spans="29:32" x14ac:dyDescent="0.2">
      <c r="AC4087" s="20"/>
      <c r="AE4087" s="22"/>
      <c r="AF4087" s="22"/>
    </row>
    <row r="4088" spans="29:32" x14ac:dyDescent="0.2">
      <c r="AC4088" s="20"/>
      <c r="AE4088" s="22"/>
      <c r="AF4088" s="22"/>
    </row>
    <row r="4089" spans="29:32" x14ac:dyDescent="0.2">
      <c r="AC4089" s="20"/>
      <c r="AE4089" s="22"/>
      <c r="AF4089" s="22"/>
    </row>
    <row r="4090" spans="29:32" x14ac:dyDescent="0.2">
      <c r="AC4090" s="20"/>
      <c r="AE4090" s="22"/>
      <c r="AF4090" s="22"/>
    </row>
    <row r="4091" spans="29:32" x14ac:dyDescent="0.2">
      <c r="AC4091" s="20"/>
      <c r="AE4091" s="22"/>
      <c r="AF4091" s="22"/>
    </row>
    <row r="4092" spans="29:32" x14ac:dyDescent="0.2">
      <c r="AC4092" s="20"/>
      <c r="AE4092" s="22"/>
      <c r="AF4092" s="22"/>
    </row>
    <row r="4093" spans="29:32" x14ac:dyDescent="0.2">
      <c r="AC4093" s="20"/>
      <c r="AE4093" s="22"/>
      <c r="AF4093" s="22"/>
    </row>
    <row r="4094" spans="29:32" x14ac:dyDescent="0.2">
      <c r="AC4094" s="20"/>
      <c r="AE4094" s="22"/>
      <c r="AF4094" s="22"/>
    </row>
    <row r="4095" spans="29:32" x14ac:dyDescent="0.2">
      <c r="AC4095" s="20"/>
      <c r="AE4095" s="22"/>
      <c r="AF4095" s="22"/>
    </row>
    <row r="4096" spans="29:32" x14ac:dyDescent="0.2">
      <c r="AC4096" s="20"/>
      <c r="AE4096" s="22"/>
      <c r="AF4096" s="22"/>
    </row>
    <row r="4097" spans="29:32" x14ac:dyDescent="0.2">
      <c r="AC4097" s="20"/>
      <c r="AE4097" s="22"/>
      <c r="AF4097" s="22"/>
    </row>
    <row r="4098" spans="29:32" x14ac:dyDescent="0.2">
      <c r="AC4098" s="20"/>
      <c r="AE4098" s="22"/>
      <c r="AF4098" s="22"/>
    </row>
    <row r="4099" spans="29:32" x14ac:dyDescent="0.2">
      <c r="AC4099" s="20"/>
      <c r="AE4099" s="22"/>
      <c r="AF4099" s="22"/>
    </row>
    <row r="4100" spans="29:32" x14ac:dyDescent="0.2">
      <c r="AC4100" s="20"/>
      <c r="AE4100" s="22"/>
      <c r="AF4100" s="22"/>
    </row>
    <row r="4101" spans="29:32" x14ac:dyDescent="0.2">
      <c r="AC4101" s="20"/>
      <c r="AE4101" s="22"/>
      <c r="AF4101" s="22"/>
    </row>
    <row r="4102" spans="29:32" x14ac:dyDescent="0.2">
      <c r="AC4102" s="20"/>
      <c r="AE4102" s="22"/>
      <c r="AF4102" s="22"/>
    </row>
    <row r="4103" spans="29:32" x14ac:dyDescent="0.2">
      <c r="AC4103" s="20"/>
      <c r="AE4103" s="22"/>
      <c r="AF4103" s="22"/>
    </row>
    <row r="4104" spans="29:32" x14ac:dyDescent="0.2">
      <c r="AC4104" s="20"/>
      <c r="AE4104" s="22"/>
      <c r="AF4104" s="22"/>
    </row>
    <row r="4105" spans="29:32" x14ac:dyDescent="0.2">
      <c r="AC4105" s="20"/>
      <c r="AE4105" s="22"/>
      <c r="AF4105" s="22"/>
    </row>
    <row r="4106" spans="29:32" x14ac:dyDescent="0.2">
      <c r="AC4106" s="20"/>
      <c r="AE4106" s="22"/>
      <c r="AF4106" s="22"/>
    </row>
    <row r="4107" spans="29:32" x14ac:dyDescent="0.2">
      <c r="AC4107" s="20"/>
      <c r="AE4107" s="22"/>
      <c r="AF4107" s="22"/>
    </row>
    <row r="4108" spans="29:32" x14ac:dyDescent="0.2">
      <c r="AC4108" s="20"/>
      <c r="AE4108" s="22"/>
      <c r="AF4108" s="22"/>
    </row>
    <row r="4109" spans="29:32" x14ac:dyDescent="0.2">
      <c r="AC4109" s="20"/>
      <c r="AE4109" s="22"/>
      <c r="AF4109" s="22"/>
    </row>
    <row r="4110" spans="29:32" x14ac:dyDescent="0.2">
      <c r="AC4110" s="20"/>
      <c r="AE4110" s="22"/>
      <c r="AF4110" s="22"/>
    </row>
    <row r="4111" spans="29:32" x14ac:dyDescent="0.2">
      <c r="AC4111" s="20"/>
      <c r="AE4111" s="22"/>
      <c r="AF4111" s="22"/>
    </row>
    <row r="4112" spans="29:32" x14ac:dyDescent="0.2">
      <c r="AC4112" s="20"/>
      <c r="AE4112" s="22"/>
      <c r="AF4112" s="22"/>
    </row>
    <row r="4113" spans="29:32" x14ac:dyDescent="0.2">
      <c r="AC4113" s="20"/>
      <c r="AE4113" s="22"/>
      <c r="AF4113" s="22"/>
    </row>
    <row r="4114" spans="29:32" x14ac:dyDescent="0.2">
      <c r="AC4114" s="20"/>
      <c r="AE4114" s="22"/>
      <c r="AF4114" s="22"/>
    </row>
    <row r="4115" spans="29:32" x14ac:dyDescent="0.2">
      <c r="AC4115" s="20"/>
      <c r="AE4115" s="22"/>
      <c r="AF4115" s="22"/>
    </row>
    <row r="4116" spans="29:32" x14ac:dyDescent="0.2">
      <c r="AC4116" s="20"/>
      <c r="AE4116" s="22"/>
      <c r="AF4116" s="22"/>
    </row>
    <row r="4117" spans="29:32" x14ac:dyDescent="0.2">
      <c r="AC4117" s="20"/>
      <c r="AE4117" s="22"/>
      <c r="AF4117" s="22"/>
    </row>
    <row r="4118" spans="29:32" x14ac:dyDescent="0.2">
      <c r="AC4118" s="20"/>
      <c r="AE4118" s="22"/>
      <c r="AF4118" s="22"/>
    </row>
    <row r="4119" spans="29:32" x14ac:dyDescent="0.2">
      <c r="AC4119" s="20"/>
      <c r="AE4119" s="22"/>
      <c r="AF4119" s="22"/>
    </row>
    <row r="4120" spans="29:32" x14ac:dyDescent="0.2">
      <c r="AC4120" s="20"/>
      <c r="AE4120" s="22"/>
      <c r="AF4120" s="22"/>
    </row>
    <row r="4121" spans="29:32" x14ac:dyDescent="0.2">
      <c r="AC4121" s="20"/>
      <c r="AE4121" s="22"/>
      <c r="AF4121" s="22"/>
    </row>
    <row r="4122" spans="29:32" x14ac:dyDescent="0.2">
      <c r="AC4122" s="20"/>
      <c r="AE4122" s="22"/>
      <c r="AF4122" s="22"/>
    </row>
    <row r="4123" spans="29:32" x14ac:dyDescent="0.2">
      <c r="AC4123" s="20"/>
      <c r="AE4123" s="22"/>
      <c r="AF4123" s="22"/>
    </row>
    <row r="4124" spans="29:32" x14ac:dyDescent="0.2">
      <c r="AC4124" s="20"/>
      <c r="AE4124" s="22"/>
      <c r="AF4124" s="22"/>
    </row>
    <row r="4125" spans="29:32" x14ac:dyDescent="0.2">
      <c r="AC4125" s="20"/>
      <c r="AE4125" s="22"/>
      <c r="AF4125" s="22"/>
    </row>
    <row r="4126" spans="29:32" x14ac:dyDescent="0.2">
      <c r="AC4126" s="20"/>
      <c r="AE4126" s="22"/>
      <c r="AF4126" s="22"/>
    </row>
    <row r="4127" spans="29:32" x14ac:dyDescent="0.2">
      <c r="AC4127" s="20"/>
      <c r="AE4127" s="22"/>
      <c r="AF4127" s="22"/>
    </row>
    <row r="4128" spans="29:32" x14ac:dyDescent="0.2">
      <c r="AC4128" s="20"/>
      <c r="AE4128" s="22"/>
      <c r="AF4128" s="22"/>
    </row>
    <row r="4129" spans="29:32" x14ac:dyDescent="0.2">
      <c r="AC4129" s="20"/>
      <c r="AE4129" s="22"/>
      <c r="AF4129" s="22"/>
    </row>
    <row r="4130" spans="29:32" x14ac:dyDescent="0.2">
      <c r="AC4130" s="20"/>
      <c r="AE4130" s="22"/>
      <c r="AF4130" s="22"/>
    </row>
    <row r="4131" spans="29:32" x14ac:dyDescent="0.2">
      <c r="AC4131" s="20"/>
      <c r="AE4131" s="22"/>
      <c r="AF4131" s="22"/>
    </row>
    <row r="4132" spans="29:32" x14ac:dyDescent="0.2">
      <c r="AC4132" s="20"/>
      <c r="AE4132" s="22"/>
      <c r="AF4132" s="22"/>
    </row>
    <row r="4133" spans="29:32" x14ac:dyDescent="0.2">
      <c r="AC4133" s="20"/>
      <c r="AE4133" s="22"/>
      <c r="AF4133" s="22"/>
    </row>
    <row r="4134" spans="29:32" x14ac:dyDescent="0.2">
      <c r="AC4134" s="20"/>
      <c r="AE4134" s="22"/>
      <c r="AF4134" s="22"/>
    </row>
    <row r="4135" spans="29:32" x14ac:dyDescent="0.2">
      <c r="AC4135" s="20"/>
      <c r="AE4135" s="22"/>
      <c r="AF4135" s="22"/>
    </row>
    <row r="4136" spans="29:32" x14ac:dyDescent="0.2">
      <c r="AC4136" s="20"/>
      <c r="AE4136" s="22"/>
      <c r="AF4136" s="22"/>
    </row>
    <row r="4137" spans="29:32" x14ac:dyDescent="0.2">
      <c r="AC4137" s="20"/>
      <c r="AE4137" s="22"/>
      <c r="AF4137" s="22"/>
    </row>
    <row r="4138" spans="29:32" x14ac:dyDescent="0.2">
      <c r="AC4138" s="20"/>
      <c r="AE4138" s="22"/>
      <c r="AF4138" s="22"/>
    </row>
    <row r="4139" spans="29:32" x14ac:dyDescent="0.2">
      <c r="AC4139" s="20"/>
      <c r="AE4139" s="22"/>
      <c r="AF4139" s="22"/>
    </row>
    <row r="4140" spans="29:32" x14ac:dyDescent="0.2">
      <c r="AC4140" s="20"/>
      <c r="AE4140" s="22"/>
      <c r="AF4140" s="22"/>
    </row>
    <row r="4141" spans="29:32" x14ac:dyDescent="0.2">
      <c r="AC4141" s="20"/>
      <c r="AE4141" s="22"/>
      <c r="AF4141" s="22"/>
    </row>
    <row r="4142" spans="29:32" x14ac:dyDescent="0.2">
      <c r="AC4142" s="20"/>
      <c r="AE4142" s="22"/>
      <c r="AF4142" s="22"/>
    </row>
    <row r="4143" spans="29:32" x14ac:dyDescent="0.2">
      <c r="AC4143" s="20"/>
      <c r="AE4143" s="22"/>
      <c r="AF4143" s="22"/>
    </row>
    <row r="4144" spans="29:32" x14ac:dyDescent="0.2">
      <c r="AC4144" s="20"/>
      <c r="AE4144" s="22"/>
      <c r="AF4144" s="22"/>
    </row>
    <row r="4145" spans="29:32" x14ac:dyDescent="0.2">
      <c r="AC4145" s="20"/>
      <c r="AE4145" s="22"/>
      <c r="AF4145" s="22"/>
    </row>
    <row r="4146" spans="29:32" x14ac:dyDescent="0.2">
      <c r="AC4146" s="20"/>
      <c r="AE4146" s="22"/>
      <c r="AF4146" s="22"/>
    </row>
    <row r="4147" spans="29:32" x14ac:dyDescent="0.2">
      <c r="AC4147" s="20"/>
      <c r="AE4147" s="22"/>
      <c r="AF4147" s="22"/>
    </row>
    <row r="4148" spans="29:32" x14ac:dyDescent="0.2">
      <c r="AC4148" s="20"/>
      <c r="AE4148" s="22"/>
      <c r="AF4148" s="22"/>
    </row>
    <row r="4149" spans="29:32" x14ac:dyDescent="0.2">
      <c r="AC4149" s="20"/>
      <c r="AE4149" s="22"/>
      <c r="AF4149" s="22"/>
    </row>
    <row r="4150" spans="29:32" x14ac:dyDescent="0.2">
      <c r="AC4150" s="20"/>
      <c r="AE4150" s="22"/>
      <c r="AF4150" s="22"/>
    </row>
    <row r="4151" spans="29:32" x14ac:dyDescent="0.2">
      <c r="AC4151" s="20"/>
      <c r="AE4151" s="22"/>
      <c r="AF4151" s="22"/>
    </row>
    <row r="4152" spans="29:32" x14ac:dyDescent="0.2">
      <c r="AC4152" s="20"/>
      <c r="AE4152" s="22"/>
      <c r="AF4152" s="22"/>
    </row>
    <row r="4153" spans="29:32" x14ac:dyDescent="0.2">
      <c r="AC4153" s="20"/>
      <c r="AE4153" s="22"/>
      <c r="AF4153" s="22"/>
    </row>
    <row r="4154" spans="29:32" x14ac:dyDescent="0.2">
      <c r="AC4154" s="20"/>
      <c r="AE4154" s="22"/>
      <c r="AF4154" s="22"/>
    </row>
    <row r="4155" spans="29:32" x14ac:dyDescent="0.2">
      <c r="AC4155" s="20"/>
      <c r="AE4155" s="22"/>
      <c r="AF4155" s="22"/>
    </row>
    <row r="4156" spans="29:32" x14ac:dyDescent="0.2">
      <c r="AC4156" s="20"/>
      <c r="AE4156" s="22"/>
      <c r="AF4156" s="22"/>
    </row>
    <row r="4157" spans="29:32" x14ac:dyDescent="0.2">
      <c r="AC4157" s="20"/>
      <c r="AE4157" s="22"/>
      <c r="AF4157" s="22"/>
    </row>
    <row r="4158" spans="29:32" x14ac:dyDescent="0.2">
      <c r="AC4158" s="20"/>
      <c r="AE4158" s="22"/>
      <c r="AF4158" s="22"/>
    </row>
    <row r="4159" spans="29:32" x14ac:dyDescent="0.2">
      <c r="AC4159" s="20"/>
      <c r="AE4159" s="22"/>
      <c r="AF4159" s="22"/>
    </row>
    <row r="4160" spans="29:32" x14ac:dyDescent="0.2">
      <c r="AC4160" s="20"/>
      <c r="AE4160" s="22"/>
      <c r="AF4160" s="22"/>
    </row>
    <row r="4161" spans="29:32" x14ac:dyDescent="0.2">
      <c r="AC4161" s="20"/>
      <c r="AE4161" s="22"/>
      <c r="AF4161" s="22"/>
    </row>
    <row r="4162" spans="29:32" x14ac:dyDescent="0.2">
      <c r="AC4162" s="20"/>
      <c r="AE4162" s="22"/>
      <c r="AF4162" s="22"/>
    </row>
    <row r="4163" spans="29:32" x14ac:dyDescent="0.2">
      <c r="AC4163" s="20"/>
      <c r="AE4163" s="22"/>
      <c r="AF4163" s="22"/>
    </row>
    <row r="4164" spans="29:32" x14ac:dyDescent="0.2">
      <c r="AC4164" s="20"/>
      <c r="AE4164" s="22"/>
      <c r="AF4164" s="22"/>
    </row>
    <row r="4165" spans="29:32" x14ac:dyDescent="0.2">
      <c r="AC4165" s="20"/>
      <c r="AE4165" s="22"/>
      <c r="AF4165" s="22"/>
    </row>
    <row r="4166" spans="29:32" x14ac:dyDescent="0.2">
      <c r="AC4166" s="20"/>
      <c r="AE4166" s="22"/>
      <c r="AF4166" s="22"/>
    </row>
    <row r="4167" spans="29:32" x14ac:dyDescent="0.2">
      <c r="AC4167" s="20"/>
      <c r="AE4167" s="22"/>
      <c r="AF4167" s="22"/>
    </row>
    <row r="4168" spans="29:32" x14ac:dyDescent="0.2">
      <c r="AC4168" s="20"/>
      <c r="AE4168" s="22"/>
      <c r="AF4168" s="22"/>
    </row>
    <row r="4169" spans="29:32" x14ac:dyDescent="0.2">
      <c r="AC4169" s="20"/>
      <c r="AE4169" s="22"/>
      <c r="AF4169" s="22"/>
    </row>
    <row r="4170" spans="29:32" x14ac:dyDescent="0.2">
      <c r="AC4170" s="20"/>
      <c r="AE4170" s="22"/>
      <c r="AF4170" s="22"/>
    </row>
    <row r="4171" spans="29:32" x14ac:dyDescent="0.2">
      <c r="AC4171" s="20"/>
      <c r="AE4171" s="22"/>
      <c r="AF4171" s="22"/>
    </row>
    <row r="4172" spans="29:32" x14ac:dyDescent="0.2">
      <c r="AC4172" s="20"/>
      <c r="AE4172" s="22"/>
      <c r="AF4172" s="22"/>
    </row>
    <row r="4173" spans="29:32" x14ac:dyDescent="0.2">
      <c r="AC4173" s="20"/>
      <c r="AE4173" s="22"/>
      <c r="AF4173" s="22"/>
    </row>
    <row r="4174" spans="29:32" x14ac:dyDescent="0.2">
      <c r="AC4174" s="20"/>
      <c r="AE4174" s="22"/>
      <c r="AF4174" s="22"/>
    </row>
    <row r="4175" spans="29:32" x14ac:dyDescent="0.2">
      <c r="AC4175" s="20"/>
      <c r="AE4175" s="22"/>
      <c r="AF4175" s="22"/>
    </row>
    <row r="4176" spans="29:32" x14ac:dyDescent="0.2">
      <c r="AC4176" s="20"/>
      <c r="AE4176" s="22"/>
      <c r="AF4176" s="22"/>
    </row>
    <row r="4177" spans="29:32" x14ac:dyDescent="0.2">
      <c r="AC4177" s="20"/>
      <c r="AE4177" s="22"/>
      <c r="AF4177" s="22"/>
    </row>
    <row r="4178" spans="29:32" x14ac:dyDescent="0.2">
      <c r="AC4178" s="20"/>
      <c r="AE4178" s="22"/>
      <c r="AF4178" s="22"/>
    </row>
    <row r="4179" spans="29:32" x14ac:dyDescent="0.2">
      <c r="AC4179" s="20"/>
      <c r="AE4179" s="22"/>
      <c r="AF4179" s="22"/>
    </row>
    <row r="4180" spans="29:32" x14ac:dyDescent="0.2">
      <c r="AC4180" s="20"/>
      <c r="AE4180" s="22"/>
      <c r="AF4180" s="22"/>
    </row>
    <row r="4181" spans="29:32" x14ac:dyDescent="0.2">
      <c r="AC4181" s="20"/>
      <c r="AE4181" s="22"/>
      <c r="AF4181" s="22"/>
    </row>
    <row r="4182" spans="29:32" x14ac:dyDescent="0.2">
      <c r="AC4182" s="20"/>
      <c r="AE4182" s="22"/>
      <c r="AF4182" s="22"/>
    </row>
    <row r="4183" spans="29:32" x14ac:dyDescent="0.2">
      <c r="AC4183" s="20"/>
      <c r="AE4183" s="22"/>
      <c r="AF4183" s="22"/>
    </row>
    <row r="4184" spans="29:32" x14ac:dyDescent="0.2">
      <c r="AC4184" s="20"/>
      <c r="AE4184" s="22"/>
      <c r="AF4184" s="22"/>
    </row>
    <row r="4185" spans="29:32" x14ac:dyDescent="0.2">
      <c r="AC4185" s="20"/>
      <c r="AE4185" s="22"/>
      <c r="AF4185" s="22"/>
    </row>
    <row r="4186" spans="29:32" x14ac:dyDescent="0.2">
      <c r="AC4186" s="20"/>
      <c r="AE4186" s="22"/>
      <c r="AF4186" s="22"/>
    </row>
    <row r="4187" spans="29:32" x14ac:dyDescent="0.2">
      <c r="AC4187" s="20"/>
      <c r="AE4187" s="22"/>
      <c r="AF4187" s="22"/>
    </row>
    <row r="4188" spans="29:32" x14ac:dyDescent="0.2">
      <c r="AC4188" s="20"/>
      <c r="AE4188" s="22"/>
      <c r="AF4188" s="22"/>
    </row>
    <row r="4189" spans="29:32" x14ac:dyDescent="0.2">
      <c r="AC4189" s="20"/>
      <c r="AE4189" s="22"/>
      <c r="AF4189" s="22"/>
    </row>
    <row r="4190" spans="29:32" x14ac:dyDescent="0.2">
      <c r="AC4190" s="20"/>
      <c r="AE4190" s="22"/>
      <c r="AF4190" s="22"/>
    </row>
    <row r="4191" spans="29:32" x14ac:dyDescent="0.2">
      <c r="AC4191" s="20"/>
      <c r="AE4191" s="22"/>
      <c r="AF4191" s="22"/>
    </row>
    <row r="4192" spans="29:32" x14ac:dyDescent="0.2">
      <c r="AC4192" s="20"/>
      <c r="AE4192" s="22"/>
      <c r="AF4192" s="22"/>
    </row>
    <row r="4193" spans="29:32" x14ac:dyDescent="0.2">
      <c r="AC4193" s="20"/>
      <c r="AE4193" s="22"/>
      <c r="AF4193" s="22"/>
    </row>
    <row r="4194" spans="29:32" x14ac:dyDescent="0.2">
      <c r="AC4194" s="20"/>
      <c r="AE4194" s="22"/>
      <c r="AF4194" s="22"/>
    </row>
    <row r="4195" spans="29:32" x14ac:dyDescent="0.2">
      <c r="AC4195" s="20"/>
      <c r="AE4195" s="22"/>
      <c r="AF4195" s="22"/>
    </row>
    <row r="4196" spans="29:32" x14ac:dyDescent="0.2">
      <c r="AC4196" s="20"/>
      <c r="AE4196" s="22"/>
      <c r="AF4196" s="22"/>
    </row>
    <row r="4197" spans="29:32" x14ac:dyDescent="0.2">
      <c r="AC4197" s="20"/>
      <c r="AE4197" s="22"/>
      <c r="AF4197" s="22"/>
    </row>
    <row r="4198" spans="29:32" x14ac:dyDescent="0.2">
      <c r="AC4198" s="20"/>
      <c r="AE4198" s="22"/>
      <c r="AF4198" s="22"/>
    </row>
    <row r="4199" spans="29:32" x14ac:dyDescent="0.2">
      <c r="AC4199" s="20"/>
      <c r="AE4199" s="22"/>
      <c r="AF4199" s="22"/>
    </row>
    <row r="4200" spans="29:32" x14ac:dyDescent="0.2">
      <c r="AC4200" s="20"/>
      <c r="AE4200" s="22"/>
      <c r="AF4200" s="22"/>
    </row>
    <row r="4201" spans="29:32" x14ac:dyDescent="0.2">
      <c r="AC4201" s="20"/>
      <c r="AE4201" s="22"/>
      <c r="AF4201" s="22"/>
    </row>
    <row r="4202" spans="29:32" x14ac:dyDescent="0.2">
      <c r="AC4202" s="20"/>
      <c r="AE4202" s="22"/>
      <c r="AF4202" s="22"/>
    </row>
    <row r="4203" spans="29:32" x14ac:dyDescent="0.2">
      <c r="AC4203" s="20"/>
      <c r="AE4203" s="22"/>
      <c r="AF4203" s="22"/>
    </row>
    <row r="4204" spans="29:32" x14ac:dyDescent="0.2">
      <c r="AC4204" s="20"/>
      <c r="AE4204" s="22"/>
      <c r="AF4204" s="22"/>
    </row>
    <row r="4205" spans="29:32" x14ac:dyDescent="0.2">
      <c r="AC4205" s="20"/>
      <c r="AE4205" s="22"/>
      <c r="AF4205" s="22"/>
    </row>
    <row r="4206" spans="29:32" x14ac:dyDescent="0.2">
      <c r="AC4206" s="20"/>
      <c r="AE4206" s="22"/>
      <c r="AF4206" s="22"/>
    </row>
    <row r="4207" spans="29:32" x14ac:dyDescent="0.2">
      <c r="AC4207" s="20"/>
      <c r="AE4207" s="22"/>
      <c r="AF4207" s="22"/>
    </row>
    <row r="4208" spans="29:32" x14ac:dyDescent="0.2">
      <c r="AC4208" s="20"/>
      <c r="AE4208" s="22"/>
      <c r="AF4208" s="22"/>
    </row>
    <row r="4209" spans="29:32" x14ac:dyDescent="0.2">
      <c r="AC4209" s="20"/>
      <c r="AE4209" s="22"/>
      <c r="AF4209" s="22"/>
    </row>
    <row r="4210" spans="29:32" x14ac:dyDescent="0.2">
      <c r="AC4210" s="20"/>
      <c r="AE4210" s="22"/>
      <c r="AF4210" s="22"/>
    </row>
    <row r="4211" spans="29:32" x14ac:dyDescent="0.2">
      <c r="AC4211" s="20"/>
      <c r="AE4211" s="22"/>
      <c r="AF4211" s="22"/>
    </row>
    <row r="4212" spans="29:32" x14ac:dyDescent="0.2">
      <c r="AC4212" s="20"/>
      <c r="AE4212" s="22"/>
      <c r="AF4212" s="22"/>
    </row>
    <row r="4213" spans="29:32" x14ac:dyDescent="0.2">
      <c r="AC4213" s="20"/>
      <c r="AE4213" s="22"/>
      <c r="AF4213" s="22"/>
    </row>
    <row r="4214" spans="29:32" x14ac:dyDescent="0.2">
      <c r="AC4214" s="20"/>
      <c r="AE4214" s="22"/>
      <c r="AF4214" s="22"/>
    </row>
    <row r="4215" spans="29:32" x14ac:dyDescent="0.2">
      <c r="AC4215" s="20"/>
      <c r="AE4215" s="22"/>
      <c r="AF4215" s="22"/>
    </row>
    <row r="4216" spans="29:32" x14ac:dyDescent="0.2">
      <c r="AC4216" s="20"/>
      <c r="AE4216" s="22"/>
      <c r="AF4216" s="22"/>
    </row>
    <row r="4217" spans="29:32" x14ac:dyDescent="0.2">
      <c r="AC4217" s="20"/>
      <c r="AE4217" s="22"/>
      <c r="AF4217" s="22"/>
    </row>
    <row r="4218" spans="29:32" x14ac:dyDescent="0.2">
      <c r="AC4218" s="20"/>
      <c r="AE4218" s="22"/>
      <c r="AF4218" s="22"/>
    </row>
    <row r="4219" spans="29:32" x14ac:dyDescent="0.2">
      <c r="AC4219" s="20"/>
      <c r="AE4219" s="22"/>
      <c r="AF4219" s="22"/>
    </row>
    <row r="4220" spans="29:32" x14ac:dyDescent="0.2">
      <c r="AC4220" s="20"/>
      <c r="AE4220" s="22"/>
      <c r="AF4220" s="22"/>
    </row>
    <row r="4221" spans="29:32" x14ac:dyDescent="0.2">
      <c r="AC4221" s="20"/>
      <c r="AE4221" s="22"/>
      <c r="AF4221" s="22"/>
    </row>
    <row r="4222" spans="29:32" x14ac:dyDescent="0.2">
      <c r="AC4222" s="20"/>
      <c r="AE4222" s="22"/>
      <c r="AF4222" s="22"/>
    </row>
    <row r="4223" spans="29:32" x14ac:dyDescent="0.2">
      <c r="AC4223" s="20"/>
      <c r="AE4223" s="22"/>
      <c r="AF4223" s="22"/>
    </row>
    <row r="4224" spans="29:32" x14ac:dyDescent="0.2">
      <c r="AC4224" s="20"/>
      <c r="AE4224" s="22"/>
      <c r="AF4224" s="22"/>
    </row>
    <row r="4225" spans="29:32" x14ac:dyDescent="0.2">
      <c r="AC4225" s="20"/>
      <c r="AE4225" s="22"/>
      <c r="AF4225" s="22"/>
    </row>
    <row r="4226" spans="29:32" x14ac:dyDescent="0.2">
      <c r="AC4226" s="20"/>
      <c r="AE4226" s="22"/>
      <c r="AF4226" s="22"/>
    </row>
    <row r="4227" spans="29:32" x14ac:dyDescent="0.2">
      <c r="AC4227" s="20"/>
      <c r="AE4227" s="22"/>
      <c r="AF4227" s="22"/>
    </row>
    <row r="4228" spans="29:32" x14ac:dyDescent="0.2">
      <c r="AC4228" s="20"/>
      <c r="AE4228" s="22"/>
      <c r="AF4228" s="22"/>
    </row>
    <row r="4229" spans="29:32" x14ac:dyDescent="0.2">
      <c r="AC4229" s="20"/>
      <c r="AE4229" s="22"/>
      <c r="AF4229" s="22"/>
    </row>
    <row r="4230" spans="29:32" x14ac:dyDescent="0.2">
      <c r="AC4230" s="20"/>
      <c r="AE4230" s="22"/>
      <c r="AF4230" s="22"/>
    </row>
    <row r="4231" spans="29:32" x14ac:dyDescent="0.2">
      <c r="AC4231" s="20"/>
      <c r="AE4231" s="22"/>
      <c r="AF4231" s="22"/>
    </row>
    <row r="4232" spans="29:32" x14ac:dyDescent="0.2">
      <c r="AC4232" s="20"/>
      <c r="AE4232" s="22"/>
      <c r="AF4232" s="22"/>
    </row>
    <row r="4233" spans="29:32" x14ac:dyDescent="0.2">
      <c r="AC4233" s="20"/>
      <c r="AE4233" s="22"/>
      <c r="AF4233" s="22"/>
    </row>
    <row r="4234" spans="29:32" x14ac:dyDescent="0.2">
      <c r="AC4234" s="20"/>
      <c r="AE4234" s="22"/>
      <c r="AF4234" s="22"/>
    </row>
    <row r="4235" spans="29:32" x14ac:dyDescent="0.2">
      <c r="AC4235" s="20"/>
      <c r="AE4235" s="22"/>
      <c r="AF4235" s="22"/>
    </row>
    <row r="4236" spans="29:32" x14ac:dyDescent="0.2">
      <c r="AC4236" s="20"/>
      <c r="AE4236" s="22"/>
      <c r="AF4236" s="22"/>
    </row>
    <row r="4237" spans="29:32" x14ac:dyDescent="0.2">
      <c r="AC4237" s="20"/>
      <c r="AE4237" s="22"/>
      <c r="AF4237" s="22"/>
    </row>
    <row r="4238" spans="29:32" x14ac:dyDescent="0.2">
      <c r="AC4238" s="20"/>
      <c r="AE4238" s="22"/>
      <c r="AF4238" s="22"/>
    </row>
    <row r="4239" spans="29:32" x14ac:dyDescent="0.2">
      <c r="AC4239" s="20"/>
      <c r="AE4239" s="22"/>
      <c r="AF4239" s="22"/>
    </row>
    <row r="4240" spans="29:32" x14ac:dyDescent="0.2">
      <c r="AC4240" s="20"/>
      <c r="AE4240" s="22"/>
      <c r="AF4240" s="22"/>
    </row>
    <row r="4241" spans="29:32" x14ac:dyDescent="0.2">
      <c r="AC4241" s="20"/>
      <c r="AE4241" s="22"/>
      <c r="AF4241" s="22"/>
    </row>
    <row r="4242" spans="29:32" x14ac:dyDescent="0.2">
      <c r="AC4242" s="20"/>
      <c r="AE4242" s="22"/>
      <c r="AF4242" s="22"/>
    </row>
    <row r="4243" spans="29:32" x14ac:dyDescent="0.2">
      <c r="AC4243" s="20"/>
      <c r="AE4243" s="22"/>
      <c r="AF4243" s="22"/>
    </row>
    <row r="4244" spans="29:32" x14ac:dyDescent="0.2">
      <c r="AC4244" s="20"/>
      <c r="AE4244" s="22"/>
      <c r="AF4244" s="22"/>
    </row>
    <row r="4245" spans="29:32" x14ac:dyDescent="0.2">
      <c r="AC4245" s="20"/>
      <c r="AE4245" s="22"/>
      <c r="AF4245" s="22"/>
    </row>
    <row r="4246" spans="29:32" x14ac:dyDescent="0.2">
      <c r="AC4246" s="20"/>
      <c r="AE4246" s="22"/>
      <c r="AF4246" s="22"/>
    </row>
    <row r="4247" spans="29:32" x14ac:dyDescent="0.2">
      <c r="AC4247" s="20"/>
      <c r="AE4247" s="22"/>
      <c r="AF4247" s="22"/>
    </row>
    <row r="4248" spans="29:32" x14ac:dyDescent="0.2">
      <c r="AC4248" s="20"/>
      <c r="AE4248" s="22"/>
      <c r="AF4248" s="22"/>
    </row>
    <row r="4249" spans="29:32" x14ac:dyDescent="0.2">
      <c r="AC4249" s="20"/>
      <c r="AE4249" s="22"/>
      <c r="AF4249" s="22"/>
    </row>
    <row r="4250" spans="29:32" x14ac:dyDescent="0.2">
      <c r="AC4250" s="20"/>
      <c r="AE4250" s="22"/>
      <c r="AF4250" s="22"/>
    </row>
    <row r="4251" spans="29:32" x14ac:dyDescent="0.2">
      <c r="AC4251" s="20"/>
      <c r="AE4251" s="22"/>
      <c r="AF4251" s="22"/>
    </row>
    <row r="4252" spans="29:32" x14ac:dyDescent="0.2">
      <c r="AC4252" s="20"/>
      <c r="AE4252" s="22"/>
      <c r="AF4252" s="22"/>
    </row>
    <row r="4253" spans="29:32" x14ac:dyDescent="0.2">
      <c r="AC4253" s="20"/>
      <c r="AE4253" s="22"/>
      <c r="AF4253" s="22"/>
    </row>
    <row r="4254" spans="29:32" x14ac:dyDescent="0.2">
      <c r="AC4254" s="20"/>
      <c r="AE4254" s="22"/>
      <c r="AF4254" s="22"/>
    </row>
    <row r="4255" spans="29:32" x14ac:dyDescent="0.2">
      <c r="AC4255" s="20"/>
      <c r="AE4255" s="22"/>
      <c r="AF4255" s="22"/>
    </row>
    <row r="4256" spans="29:32" x14ac:dyDescent="0.2">
      <c r="AC4256" s="20"/>
      <c r="AE4256" s="22"/>
      <c r="AF4256" s="22"/>
    </row>
    <row r="4257" spans="29:32" x14ac:dyDescent="0.2">
      <c r="AC4257" s="20"/>
      <c r="AE4257" s="22"/>
      <c r="AF4257" s="22"/>
    </row>
    <row r="4258" spans="29:32" x14ac:dyDescent="0.2">
      <c r="AC4258" s="20"/>
      <c r="AE4258" s="22"/>
      <c r="AF4258" s="22"/>
    </row>
    <row r="4259" spans="29:32" x14ac:dyDescent="0.2">
      <c r="AC4259" s="20"/>
      <c r="AE4259" s="22"/>
      <c r="AF4259" s="22"/>
    </row>
    <row r="4260" spans="29:32" x14ac:dyDescent="0.2">
      <c r="AC4260" s="20"/>
      <c r="AE4260" s="22"/>
      <c r="AF4260" s="22"/>
    </row>
    <row r="4261" spans="29:32" x14ac:dyDescent="0.2">
      <c r="AC4261" s="20"/>
      <c r="AE4261" s="22"/>
      <c r="AF4261" s="22"/>
    </row>
    <row r="4262" spans="29:32" x14ac:dyDescent="0.2">
      <c r="AC4262" s="20"/>
      <c r="AE4262" s="22"/>
      <c r="AF4262" s="22"/>
    </row>
    <row r="4263" spans="29:32" x14ac:dyDescent="0.2">
      <c r="AC4263" s="20"/>
      <c r="AE4263" s="22"/>
      <c r="AF4263" s="22"/>
    </row>
    <row r="4264" spans="29:32" x14ac:dyDescent="0.2">
      <c r="AC4264" s="20"/>
      <c r="AE4264" s="22"/>
      <c r="AF4264" s="22"/>
    </row>
    <row r="4265" spans="29:32" x14ac:dyDescent="0.2">
      <c r="AC4265" s="20"/>
      <c r="AE4265" s="22"/>
      <c r="AF4265" s="22"/>
    </row>
    <row r="4266" spans="29:32" x14ac:dyDescent="0.2">
      <c r="AC4266" s="20"/>
      <c r="AE4266" s="22"/>
      <c r="AF4266" s="22"/>
    </row>
    <row r="4267" spans="29:32" x14ac:dyDescent="0.2">
      <c r="AC4267" s="20"/>
      <c r="AE4267" s="22"/>
      <c r="AF4267" s="22"/>
    </row>
    <row r="4268" spans="29:32" x14ac:dyDescent="0.2">
      <c r="AC4268" s="20"/>
      <c r="AE4268" s="22"/>
      <c r="AF4268" s="22"/>
    </row>
    <row r="4269" spans="29:32" x14ac:dyDescent="0.2">
      <c r="AC4269" s="20"/>
      <c r="AE4269" s="22"/>
      <c r="AF4269" s="22"/>
    </row>
    <row r="4270" spans="29:32" x14ac:dyDescent="0.2">
      <c r="AC4270" s="20"/>
      <c r="AE4270" s="22"/>
      <c r="AF4270" s="22"/>
    </row>
    <row r="4271" spans="29:32" x14ac:dyDescent="0.2">
      <c r="AC4271" s="20"/>
      <c r="AE4271" s="22"/>
      <c r="AF4271" s="22"/>
    </row>
    <row r="4272" spans="29:32" x14ac:dyDescent="0.2">
      <c r="AC4272" s="20"/>
      <c r="AE4272" s="22"/>
      <c r="AF4272" s="22"/>
    </row>
    <row r="4273" spans="29:32" x14ac:dyDescent="0.2">
      <c r="AC4273" s="20"/>
      <c r="AE4273" s="22"/>
      <c r="AF4273" s="22"/>
    </row>
    <row r="4274" spans="29:32" x14ac:dyDescent="0.2">
      <c r="AC4274" s="20"/>
      <c r="AE4274" s="22"/>
      <c r="AF4274" s="22"/>
    </row>
    <row r="4275" spans="29:32" x14ac:dyDescent="0.2">
      <c r="AC4275" s="20"/>
      <c r="AE4275" s="22"/>
      <c r="AF4275" s="22"/>
    </row>
    <row r="4276" spans="29:32" x14ac:dyDescent="0.2">
      <c r="AC4276" s="20"/>
      <c r="AE4276" s="22"/>
      <c r="AF4276" s="22"/>
    </row>
    <row r="4277" spans="29:32" x14ac:dyDescent="0.2">
      <c r="AC4277" s="20"/>
      <c r="AE4277" s="22"/>
      <c r="AF4277" s="22"/>
    </row>
    <row r="4278" spans="29:32" x14ac:dyDescent="0.2">
      <c r="AC4278" s="20"/>
      <c r="AE4278" s="22"/>
      <c r="AF4278" s="22"/>
    </row>
    <row r="4279" spans="29:32" x14ac:dyDescent="0.2">
      <c r="AC4279" s="20"/>
      <c r="AE4279" s="22"/>
      <c r="AF4279" s="22"/>
    </row>
    <row r="4280" spans="29:32" x14ac:dyDescent="0.2">
      <c r="AC4280" s="20"/>
      <c r="AE4280" s="22"/>
      <c r="AF4280" s="22"/>
    </row>
    <row r="4281" spans="29:32" x14ac:dyDescent="0.2">
      <c r="AC4281" s="20"/>
      <c r="AE4281" s="22"/>
      <c r="AF4281" s="22"/>
    </row>
    <row r="4282" spans="29:32" x14ac:dyDescent="0.2">
      <c r="AC4282" s="20"/>
      <c r="AE4282" s="22"/>
      <c r="AF4282" s="22"/>
    </row>
    <row r="4283" spans="29:32" x14ac:dyDescent="0.2">
      <c r="AC4283" s="20"/>
      <c r="AE4283" s="22"/>
      <c r="AF4283" s="22"/>
    </row>
    <row r="4284" spans="29:32" x14ac:dyDescent="0.2">
      <c r="AC4284" s="20"/>
      <c r="AE4284" s="22"/>
      <c r="AF4284" s="22"/>
    </row>
    <row r="4285" spans="29:32" x14ac:dyDescent="0.2">
      <c r="AC4285" s="20"/>
      <c r="AE4285" s="22"/>
      <c r="AF4285" s="22"/>
    </row>
    <row r="4286" spans="29:32" x14ac:dyDescent="0.2">
      <c r="AC4286" s="20"/>
      <c r="AE4286" s="22"/>
      <c r="AF4286" s="22"/>
    </row>
    <row r="4287" spans="29:32" x14ac:dyDescent="0.2">
      <c r="AC4287" s="20"/>
      <c r="AE4287" s="22"/>
      <c r="AF4287" s="22"/>
    </row>
    <row r="4288" spans="29:32" x14ac:dyDescent="0.2">
      <c r="AC4288" s="20"/>
      <c r="AE4288" s="22"/>
      <c r="AF4288" s="22"/>
    </row>
    <row r="4289" spans="29:32" x14ac:dyDescent="0.2">
      <c r="AC4289" s="20"/>
      <c r="AE4289" s="22"/>
      <c r="AF4289" s="22"/>
    </row>
    <row r="4290" spans="29:32" x14ac:dyDescent="0.2">
      <c r="AC4290" s="20"/>
      <c r="AE4290" s="22"/>
      <c r="AF4290" s="22"/>
    </row>
    <row r="4291" spans="29:32" x14ac:dyDescent="0.2">
      <c r="AC4291" s="20"/>
      <c r="AE4291" s="22"/>
      <c r="AF4291" s="22"/>
    </row>
    <row r="4292" spans="29:32" x14ac:dyDescent="0.2">
      <c r="AC4292" s="20"/>
      <c r="AE4292" s="22"/>
      <c r="AF4292" s="22"/>
    </row>
    <row r="4293" spans="29:32" x14ac:dyDescent="0.2">
      <c r="AC4293" s="20"/>
      <c r="AE4293" s="22"/>
      <c r="AF4293" s="22"/>
    </row>
    <row r="4294" spans="29:32" x14ac:dyDescent="0.2">
      <c r="AC4294" s="20"/>
      <c r="AE4294" s="22"/>
      <c r="AF4294" s="22"/>
    </row>
    <row r="4295" spans="29:32" x14ac:dyDescent="0.2">
      <c r="AC4295" s="20"/>
      <c r="AE4295" s="22"/>
      <c r="AF4295" s="22"/>
    </row>
    <row r="4296" spans="29:32" x14ac:dyDescent="0.2">
      <c r="AC4296" s="20"/>
      <c r="AE4296" s="22"/>
      <c r="AF4296" s="22"/>
    </row>
    <row r="4297" spans="29:32" x14ac:dyDescent="0.2">
      <c r="AC4297" s="20"/>
      <c r="AE4297" s="22"/>
      <c r="AF4297" s="22"/>
    </row>
    <row r="4298" spans="29:32" x14ac:dyDescent="0.2">
      <c r="AC4298" s="20"/>
      <c r="AE4298" s="22"/>
      <c r="AF4298" s="22"/>
    </row>
    <row r="4299" spans="29:32" x14ac:dyDescent="0.2">
      <c r="AC4299" s="20"/>
      <c r="AE4299" s="22"/>
      <c r="AF4299" s="22"/>
    </row>
    <row r="4300" spans="29:32" x14ac:dyDescent="0.2">
      <c r="AC4300" s="20"/>
      <c r="AE4300" s="22"/>
      <c r="AF4300" s="22"/>
    </row>
    <row r="4301" spans="29:32" x14ac:dyDescent="0.2">
      <c r="AC4301" s="20"/>
      <c r="AE4301" s="22"/>
      <c r="AF4301" s="22"/>
    </row>
    <row r="4302" spans="29:32" x14ac:dyDescent="0.2">
      <c r="AC4302" s="20"/>
      <c r="AE4302" s="22"/>
      <c r="AF4302" s="22"/>
    </row>
    <row r="4303" spans="29:32" x14ac:dyDescent="0.2">
      <c r="AC4303" s="20"/>
      <c r="AE4303" s="22"/>
      <c r="AF4303" s="22"/>
    </row>
    <row r="4304" spans="29:32" x14ac:dyDescent="0.2">
      <c r="AC4304" s="20"/>
      <c r="AE4304" s="22"/>
      <c r="AF4304" s="22"/>
    </row>
    <row r="4305" spans="29:32" x14ac:dyDescent="0.2">
      <c r="AC4305" s="20"/>
      <c r="AE4305" s="22"/>
      <c r="AF4305" s="22"/>
    </row>
    <row r="4306" spans="29:32" x14ac:dyDescent="0.2">
      <c r="AC4306" s="20"/>
      <c r="AE4306" s="22"/>
      <c r="AF4306" s="22"/>
    </row>
    <row r="4307" spans="29:32" x14ac:dyDescent="0.2">
      <c r="AC4307" s="20"/>
      <c r="AE4307" s="22"/>
      <c r="AF4307" s="22"/>
    </row>
    <row r="4308" spans="29:32" x14ac:dyDescent="0.2">
      <c r="AC4308" s="20"/>
      <c r="AE4308" s="22"/>
      <c r="AF4308" s="22"/>
    </row>
    <row r="4309" spans="29:32" x14ac:dyDescent="0.2">
      <c r="AC4309" s="20"/>
      <c r="AE4309" s="22"/>
      <c r="AF4309" s="22"/>
    </row>
    <row r="4310" spans="29:32" x14ac:dyDescent="0.2">
      <c r="AC4310" s="20"/>
      <c r="AE4310" s="22"/>
      <c r="AF4310" s="22"/>
    </row>
    <row r="4311" spans="29:32" x14ac:dyDescent="0.2">
      <c r="AC4311" s="20"/>
      <c r="AE4311" s="22"/>
      <c r="AF4311" s="22"/>
    </row>
    <row r="4312" spans="29:32" x14ac:dyDescent="0.2">
      <c r="AC4312" s="20"/>
      <c r="AE4312" s="22"/>
      <c r="AF4312" s="22"/>
    </row>
    <row r="4313" spans="29:32" x14ac:dyDescent="0.2">
      <c r="AC4313" s="20"/>
      <c r="AE4313" s="22"/>
      <c r="AF4313" s="22"/>
    </row>
    <row r="4314" spans="29:32" x14ac:dyDescent="0.2">
      <c r="AC4314" s="20"/>
      <c r="AE4314" s="22"/>
      <c r="AF4314" s="22"/>
    </row>
    <row r="4315" spans="29:32" x14ac:dyDescent="0.2">
      <c r="AC4315" s="20"/>
      <c r="AE4315" s="22"/>
      <c r="AF4315" s="22"/>
    </row>
    <row r="4316" spans="29:32" x14ac:dyDescent="0.2">
      <c r="AC4316" s="20"/>
      <c r="AE4316" s="22"/>
      <c r="AF4316" s="22"/>
    </row>
    <row r="4317" spans="29:32" x14ac:dyDescent="0.2">
      <c r="AC4317" s="20"/>
      <c r="AE4317" s="22"/>
      <c r="AF4317" s="22"/>
    </row>
    <row r="4318" spans="29:32" x14ac:dyDescent="0.2">
      <c r="AC4318" s="20"/>
      <c r="AE4318" s="22"/>
      <c r="AF4318" s="22"/>
    </row>
    <row r="4319" spans="29:32" x14ac:dyDescent="0.2">
      <c r="AC4319" s="20"/>
      <c r="AE4319" s="22"/>
      <c r="AF4319" s="22"/>
    </row>
    <row r="4320" spans="29:32" x14ac:dyDescent="0.2">
      <c r="AC4320" s="20"/>
      <c r="AE4320" s="22"/>
      <c r="AF4320" s="22"/>
    </row>
    <row r="4321" spans="29:32" x14ac:dyDescent="0.2">
      <c r="AC4321" s="20"/>
      <c r="AE4321" s="22"/>
      <c r="AF4321" s="22"/>
    </row>
    <row r="4322" spans="29:32" x14ac:dyDescent="0.2">
      <c r="AC4322" s="20"/>
      <c r="AE4322" s="22"/>
      <c r="AF4322" s="22"/>
    </row>
    <row r="4323" spans="29:32" x14ac:dyDescent="0.2">
      <c r="AC4323" s="20"/>
      <c r="AE4323" s="22"/>
      <c r="AF4323" s="22"/>
    </row>
    <row r="4324" spans="29:32" x14ac:dyDescent="0.2">
      <c r="AC4324" s="20"/>
      <c r="AE4324" s="22"/>
      <c r="AF4324" s="22"/>
    </row>
    <row r="4325" spans="29:32" x14ac:dyDescent="0.2">
      <c r="AC4325" s="20"/>
      <c r="AE4325" s="22"/>
      <c r="AF4325" s="22"/>
    </row>
    <row r="4326" spans="29:32" x14ac:dyDescent="0.2">
      <c r="AC4326" s="20"/>
      <c r="AE4326" s="22"/>
      <c r="AF4326" s="22"/>
    </row>
    <row r="4327" spans="29:32" x14ac:dyDescent="0.2">
      <c r="AC4327" s="20"/>
      <c r="AE4327" s="22"/>
      <c r="AF4327" s="22"/>
    </row>
    <row r="4328" spans="29:32" x14ac:dyDescent="0.2">
      <c r="AC4328" s="20"/>
      <c r="AE4328" s="22"/>
      <c r="AF4328" s="22"/>
    </row>
    <row r="4329" spans="29:32" x14ac:dyDescent="0.2">
      <c r="AC4329" s="20"/>
      <c r="AE4329" s="22"/>
      <c r="AF4329" s="22"/>
    </row>
    <row r="4330" spans="29:32" x14ac:dyDescent="0.2">
      <c r="AC4330" s="20"/>
      <c r="AE4330" s="22"/>
      <c r="AF4330" s="22"/>
    </row>
    <row r="4331" spans="29:32" x14ac:dyDescent="0.2">
      <c r="AC4331" s="20"/>
      <c r="AE4331" s="22"/>
      <c r="AF4331" s="22"/>
    </row>
    <row r="4332" spans="29:32" x14ac:dyDescent="0.2">
      <c r="AC4332" s="20"/>
      <c r="AE4332" s="22"/>
      <c r="AF4332" s="22"/>
    </row>
    <row r="4333" spans="29:32" x14ac:dyDescent="0.2">
      <c r="AC4333" s="20"/>
      <c r="AE4333" s="22"/>
      <c r="AF4333" s="22"/>
    </row>
    <row r="4334" spans="29:32" x14ac:dyDescent="0.2">
      <c r="AC4334" s="20"/>
      <c r="AE4334" s="22"/>
      <c r="AF4334" s="22"/>
    </row>
    <row r="4335" spans="29:32" x14ac:dyDescent="0.2">
      <c r="AC4335" s="20"/>
      <c r="AE4335" s="22"/>
      <c r="AF4335" s="22"/>
    </row>
    <row r="4336" spans="29:32" x14ac:dyDescent="0.2">
      <c r="AC4336" s="20"/>
      <c r="AE4336" s="22"/>
      <c r="AF4336" s="22"/>
    </row>
    <row r="4337" spans="29:32" x14ac:dyDescent="0.2">
      <c r="AC4337" s="20"/>
      <c r="AE4337" s="22"/>
      <c r="AF4337" s="22"/>
    </row>
    <row r="4338" spans="29:32" x14ac:dyDescent="0.2">
      <c r="AC4338" s="20"/>
      <c r="AE4338" s="22"/>
      <c r="AF4338" s="22"/>
    </row>
    <row r="4339" spans="29:32" x14ac:dyDescent="0.2">
      <c r="AC4339" s="20"/>
      <c r="AE4339" s="22"/>
      <c r="AF4339" s="22"/>
    </row>
    <row r="4340" spans="29:32" x14ac:dyDescent="0.2">
      <c r="AC4340" s="20"/>
      <c r="AE4340" s="22"/>
      <c r="AF4340" s="22"/>
    </row>
    <row r="4341" spans="29:32" x14ac:dyDescent="0.2">
      <c r="AC4341" s="20"/>
      <c r="AE4341" s="22"/>
      <c r="AF4341" s="22"/>
    </row>
    <row r="4342" spans="29:32" x14ac:dyDescent="0.2">
      <c r="AC4342" s="20"/>
      <c r="AE4342" s="22"/>
      <c r="AF4342" s="22"/>
    </row>
    <row r="4343" spans="29:32" x14ac:dyDescent="0.2">
      <c r="AC4343" s="20"/>
      <c r="AE4343" s="22"/>
      <c r="AF4343" s="22"/>
    </row>
    <row r="4344" spans="29:32" x14ac:dyDescent="0.2">
      <c r="AC4344" s="20"/>
      <c r="AE4344" s="22"/>
      <c r="AF4344" s="22"/>
    </row>
    <row r="4345" spans="29:32" x14ac:dyDescent="0.2">
      <c r="AC4345" s="20"/>
      <c r="AE4345" s="22"/>
      <c r="AF4345" s="22"/>
    </row>
    <row r="4346" spans="29:32" x14ac:dyDescent="0.2">
      <c r="AC4346" s="20"/>
      <c r="AE4346" s="22"/>
      <c r="AF4346" s="22"/>
    </row>
    <row r="4347" spans="29:32" x14ac:dyDescent="0.2">
      <c r="AC4347" s="20"/>
      <c r="AE4347" s="22"/>
      <c r="AF4347" s="22"/>
    </row>
    <row r="4348" spans="29:32" x14ac:dyDescent="0.2">
      <c r="AC4348" s="20"/>
      <c r="AE4348" s="22"/>
      <c r="AF4348" s="22"/>
    </row>
    <row r="4349" spans="29:32" x14ac:dyDescent="0.2">
      <c r="AC4349" s="20"/>
      <c r="AE4349" s="22"/>
      <c r="AF4349" s="22"/>
    </row>
    <row r="4350" spans="29:32" x14ac:dyDescent="0.2">
      <c r="AC4350" s="20"/>
      <c r="AE4350" s="22"/>
      <c r="AF4350" s="22"/>
    </row>
    <row r="4351" spans="29:32" x14ac:dyDescent="0.2">
      <c r="AC4351" s="20"/>
      <c r="AE4351" s="22"/>
      <c r="AF4351" s="22"/>
    </row>
    <row r="4352" spans="29:32" x14ac:dyDescent="0.2">
      <c r="AC4352" s="20"/>
      <c r="AE4352" s="22"/>
      <c r="AF4352" s="22"/>
    </row>
    <row r="4353" spans="29:32" x14ac:dyDescent="0.2">
      <c r="AC4353" s="20"/>
      <c r="AE4353" s="22"/>
      <c r="AF4353" s="22"/>
    </row>
    <row r="4354" spans="29:32" x14ac:dyDescent="0.2">
      <c r="AC4354" s="20"/>
      <c r="AE4354" s="22"/>
      <c r="AF4354" s="22"/>
    </row>
    <row r="4355" spans="29:32" x14ac:dyDescent="0.2">
      <c r="AC4355" s="20"/>
      <c r="AE4355" s="22"/>
      <c r="AF4355" s="22"/>
    </row>
    <row r="4356" spans="29:32" x14ac:dyDescent="0.2">
      <c r="AC4356" s="20"/>
      <c r="AE4356" s="22"/>
      <c r="AF4356" s="22"/>
    </row>
    <row r="4357" spans="29:32" x14ac:dyDescent="0.2">
      <c r="AC4357" s="20"/>
      <c r="AE4357" s="22"/>
      <c r="AF4357" s="22"/>
    </row>
    <row r="4358" spans="29:32" x14ac:dyDescent="0.2">
      <c r="AC4358" s="20"/>
      <c r="AE4358" s="22"/>
      <c r="AF4358" s="22"/>
    </row>
    <row r="4359" spans="29:32" x14ac:dyDescent="0.2">
      <c r="AC4359" s="20"/>
      <c r="AE4359" s="22"/>
      <c r="AF4359" s="22"/>
    </row>
    <row r="4360" spans="29:32" x14ac:dyDescent="0.2">
      <c r="AC4360" s="20"/>
      <c r="AE4360" s="22"/>
      <c r="AF4360" s="22"/>
    </row>
    <row r="4361" spans="29:32" x14ac:dyDescent="0.2">
      <c r="AC4361" s="20"/>
      <c r="AE4361" s="22"/>
      <c r="AF4361" s="22"/>
    </row>
    <row r="4362" spans="29:32" x14ac:dyDescent="0.2">
      <c r="AC4362" s="20"/>
      <c r="AE4362" s="22"/>
      <c r="AF4362" s="22"/>
    </row>
    <row r="4363" spans="29:32" x14ac:dyDescent="0.2">
      <c r="AC4363" s="20"/>
      <c r="AE4363" s="22"/>
      <c r="AF4363" s="22"/>
    </row>
    <row r="4364" spans="29:32" x14ac:dyDescent="0.2">
      <c r="AC4364" s="20"/>
      <c r="AE4364" s="22"/>
      <c r="AF4364" s="22"/>
    </row>
    <row r="4365" spans="29:32" x14ac:dyDescent="0.2">
      <c r="AC4365" s="20"/>
      <c r="AE4365" s="22"/>
      <c r="AF4365" s="22"/>
    </row>
    <row r="4366" spans="29:32" x14ac:dyDescent="0.2">
      <c r="AC4366" s="20"/>
      <c r="AE4366" s="22"/>
      <c r="AF4366" s="22"/>
    </row>
    <row r="4367" spans="29:32" x14ac:dyDescent="0.2">
      <c r="AC4367" s="20"/>
      <c r="AE4367" s="22"/>
      <c r="AF4367" s="22"/>
    </row>
    <row r="4368" spans="29:32" x14ac:dyDescent="0.2">
      <c r="AC4368" s="20"/>
      <c r="AE4368" s="22"/>
      <c r="AF4368" s="22"/>
    </row>
    <row r="4369" spans="29:32" x14ac:dyDescent="0.2">
      <c r="AC4369" s="20"/>
      <c r="AE4369" s="22"/>
      <c r="AF4369" s="22"/>
    </row>
    <row r="4370" spans="29:32" x14ac:dyDescent="0.2">
      <c r="AC4370" s="20"/>
      <c r="AE4370" s="22"/>
      <c r="AF4370" s="22"/>
    </row>
    <row r="4371" spans="29:32" x14ac:dyDescent="0.2">
      <c r="AC4371" s="20"/>
      <c r="AE4371" s="22"/>
      <c r="AF4371" s="22"/>
    </row>
    <row r="4372" spans="29:32" x14ac:dyDescent="0.2">
      <c r="AC4372" s="20"/>
      <c r="AE4372" s="22"/>
      <c r="AF4372" s="22"/>
    </row>
    <row r="4373" spans="29:32" x14ac:dyDescent="0.2">
      <c r="AC4373" s="20"/>
      <c r="AE4373" s="22"/>
      <c r="AF4373" s="22"/>
    </row>
    <row r="4374" spans="29:32" x14ac:dyDescent="0.2">
      <c r="AC4374" s="20"/>
      <c r="AE4374" s="22"/>
      <c r="AF4374" s="22"/>
    </row>
    <row r="4375" spans="29:32" x14ac:dyDescent="0.2">
      <c r="AC4375" s="20"/>
      <c r="AE4375" s="22"/>
      <c r="AF4375" s="22"/>
    </row>
    <row r="4376" spans="29:32" x14ac:dyDescent="0.2">
      <c r="AC4376" s="20"/>
      <c r="AE4376" s="22"/>
      <c r="AF4376" s="22"/>
    </row>
    <row r="4377" spans="29:32" x14ac:dyDescent="0.2">
      <c r="AC4377" s="20"/>
      <c r="AE4377" s="22"/>
      <c r="AF4377" s="22"/>
    </row>
    <row r="4378" spans="29:32" x14ac:dyDescent="0.2">
      <c r="AC4378" s="20"/>
      <c r="AE4378" s="22"/>
      <c r="AF4378" s="22"/>
    </row>
    <row r="4379" spans="29:32" x14ac:dyDescent="0.2">
      <c r="AC4379" s="20"/>
      <c r="AE4379" s="22"/>
      <c r="AF4379" s="22"/>
    </row>
    <row r="4380" spans="29:32" x14ac:dyDescent="0.2">
      <c r="AC4380" s="20"/>
      <c r="AE4380" s="22"/>
      <c r="AF4380" s="22"/>
    </row>
    <row r="4381" spans="29:32" x14ac:dyDescent="0.2">
      <c r="AC4381" s="20"/>
      <c r="AE4381" s="22"/>
      <c r="AF4381" s="22"/>
    </row>
    <row r="4382" spans="29:32" x14ac:dyDescent="0.2">
      <c r="AC4382" s="20"/>
      <c r="AE4382" s="22"/>
      <c r="AF4382" s="22"/>
    </row>
    <row r="4383" spans="29:32" x14ac:dyDescent="0.2">
      <c r="AC4383" s="20"/>
      <c r="AE4383" s="22"/>
      <c r="AF4383" s="22"/>
    </row>
    <row r="4384" spans="29:32" x14ac:dyDescent="0.2">
      <c r="AC4384" s="20"/>
      <c r="AE4384" s="22"/>
      <c r="AF4384" s="22"/>
    </row>
    <row r="4385" spans="29:32" x14ac:dyDescent="0.2">
      <c r="AC4385" s="20"/>
      <c r="AE4385" s="22"/>
      <c r="AF4385" s="22"/>
    </row>
    <row r="4386" spans="29:32" x14ac:dyDescent="0.2">
      <c r="AC4386" s="20"/>
      <c r="AE4386" s="22"/>
      <c r="AF4386" s="22"/>
    </row>
    <row r="4387" spans="29:32" x14ac:dyDescent="0.2">
      <c r="AC4387" s="20"/>
      <c r="AE4387" s="22"/>
      <c r="AF4387" s="22"/>
    </row>
    <row r="4388" spans="29:32" x14ac:dyDescent="0.2">
      <c r="AC4388" s="20"/>
      <c r="AE4388" s="22"/>
      <c r="AF4388" s="22"/>
    </row>
    <row r="4389" spans="29:32" x14ac:dyDescent="0.2">
      <c r="AC4389" s="20"/>
      <c r="AE4389" s="22"/>
      <c r="AF4389" s="22"/>
    </row>
    <row r="4390" spans="29:32" x14ac:dyDescent="0.2">
      <c r="AC4390" s="20"/>
      <c r="AE4390" s="22"/>
      <c r="AF4390" s="22"/>
    </row>
    <row r="4391" spans="29:32" x14ac:dyDescent="0.2">
      <c r="AC4391" s="20"/>
      <c r="AE4391" s="22"/>
      <c r="AF4391" s="22"/>
    </row>
    <row r="4392" spans="29:32" x14ac:dyDescent="0.2">
      <c r="AC4392" s="20"/>
      <c r="AE4392" s="22"/>
      <c r="AF4392" s="22"/>
    </row>
    <row r="4393" spans="29:32" x14ac:dyDescent="0.2">
      <c r="AC4393" s="20"/>
      <c r="AE4393" s="22"/>
      <c r="AF4393" s="22"/>
    </row>
    <row r="4394" spans="29:32" x14ac:dyDescent="0.2">
      <c r="AC4394" s="20"/>
      <c r="AE4394" s="22"/>
      <c r="AF4394" s="22"/>
    </row>
    <row r="4395" spans="29:32" x14ac:dyDescent="0.2">
      <c r="AC4395" s="20"/>
      <c r="AE4395" s="22"/>
      <c r="AF4395" s="22"/>
    </row>
    <row r="4396" spans="29:32" x14ac:dyDescent="0.2">
      <c r="AC4396" s="20"/>
      <c r="AE4396" s="22"/>
      <c r="AF4396" s="22"/>
    </row>
    <row r="4397" spans="29:32" x14ac:dyDescent="0.2">
      <c r="AC4397" s="20"/>
      <c r="AE4397" s="22"/>
      <c r="AF4397" s="22"/>
    </row>
    <row r="4398" spans="29:32" x14ac:dyDescent="0.2">
      <c r="AC4398" s="20"/>
      <c r="AE4398" s="22"/>
      <c r="AF4398" s="22"/>
    </row>
    <row r="4399" spans="29:32" x14ac:dyDescent="0.2">
      <c r="AC4399" s="20"/>
      <c r="AE4399" s="22"/>
      <c r="AF4399" s="22"/>
    </row>
    <row r="4400" spans="29:32" x14ac:dyDescent="0.2">
      <c r="AC4400" s="20"/>
      <c r="AE4400" s="22"/>
      <c r="AF4400" s="22"/>
    </row>
    <row r="4401" spans="29:32" x14ac:dyDescent="0.2">
      <c r="AC4401" s="20"/>
      <c r="AE4401" s="22"/>
      <c r="AF4401" s="22"/>
    </row>
    <row r="4402" spans="29:32" x14ac:dyDescent="0.2">
      <c r="AC4402" s="20"/>
      <c r="AE4402" s="22"/>
      <c r="AF4402" s="22"/>
    </row>
    <row r="4403" spans="29:32" x14ac:dyDescent="0.2">
      <c r="AC4403" s="20"/>
      <c r="AE4403" s="22"/>
      <c r="AF4403" s="22"/>
    </row>
    <row r="4404" spans="29:32" x14ac:dyDescent="0.2">
      <c r="AC4404" s="20"/>
      <c r="AE4404" s="22"/>
      <c r="AF4404" s="22"/>
    </row>
    <row r="4405" spans="29:32" x14ac:dyDescent="0.2">
      <c r="AC4405" s="20"/>
      <c r="AE4405" s="22"/>
      <c r="AF4405" s="22"/>
    </row>
    <row r="4406" spans="29:32" x14ac:dyDescent="0.2">
      <c r="AC4406" s="20"/>
      <c r="AE4406" s="22"/>
      <c r="AF4406" s="22"/>
    </row>
    <row r="4407" spans="29:32" x14ac:dyDescent="0.2">
      <c r="AC4407" s="20"/>
      <c r="AE4407" s="22"/>
      <c r="AF4407" s="22"/>
    </row>
    <row r="4408" spans="29:32" x14ac:dyDescent="0.2">
      <c r="AC4408" s="20"/>
      <c r="AE4408" s="22"/>
      <c r="AF4408" s="22"/>
    </row>
    <row r="4409" spans="29:32" x14ac:dyDescent="0.2">
      <c r="AC4409" s="20"/>
      <c r="AE4409" s="22"/>
      <c r="AF4409" s="22"/>
    </row>
    <row r="4410" spans="29:32" x14ac:dyDescent="0.2">
      <c r="AC4410" s="20"/>
      <c r="AE4410" s="22"/>
      <c r="AF4410" s="22"/>
    </row>
    <row r="4411" spans="29:32" x14ac:dyDescent="0.2">
      <c r="AC4411" s="20"/>
      <c r="AE4411" s="22"/>
      <c r="AF4411" s="22"/>
    </row>
    <row r="4412" spans="29:32" x14ac:dyDescent="0.2">
      <c r="AC4412" s="20"/>
      <c r="AE4412" s="22"/>
      <c r="AF4412" s="22"/>
    </row>
    <row r="4413" spans="29:32" x14ac:dyDescent="0.2">
      <c r="AC4413" s="20"/>
      <c r="AE4413" s="22"/>
      <c r="AF4413" s="22"/>
    </row>
    <row r="4414" spans="29:32" x14ac:dyDescent="0.2">
      <c r="AC4414" s="20"/>
      <c r="AE4414" s="22"/>
      <c r="AF4414" s="22"/>
    </row>
    <row r="4415" spans="29:32" x14ac:dyDescent="0.2">
      <c r="AC4415" s="20"/>
      <c r="AE4415" s="22"/>
      <c r="AF4415" s="22"/>
    </row>
    <row r="4416" spans="29:32" x14ac:dyDescent="0.2">
      <c r="AC4416" s="20"/>
      <c r="AE4416" s="22"/>
      <c r="AF4416" s="22"/>
    </row>
    <row r="4417" spans="29:32" x14ac:dyDescent="0.2">
      <c r="AC4417" s="20"/>
      <c r="AE4417" s="22"/>
      <c r="AF4417" s="22"/>
    </row>
    <row r="4418" spans="29:32" x14ac:dyDescent="0.2">
      <c r="AC4418" s="20"/>
      <c r="AE4418" s="22"/>
      <c r="AF4418" s="22"/>
    </row>
    <row r="4419" spans="29:32" x14ac:dyDescent="0.2">
      <c r="AC4419" s="20"/>
      <c r="AE4419" s="22"/>
      <c r="AF4419" s="22"/>
    </row>
    <row r="4420" spans="29:32" x14ac:dyDescent="0.2">
      <c r="AC4420" s="20"/>
      <c r="AE4420" s="22"/>
      <c r="AF4420" s="22"/>
    </row>
    <row r="4421" spans="29:32" x14ac:dyDescent="0.2">
      <c r="AC4421" s="20"/>
      <c r="AE4421" s="22"/>
      <c r="AF4421" s="22"/>
    </row>
    <row r="4422" spans="29:32" x14ac:dyDescent="0.2">
      <c r="AC4422" s="20"/>
      <c r="AE4422" s="22"/>
      <c r="AF4422" s="22"/>
    </row>
    <row r="4423" spans="29:32" x14ac:dyDescent="0.2">
      <c r="AC4423" s="20"/>
      <c r="AE4423" s="22"/>
      <c r="AF4423" s="22"/>
    </row>
    <row r="4424" spans="29:32" x14ac:dyDescent="0.2">
      <c r="AC4424" s="20"/>
      <c r="AE4424" s="22"/>
      <c r="AF4424" s="22"/>
    </row>
    <row r="4425" spans="29:32" x14ac:dyDescent="0.2">
      <c r="AC4425" s="20"/>
      <c r="AE4425" s="22"/>
      <c r="AF4425" s="22"/>
    </row>
    <row r="4426" spans="29:32" x14ac:dyDescent="0.2">
      <c r="AC4426" s="20"/>
      <c r="AE4426" s="22"/>
      <c r="AF4426" s="22"/>
    </row>
    <row r="4427" spans="29:32" x14ac:dyDescent="0.2">
      <c r="AC4427" s="20"/>
      <c r="AE4427" s="22"/>
      <c r="AF4427" s="22"/>
    </row>
    <row r="4428" spans="29:32" x14ac:dyDescent="0.2">
      <c r="AC4428" s="20"/>
      <c r="AE4428" s="22"/>
      <c r="AF4428" s="22"/>
    </row>
    <row r="4429" spans="29:32" x14ac:dyDescent="0.2">
      <c r="AC4429" s="20"/>
      <c r="AE4429" s="22"/>
      <c r="AF4429" s="22"/>
    </row>
    <row r="4430" spans="29:32" x14ac:dyDescent="0.2">
      <c r="AC4430" s="20"/>
      <c r="AE4430" s="22"/>
      <c r="AF4430" s="22"/>
    </row>
    <row r="4431" spans="29:32" x14ac:dyDescent="0.2">
      <c r="AC4431" s="20"/>
      <c r="AE4431" s="22"/>
      <c r="AF4431" s="22"/>
    </row>
    <row r="4432" spans="29:32" x14ac:dyDescent="0.2">
      <c r="AC4432" s="20"/>
      <c r="AE4432" s="22"/>
      <c r="AF4432" s="22"/>
    </row>
    <row r="4433" spans="29:32" x14ac:dyDescent="0.2">
      <c r="AC4433" s="20"/>
      <c r="AE4433" s="22"/>
      <c r="AF4433" s="22"/>
    </row>
    <row r="4434" spans="29:32" x14ac:dyDescent="0.2">
      <c r="AC4434" s="20"/>
      <c r="AE4434" s="22"/>
      <c r="AF4434" s="22"/>
    </row>
    <row r="4435" spans="29:32" x14ac:dyDescent="0.2">
      <c r="AC4435" s="20"/>
      <c r="AE4435" s="22"/>
      <c r="AF4435" s="22"/>
    </row>
    <row r="4436" spans="29:32" x14ac:dyDescent="0.2">
      <c r="AC4436" s="20"/>
      <c r="AE4436" s="22"/>
      <c r="AF4436" s="22"/>
    </row>
    <row r="4437" spans="29:32" x14ac:dyDescent="0.2">
      <c r="AC4437" s="20"/>
      <c r="AE4437" s="22"/>
      <c r="AF4437" s="22"/>
    </row>
    <row r="4438" spans="29:32" x14ac:dyDescent="0.2">
      <c r="AC4438" s="20"/>
      <c r="AE4438" s="22"/>
      <c r="AF4438" s="22"/>
    </row>
    <row r="4439" spans="29:32" x14ac:dyDescent="0.2">
      <c r="AC4439" s="20"/>
      <c r="AE4439" s="22"/>
      <c r="AF4439" s="22"/>
    </row>
    <row r="4440" spans="29:32" x14ac:dyDescent="0.2">
      <c r="AC4440" s="20"/>
      <c r="AE4440" s="22"/>
      <c r="AF4440" s="22"/>
    </row>
    <row r="4441" spans="29:32" x14ac:dyDescent="0.2">
      <c r="AC4441" s="20"/>
      <c r="AE4441" s="22"/>
      <c r="AF4441" s="22"/>
    </row>
    <row r="4442" spans="29:32" x14ac:dyDescent="0.2">
      <c r="AC4442" s="20"/>
      <c r="AE4442" s="22"/>
      <c r="AF4442" s="22"/>
    </row>
    <row r="4443" spans="29:32" x14ac:dyDescent="0.2">
      <c r="AC4443" s="20"/>
      <c r="AE4443" s="22"/>
      <c r="AF4443" s="22"/>
    </row>
    <row r="4444" spans="29:32" x14ac:dyDescent="0.2">
      <c r="AC4444" s="20"/>
      <c r="AE4444" s="22"/>
      <c r="AF4444" s="22"/>
    </row>
    <row r="4445" spans="29:32" x14ac:dyDescent="0.2">
      <c r="AC4445" s="20"/>
      <c r="AE4445" s="22"/>
      <c r="AF4445" s="22"/>
    </row>
    <row r="4446" spans="29:32" x14ac:dyDescent="0.2">
      <c r="AC4446" s="20"/>
      <c r="AE4446" s="22"/>
      <c r="AF4446" s="22"/>
    </row>
    <row r="4447" spans="29:32" x14ac:dyDescent="0.2">
      <c r="AC4447" s="20"/>
      <c r="AE4447" s="22"/>
      <c r="AF4447" s="22"/>
    </row>
    <row r="4448" spans="29:32" x14ac:dyDescent="0.2">
      <c r="AC4448" s="20"/>
      <c r="AE4448" s="22"/>
      <c r="AF4448" s="22"/>
    </row>
    <row r="4449" spans="29:32" x14ac:dyDescent="0.2">
      <c r="AC4449" s="20"/>
      <c r="AE4449" s="22"/>
      <c r="AF4449" s="22"/>
    </row>
    <row r="4450" spans="29:32" x14ac:dyDescent="0.2">
      <c r="AC4450" s="20"/>
      <c r="AE4450" s="22"/>
      <c r="AF4450" s="22"/>
    </row>
    <row r="4451" spans="29:32" x14ac:dyDescent="0.2">
      <c r="AC4451" s="20"/>
      <c r="AE4451" s="22"/>
      <c r="AF4451" s="22"/>
    </row>
    <row r="4452" spans="29:32" x14ac:dyDescent="0.2">
      <c r="AC4452" s="20"/>
      <c r="AE4452" s="22"/>
      <c r="AF4452" s="22"/>
    </row>
    <row r="4453" spans="29:32" x14ac:dyDescent="0.2">
      <c r="AC4453" s="20"/>
      <c r="AE4453" s="22"/>
      <c r="AF4453" s="22"/>
    </row>
    <row r="4454" spans="29:32" x14ac:dyDescent="0.2">
      <c r="AC4454" s="20"/>
      <c r="AE4454" s="22"/>
      <c r="AF4454" s="22"/>
    </row>
    <row r="4455" spans="29:32" x14ac:dyDescent="0.2">
      <c r="AC4455" s="20"/>
      <c r="AE4455" s="22"/>
      <c r="AF4455" s="22"/>
    </row>
    <row r="4456" spans="29:32" x14ac:dyDescent="0.2">
      <c r="AC4456" s="20"/>
      <c r="AE4456" s="22"/>
      <c r="AF4456" s="22"/>
    </row>
    <row r="4457" spans="29:32" x14ac:dyDescent="0.2">
      <c r="AC4457" s="20"/>
      <c r="AE4457" s="22"/>
      <c r="AF4457" s="22"/>
    </row>
    <row r="4458" spans="29:32" x14ac:dyDescent="0.2">
      <c r="AC4458" s="20"/>
      <c r="AE4458" s="22"/>
      <c r="AF4458" s="22"/>
    </row>
    <row r="4459" spans="29:32" x14ac:dyDescent="0.2">
      <c r="AC4459" s="20"/>
      <c r="AE4459" s="22"/>
      <c r="AF4459" s="22"/>
    </row>
    <row r="4460" spans="29:32" x14ac:dyDescent="0.2">
      <c r="AC4460" s="20"/>
      <c r="AE4460" s="22"/>
      <c r="AF4460" s="22"/>
    </row>
    <row r="4461" spans="29:32" x14ac:dyDescent="0.2">
      <c r="AC4461" s="20"/>
      <c r="AE4461" s="22"/>
      <c r="AF4461" s="22"/>
    </row>
    <row r="4462" spans="29:32" x14ac:dyDescent="0.2">
      <c r="AC4462" s="20"/>
      <c r="AE4462" s="22"/>
      <c r="AF4462" s="22"/>
    </row>
    <row r="4463" spans="29:32" x14ac:dyDescent="0.2">
      <c r="AC4463" s="20"/>
      <c r="AE4463" s="22"/>
      <c r="AF4463" s="22"/>
    </row>
    <row r="4464" spans="29:32" x14ac:dyDescent="0.2">
      <c r="AC4464" s="20"/>
      <c r="AE4464" s="22"/>
      <c r="AF4464" s="22"/>
    </row>
    <row r="4465" spans="29:32" x14ac:dyDescent="0.2">
      <c r="AC4465" s="20"/>
      <c r="AE4465" s="22"/>
      <c r="AF4465" s="22"/>
    </row>
    <row r="4466" spans="29:32" x14ac:dyDescent="0.2">
      <c r="AC4466" s="20"/>
      <c r="AE4466" s="22"/>
      <c r="AF4466" s="22"/>
    </row>
    <row r="4467" spans="29:32" x14ac:dyDescent="0.2">
      <c r="AC4467" s="20"/>
      <c r="AE4467" s="22"/>
      <c r="AF4467" s="22"/>
    </row>
    <row r="4468" spans="29:32" x14ac:dyDescent="0.2">
      <c r="AC4468" s="20"/>
      <c r="AE4468" s="22"/>
      <c r="AF4468" s="22"/>
    </row>
    <row r="4469" spans="29:32" x14ac:dyDescent="0.2">
      <c r="AC4469" s="20"/>
      <c r="AE4469" s="22"/>
      <c r="AF4469" s="22"/>
    </row>
    <row r="4470" spans="29:32" x14ac:dyDescent="0.2">
      <c r="AC4470" s="20"/>
      <c r="AE4470" s="22"/>
      <c r="AF4470" s="22"/>
    </row>
    <row r="4471" spans="29:32" x14ac:dyDescent="0.2">
      <c r="AC4471" s="20"/>
      <c r="AE4471" s="22"/>
      <c r="AF4471" s="22"/>
    </row>
    <row r="4472" spans="29:32" x14ac:dyDescent="0.2">
      <c r="AC4472" s="20"/>
      <c r="AE4472" s="22"/>
      <c r="AF4472" s="22"/>
    </row>
    <row r="4473" spans="29:32" x14ac:dyDescent="0.2">
      <c r="AC4473" s="20"/>
      <c r="AE4473" s="22"/>
      <c r="AF4473" s="22"/>
    </row>
    <row r="4474" spans="29:32" x14ac:dyDescent="0.2">
      <c r="AC4474" s="20"/>
      <c r="AE4474" s="22"/>
      <c r="AF4474" s="22"/>
    </row>
    <row r="4475" spans="29:32" x14ac:dyDescent="0.2">
      <c r="AC4475" s="20"/>
      <c r="AE4475" s="22"/>
      <c r="AF4475" s="22"/>
    </row>
    <row r="4476" spans="29:32" x14ac:dyDescent="0.2">
      <c r="AC4476" s="20"/>
      <c r="AE4476" s="22"/>
      <c r="AF4476" s="22"/>
    </row>
    <row r="4477" spans="29:32" x14ac:dyDescent="0.2">
      <c r="AC4477" s="20"/>
      <c r="AE4477" s="22"/>
      <c r="AF4477" s="22"/>
    </row>
    <row r="4478" spans="29:32" x14ac:dyDescent="0.2">
      <c r="AC4478" s="20"/>
      <c r="AE4478" s="22"/>
      <c r="AF4478" s="22"/>
    </row>
    <row r="4479" spans="29:32" x14ac:dyDescent="0.2">
      <c r="AC4479" s="20"/>
      <c r="AE4479" s="22"/>
      <c r="AF4479" s="22"/>
    </row>
    <row r="4480" spans="29:32" x14ac:dyDescent="0.2">
      <c r="AC4480" s="20"/>
      <c r="AE4480" s="22"/>
      <c r="AF4480" s="22"/>
    </row>
    <row r="4481" spans="29:32" x14ac:dyDescent="0.2">
      <c r="AC4481" s="20"/>
      <c r="AE4481" s="22"/>
      <c r="AF4481" s="22"/>
    </row>
    <row r="4482" spans="29:32" x14ac:dyDescent="0.2">
      <c r="AC4482" s="20"/>
      <c r="AE4482" s="22"/>
      <c r="AF4482" s="22"/>
    </row>
    <row r="4483" spans="29:32" x14ac:dyDescent="0.2">
      <c r="AC4483" s="20"/>
      <c r="AE4483" s="22"/>
      <c r="AF4483" s="22"/>
    </row>
    <row r="4484" spans="29:32" x14ac:dyDescent="0.2">
      <c r="AC4484" s="20"/>
      <c r="AE4484" s="22"/>
      <c r="AF4484" s="22"/>
    </row>
    <row r="4485" spans="29:32" x14ac:dyDescent="0.2">
      <c r="AC4485" s="20"/>
      <c r="AE4485" s="22"/>
      <c r="AF4485" s="22"/>
    </row>
    <row r="4486" spans="29:32" x14ac:dyDescent="0.2">
      <c r="AC4486" s="20"/>
      <c r="AE4486" s="22"/>
      <c r="AF4486" s="22"/>
    </row>
    <row r="4487" spans="29:32" x14ac:dyDescent="0.2">
      <c r="AC4487" s="20"/>
      <c r="AE4487" s="22"/>
      <c r="AF4487" s="22"/>
    </row>
    <row r="4488" spans="29:32" x14ac:dyDescent="0.2">
      <c r="AC4488" s="20"/>
      <c r="AE4488" s="22"/>
      <c r="AF4488" s="22"/>
    </row>
    <row r="4489" spans="29:32" x14ac:dyDescent="0.2">
      <c r="AC4489" s="20"/>
      <c r="AE4489" s="22"/>
      <c r="AF4489" s="22"/>
    </row>
    <row r="4490" spans="29:32" x14ac:dyDescent="0.2">
      <c r="AC4490" s="20"/>
      <c r="AE4490" s="22"/>
      <c r="AF4490" s="22"/>
    </row>
    <row r="4491" spans="29:32" x14ac:dyDescent="0.2">
      <c r="AC4491" s="20"/>
      <c r="AE4491" s="22"/>
      <c r="AF4491" s="22"/>
    </row>
    <row r="4492" spans="29:32" x14ac:dyDescent="0.2">
      <c r="AC4492" s="20"/>
      <c r="AE4492" s="22"/>
      <c r="AF4492" s="22"/>
    </row>
    <row r="4493" spans="29:32" x14ac:dyDescent="0.2">
      <c r="AC4493" s="20"/>
      <c r="AE4493" s="22"/>
      <c r="AF4493" s="22"/>
    </row>
    <row r="4494" spans="29:32" x14ac:dyDescent="0.2">
      <c r="AC4494" s="20"/>
      <c r="AE4494" s="22"/>
      <c r="AF4494" s="22"/>
    </row>
    <row r="4495" spans="29:32" x14ac:dyDescent="0.2">
      <c r="AC4495" s="20"/>
      <c r="AE4495" s="22"/>
      <c r="AF4495" s="22"/>
    </row>
    <row r="4496" spans="29:32" x14ac:dyDescent="0.2">
      <c r="AC4496" s="20"/>
      <c r="AE4496" s="22"/>
      <c r="AF4496" s="22"/>
    </row>
    <row r="4497" spans="29:32" x14ac:dyDescent="0.2">
      <c r="AC4497" s="20"/>
      <c r="AE4497" s="22"/>
      <c r="AF4497" s="22"/>
    </row>
    <row r="4498" spans="29:32" x14ac:dyDescent="0.2">
      <c r="AC4498" s="20"/>
      <c r="AE4498" s="22"/>
      <c r="AF4498" s="22"/>
    </row>
    <row r="4499" spans="29:32" x14ac:dyDescent="0.2">
      <c r="AC4499" s="20"/>
      <c r="AE4499" s="22"/>
      <c r="AF4499" s="22"/>
    </row>
    <row r="4500" spans="29:32" x14ac:dyDescent="0.2">
      <c r="AC4500" s="20"/>
      <c r="AE4500" s="22"/>
      <c r="AF4500" s="22"/>
    </row>
    <row r="4501" spans="29:32" x14ac:dyDescent="0.2">
      <c r="AC4501" s="20"/>
      <c r="AE4501" s="22"/>
      <c r="AF4501" s="22"/>
    </row>
    <row r="4502" spans="29:32" x14ac:dyDescent="0.2">
      <c r="AC4502" s="20"/>
      <c r="AE4502" s="22"/>
      <c r="AF4502" s="22"/>
    </row>
    <row r="4503" spans="29:32" x14ac:dyDescent="0.2">
      <c r="AC4503" s="20"/>
      <c r="AE4503" s="22"/>
      <c r="AF4503" s="22"/>
    </row>
    <row r="4504" spans="29:32" x14ac:dyDescent="0.2">
      <c r="AC4504" s="20"/>
      <c r="AE4504" s="22"/>
      <c r="AF4504" s="22"/>
    </row>
    <row r="4505" spans="29:32" x14ac:dyDescent="0.2">
      <c r="AC4505" s="20"/>
      <c r="AE4505" s="22"/>
      <c r="AF4505" s="22"/>
    </row>
    <row r="4506" spans="29:32" x14ac:dyDescent="0.2">
      <c r="AC4506" s="20"/>
      <c r="AE4506" s="22"/>
      <c r="AF4506" s="22"/>
    </row>
    <row r="4507" spans="29:32" x14ac:dyDescent="0.2">
      <c r="AC4507" s="20"/>
      <c r="AE4507" s="22"/>
      <c r="AF4507" s="22"/>
    </row>
    <row r="4508" spans="29:32" x14ac:dyDescent="0.2">
      <c r="AC4508" s="20"/>
      <c r="AE4508" s="22"/>
      <c r="AF4508" s="22"/>
    </row>
    <row r="4509" spans="29:32" x14ac:dyDescent="0.2">
      <c r="AC4509" s="20"/>
      <c r="AE4509" s="22"/>
      <c r="AF4509" s="22"/>
    </row>
    <row r="4510" spans="29:32" x14ac:dyDescent="0.2">
      <c r="AC4510" s="20"/>
      <c r="AE4510" s="22"/>
      <c r="AF4510" s="22"/>
    </row>
    <row r="4511" spans="29:32" x14ac:dyDescent="0.2">
      <c r="AC4511" s="20"/>
      <c r="AE4511" s="22"/>
      <c r="AF4511" s="22"/>
    </row>
    <row r="4512" spans="29:32" x14ac:dyDescent="0.2">
      <c r="AC4512" s="20"/>
      <c r="AE4512" s="22"/>
      <c r="AF4512" s="22"/>
    </row>
    <row r="4513" spans="29:32" x14ac:dyDescent="0.2">
      <c r="AC4513" s="20"/>
      <c r="AE4513" s="22"/>
      <c r="AF4513" s="22"/>
    </row>
    <row r="4514" spans="29:32" x14ac:dyDescent="0.2">
      <c r="AC4514" s="20"/>
      <c r="AE4514" s="22"/>
      <c r="AF4514" s="22"/>
    </row>
    <row r="4515" spans="29:32" x14ac:dyDescent="0.2">
      <c r="AC4515" s="20"/>
      <c r="AE4515" s="22"/>
      <c r="AF4515" s="22"/>
    </row>
    <row r="4516" spans="29:32" x14ac:dyDescent="0.2">
      <c r="AC4516" s="20"/>
      <c r="AE4516" s="22"/>
      <c r="AF4516" s="22"/>
    </row>
    <row r="4517" spans="29:32" x14ac:dyDescent="0.2">
      <c r="AC4517" s="20"/>
      <c r="AE4517" s="22"/>
      <c r="AF4517" s="22"/>
    </row>
    <row r="4518" spans="29:32" x14ac:dyDescent="0.2">
      <c r="AC4518" s="20"/>
      <c r="AE4518" s="22"/>
      <c r="AF4518" s="22"/>
    </row>
    <row r="4519" spans="29:32" x14ac:dyDescent="0.2">
      <c r="AC4519" s="20"/>
      <c r="AE4519" s="22"/>
      <c r="AF4519" s="22"/>
    </row>
    <row r="4520" spans="29:32" x14ac:dyDescent="0.2">
      <c r="AC4520" s="20"/>
      <c r="AE4520" s="22"/>
      <c r="AF4520" s="22"/>
    </row>
    <row r="4521" spans="29:32" x14ac:dyDescent="0.2">
      <c r="AC4521" s="20"/>
      <c r="AE4521" s="22"/>
      <c r="AF4521" s="22"/>
    </row>
    <row r="4522" spans="29:32" x14ac:dyDescent="0.2">
      <c r="AC4522" s="20"/>
      <c r="AE4522" s="22"/>
      <c r="AF4522" s="22"/>
    </row>
    <row r="4523" spans="29:32" x14ac:dyDescent="0.2">
      <c r="AC4523" s="20"/>
      <c r="AE4523" s="22"/>
      <c r="AF4523" s="22"/>
    </row>
    <row r="4524" spans="29:32" x14ac:dyDescent="0.2">
      <c r="AC4524" s="20"/>
      <c r="AE4524" s="22"/>
      <c r="AF4524" s="22"/>
    </row>
    <row r="4525" spans="29:32" x14ac:dyDescent="0.2">
      <c r="AC4525" s="20"/>
      <c r="AE4525" s="22"/>
      <c r="AF4525" s="22"/>
    </row>
    <row r="4526" spans="29:32" x14ac:dyDescent="0.2">
      <c r="AC4526" s="20"/>
      <c r="AE4526" s="22"/>
      <c r="AF4526" s="22"/>
    </row>
    <row r="4527" spans="29:32" x14ac:dyDescent="0.2">
      <c r="AC4527" s="20"/>
      <c r="AE4527" s="22"/>
      <c r="AF4527" s="22"/>
    </row>
    <row r="4528" spans="29:32" x14ac:dyDescent="0.2">
      <c r="AC4528" s="20"/>
      <c r="AE4528" s="22"/>
      <c r="AF4528" s="22"/>
    </row>
    <row r="4529" spans="29:32" x14ac:dyDescent="0.2">
      <c r="AC4529" s="20"/>
      <c r="AE4529" s="22"/>
      <c r="AF4529" s="22"/>
    </row>
    <row r="4530" spans="29:32" x14ac:dyDescent="0.2">
      <c r="AC4530" s="20"/>
      <c r="AE4530" s="22"/>
      <c r="AF4530" s="22"/>
    </row>
    <row r="4531" spans="29:32" x14ac:dyDescent="0.2">
      <c r="AC4531" s="20"/>
      <c r="AE4531" s="22"/>
      <c r="AF4531" s="22"/>
    </row>
    <row r="4532" spans="29:32" x14ac:dyDescent="0.2">
      <c r="AC4532" s="20"/>
      <c r="AE4532" s="22"/>
      <c r="AF4532" s="22"/>
    </row>
    <row r="4533" spans="29:32" x14ac:dyDescent="0.2">
      <c r="AC4533" s="20"/>
      <c r="AE4533" s="22"/>
      <c r="AF4533" s="22"/>
    </row>
    <row r="4534" spans="29:32" x14ac:dyDescent="0.2">
      <c r="AC4534" s="20"/>
      <c r="AE4534" s="22"/>
      <c r="AF4534" s="22"/>
    </row>
    <row r="4535" spans="29:32" x14ac:dyDescent="0.2">
      <c r="AC4535" s="20"/>
      <c r="AE4535" s="22"/>
      <c r="AF4535" s="22"/>
    </row>
    <row r="4536" spans="29:32" x14ac:dyDescent="0.2">
      <c r="AC4536" s="20"/>
      <c r="AE4536" s="22"/>
      <c r="AF4536" s="22"/>
    </row>
    <row r="4537" spans="29:32" x14ac:dyDescent="0.2">
      <c r="AC4537" s="20"/>
      <c r="AE4537" s="22"/>
      <c r="AF4537" s="22"/>
    </row>
    <row r="4538" spans="29:32" x14ac:dyDescent="0.2">
      <c r="AC4538" s="20"/>
      <c r="AE4538" s="22"/>
      <c r="AF4538" s="22"/>
    </row>
    <row r="4539" spans="29:32" x14ac:dyDescent="0.2">
      <c r="AC4539" s="20"/>
      <c r="AE4539" s="22"/>
      <c r="AF4539" s="22"/>
    </row>
    <row r="4540" spans="29:32" x14ac:dyDescent="0.2">
      <c r="AC4540" s="20"/>
      <c r="AE4540" s="22"/>
      <c r="AF4540" s="22"/>
    </row>
    <row r="4541" spans="29:32" x14ac:dyDescent="0.2">
      <c r="AC4541" s="20"/>
      <c r="AE4541" s="22"/>
      <c r="AF4541" s="22"/>
    </row>
    <row r="4542" spans="29:32" x14ac:dyDescent="0.2">
      <c r="AC4542" s="20"/>
      <c r="AE4542" s="22"/>
      <c r="AF4542" s="22"/>
    </row>
    <row r="4543" spans="29:32" x14ac:dyDescent="0.2">
      <c r="AC4543" s="20"/>
      <c r="AE4543" s="22"/>
      <c r="AF4543" s="22"/>
    </row>
    <row r="4544" spans="29:32" x14ac:dyDescent="0.2">
      <c r="AC4544" s="20"/>
      <c r="AE4544" s="22"/>
      <c r="AF4544" s="22"/>
    </row>
    <row r="4545" spans="29:32" x14ac:dyDescent="0.2">
      <c r="AC4545" s="20"/>
      <c r="AE4545" s="22"/>
      <c r="AF4545" s="22"/>
    </row>
    <row r="4546" spans="29:32" x14ac:dyDescent="0.2">
      <c r="AC4546" s="20"/>
      <c r="AE4546" s="22"/>
      <c r="AF4546" s="22"/>
    </row>
    <row r="4547" spans="29:32" x14ac:dyDescent="0.2">
      <c r="AC4547" s="20"/>
      <c r="AE4547" s="22"/>
      <c r="AF4547" s="22"/>
    </row>
    <row r="4548" spans="29:32" x14ac:dyDescent="0.2">
      <c r="AC4548" s="20"/>
      <c r="AE4548" s="22"/>
      <c r="AF4548" s="22"/>
    </row>
    <row r="4549" spans="29:32" x14ac:dyDescent="0.2">
      <c r="AC4549" s="20"/>
      <c r="AE4549" s="22"/>
      <c r="AF4549" s="22"/>
    </row>
    <row r="4550" spans="29:32" x14ac:dyDescent="0.2">
      <c r="AC4550" s="20"/>
      <c r="AE4550" s="22"/>
      <c r="AF4550" s="22"/>
    </row>
    <row r="4551" spans="29:32" x14ac:dyDescent="0.2">
      <c r="AC4551" s="20"/>
      <c r="AE4551" s="22"/>
      <c r="AF4551" s="22"/>
    </row>
    <row r="4552" spans="29:32" x14ac:dyDescent="0.2">
      <c r="AC4552" s="20"/>
      <c r="AE4552" s="22"/>
      <c r="AF4552" s="22"/>
    </row>
    <row r="4553" spans="29:32" x14ac:dyDescent="0.2">
      <c r="AC4553" s="20"/>
      <c r="AE4553" s="22"/>
      <c r="AF4553" s="22"/>
    </row>
    <row r="4554" spans="29:32" x14ac:dyDescent="0.2">
      <c r="AC4554" s="20"/>
      <c r="AE4554" s="22"/>
      <c r="AF4554" s="22"/>
    </row>
    <row r="4555" spans="29:32" x14ac:dyDescent="0.2">
      <c r="AC4555" s="20"/>
      <c r="AE4555" s="22"/>
      <c r="AF4555" s="22"/>
    </row>
    <row r="4556" spans="29:32" x14ac:dyDescent="0.2">
      <c r="AC4556" s="20"/>
      <c r="AE4556" s="22"/>
      <c r="AF4556" s="22"/>
    </row>
    <row r="4557" spans="29:32" x14ac:dyDescent="0.2">
      <c r="AC4557" s="20"/>
      <c r="AE4557" s="22"/>
      <c r="AF4557" s="22"/>
    </row>
    <row r="4558" spans="29:32" x14ac:dyDescent="0.2">
      <c r="AC4558" s="20"/>
      <c r="AE4558" s="22"/>
      <c r="AF4558" s="22"/>
    </row>
    <row r="4559" spans="29:32" x14ac:dyDescent="0.2">
      <c r="AC4559" s="20"/>
      <c r="AE4559" s="22"/>
      <c r="AF4559" s="22"/>
    </row>
    <row r="4560" spans="29:32" x14ac:dyDescent="0.2">
      <c r="AC4560" s="20"/>
      <c r="AE4560" s="22"/>
      <c r="AF4560" s="22"/>
    </row>
    <row r="4561" spans="29:32" x14ac:dyDescent="0.2">
      <c r="AC4561" s="20"/>
      <c r="AE4561" s="22"/>
      <c r="AF4561" s="22"/>
    </row>
    <row r="4562" spans="29:32" x14ac:dyDescent="0.2">
      <c r="AC4562" s="20"/>
      <c r="AE4562" s="22"/>
      <c r="AF4562" s="22"/>
    </row>
    <row r="4563" spans="29:32" x14ac:dyDescent="0.2">
      <c r="AC4563" s="20"/>
      <c r="AE4563" s="22"/>
      <c r="AF4563" s="22"/>
    </row>
    <row r="4564" spans="29:32" x14ac:dyDescent="0.2">
      <c r="AC4564" s="20"/>
      <c r="AE4564" s="22"/>
      <c r="AF4564" s="22"/>
    </row>
    <row r="4565" spans="29:32" x14ac:dyDescent="0.2">
      <c r="AC4565" s="20"/>
      <c r="AE4565" s="22"/>
      <c r="AF4565" s="22"/>
    </row>
    <row r="4566" spans="29:32" x14ac:dyDescent="0.2">
      <c r="AC4566" s="20"/>
      <c r="AE4566" s="22"/>
      <c r="AF4566" s="22"/>
    </row>
    <row r="4567" spans="29:32" x14ac:dyDescent="0.2">
      <c r="AC4567" s="20"/>
      <c r="AE4567" s="22"/>
      <c r="AF4567" s="22"/>
    </row>
    <row r="4568" spans="29:32" x14ac:dyDescent="0.2">
      <c r="AC4568" s="20"/>
      <c r="AE4568" s="22"/>
      <c r="AF4568" s="22"/>
    </row>
    <row r="4569" spans="29:32" x14ac:dyDescent="0.2">
      <c r="AC4569" s="20"/>
      <c r="AE4569" s="22"/>
      <c r="AF4569" s="22"/>
    </row>
    <row r="4570" spans="29:32" x14ac:dyDescent="0.2">
      <c r="AC4570" s="20"/>
      <c r="AE4570" s="22"/>
      <c r="AF4570" s="22"/>
    </row>
    <row r="4571" spans="29:32" x14ac:dyDescent="0.2">
      <c r="AC4571" s="20"/>
      <c r="AE4571" s="22"/>
      <c r="AF4571" s="22"/>
    </row>
    <row r="4572" spans="29:32" x14ac:dyDescent="0.2">
      <c r="AC4572" s="20"/>
      <c r="AE4572" s="22"/>
      <c r="AF4572" s="22"/>
    </row>
    <row r="4573" spans="29:32" x14ac:dyDescent="0.2">
      <c r="AC4573" s="20"/>
      <c r="AE4573" s="22"/>
      <c r="AF4573" s="22"/>
    </row>
    <row r="4574" spans="29:32" x14ac:dyDescent="0.2">
      <c r="AC4574" s="20"/>
      <c r="AE4574" s="22"/>
      <c r="AF4574" s="22"/>
    </row>
    <row r="4575" spans="29:32" x14ac:dyDescent="0.2">
      <c r="AC4575" s="20"/>
      <c r="AE4575" s="22"/>
      <c r="AF4575" s="22"/>
    </row>
    <row r="4576" spans="29:32" x14ac:dyDescent="0.2">
      <c r="AC4576" s="20"/>
      <c r="AE4576" s="22"/>
      <c r="AF4576" s="22"/>
    </row>
    <row r="4577" spans="29:32" x14ac:dyDescent="0.2">
      <c r="AC4577" s="20"/>
      <c r="AE4577" s="22"/>
      <c r="AF4577" s="22"/>
    </row>
    <row r="4578" spans="29:32" x14ac:dyDescent="0.2">
      <c r="AC4578" s="20"/>
      <c r="AE4578" s="22"/>
      <c r="AF4578" s="22"/>
    </row>
    <row r="4579" spans="29:32" x14ac:dyDescent="0.2">
      <c r="AC4579" s="20"/>
      <c r="AE4579" s="22"/>
      <c r="AF4579" s="22"/>
    </row>
    <row r="4580" spans="29:32" x14ac:dyDescent="0.2">
      <c r="AC4580" s="20"/>
      <c r="AE4580" s="22"/>
      <c r="AF4580" s="22"/>
    </row>
    <row r="4581" spans="29:32" x14ac:dyDescent="0.2">
      <c r="AC4581" s="20"/>
      <c r="AE4581" s="22"/>
      <c r="AF4581" s="22"/>
    </row>
    <row r="4582" spans="29:32" x14ac:dyDescent="0.2">
      <c r="AC4582" s="20"/>
      <c r="AE4582" s="22"/>
      <c r="AF4582" s="22"/>
    </row>
    <row r="4583" spans="29:32" x14ac:dyDescent="0.2">
      <c r="AC4583" s="20"/>
      <c r="AE4583" s="22"/>
      <c r="AF4583" s="22"/>
    </row>
    <row r="4584" spans="29:32" x14ac:dyDescent="0.2">
      <c r="AC4584" s="20"/>
      <c r="AE4584" s="22"/>
      <c r="AF4584" s="22"/>
    </row>
    <row r="4585" spans="29:32" x14ac:dyDescent="0.2">
      <c r="AC4585" s="20"/>
      <c r="AE4585" s="22"/>
      <c r="AF4585" s="22"/>
    </row>
    <row r="4586" spans="29:32" x14ac:dyDescent="0.2">
      <c r="AC4586" s="20"/>
      <c r="AE4586" s="22"/>
      <c r="AF4586" s="22"/>
    </row>
    <row r="4587" spans="29:32" x14ac:dyDescent="0.2">
      <c r="AC4587" s="20"/>
      <c r="AE4587" s="22"/>
      <c r="AF4587" s="22"/>
    </row>
    <row r="4588" spans="29:32" x14ac:dyDescent="0.2">
      <c r="AC4588" s="20"/>
      <c r="AE4588" s="22"/>
      <c r="AF4588" s="22"/>
    </row>
    <row r="4589" spans="29:32" x14ac:dyDescent="0.2">
      <c r="AC4589" s="20"/>
      <c r="AE4589" s="22"/>
      <c r="AF4589" s="22"/>
    </row>
    <row r="4590" spans="29:32" x14ac:dyDescent="0.2">
      <c r="AC4590" s="20"/>
      <c r="AE4590" s="22"/>
      <c r="AF4590" s="22"/>
    </row>
    <row r="4591" spans="29:32" x14ac:dyDescent="0.2">
      <c r="AC4591" s="20"/>
      <c r="AE4591" s="22"/>
      <c r="AF4591" s="22"/>
    </row>
    <row r="4592" spans="29:32" x14ac:dyDescent="0.2">
      <c r="AC4592" s="20"/>
      <c r="AE4592" s="22"/>
      <c r="AF4592" s="22"/>
    </row>
    <row r="4593" spans="29:32" x14ac:dyDescent="0.2">
      <c r="AC4593" s="20"/>
      <c r="AE4593" s="22"/>
      <c r="AF4593" s="22"/>
    </row>
    <row r="4594" spans="29:32" x14ac:dyDescent="0.2">
      <c r="AC4594" s="20"/>
      <c r="AE4594" s="22"/>
      <c r="AF4594" s="22"/>
    </row>
    <row r="4595" spans="29:32" x14ac:dyDescent="0.2">
      <c r="AC4595" s="20"/>
      <c r="AE4595" s="22"/>
      <c r="AF4595" s="22"/>
    </row>
    <row r="4596" spans="29:32" x14ac:dyDescent="0.2">
      <c r="AC4596" s="20"/>
      <c r="AE4596" s="22"/>
      <c r="AF4596" s="22"/>
    </row>
    <row r="4597" spans="29:32" x14ac:dyDescent="0.2">
      <c r="AC4597" s="20"/>
      <c r="AE4597" s="22"/>
      <c r="AF4597" s="22"/>
    </row>
    <row r="4598" spans="29:32" x14ac:dyDescent="0.2">
      <c r="AC4598" s="20"/>
      <c r="AE4598" s="22"/>
      <c r="AF4598" s="22"/>
    </row>
    <row r="4599" spans="29:32" x14ac:dyDescent="0.2">
      <c r="AC4599" s="20"/>
      <c r="AE4599" s="22"/>
      <c r="AF4599" s="22"/>
    </row>
    <row r="4600" spans="29:32" x14ac:dyDescent="0.2">
      <c r="AC4600" s="20"/>
      <c r="AE4600" s="22"/>
      <c r="AF4600" s="22"/>
    </row>
    <row r="4601" spans="29:32" x14ac:dyDescent="0.2">
      <c r="AC4601" s="20"/>
      <c r="AE4601" s="22"/>
      <c r="AF4601" s="22"/>
    </row>
    <row r="4602" spans="29:32" x14ac:dyDescent="0.2">
      <c r="AC4602" s="20"/>
      <c r="AE4602" s="22"/>
      <c r="AF4602" s="22"/>
    </row>
    <row r="4603" spans="29:32" x14ac:dyDescent="0.2">
      <c r="AC4603" s="20"/>
      <c r="AE4603" s="22"/>
      <c r="AF4603" s="22"/>
    </row>
    <row r="4604" spans="29:32" x14ac:dyDescent="0.2">
      <c r="AC4604" s="20"/>
      <c r="AE4604" s="22"/>
      <c r="AF4604" s="22"/>
    </row>
    <row r="4605" spans="29:32" x14ac:dyDescent="0.2">
      <c r="AC4605" s="20"/>
      <c r="AE4605" s="22"/>
      <c r="AF4605" s="22"/>
    </row>
    <row r="4606" spans="29:32" x14ac:dyDescent="0.2">
      <c r="AC4606" s="20"/>
      <c r="AE4606" s="22"/>
      <c r="AF4606" s="22"/>
    </row>
    <row r="4607" spans="29:32" x14ac:dyDescent="0.2">
      <c r="AC4607" s="20"/>
      <c r="AE4607" s="22"/>
      <c r="AF4607" s="22"/>
    </row>
    <row r="4608" spans="29:32" x14ac:dyDescent="0.2">
      <c r="AC4608" s="20"/>
      <c r="AE4608" s="22"/>
      <c r="AF4608" s="22"/>
    </row>
    <row r="4609" spans="29:32" x14ac:dyDescent="0.2">
      <c r="AC4609" s="20"/>
      <c r="AE4609" s="22"/>
      <c r="AF4609" s="22"/>
    </row>
    <row r="4610" spans="29:32" x14ac:dyDescent="0.2">
      <c r="AC4610" s="20"/>
      <c r="AE4610" s="22"/>
      <c r="AF4610" s="22"/>
    </row>
    <row r="4611" spans="29:32" x14ac:dyDescent="0.2">
      <c r="AC4611" s="20"/>
      <c r="AE4611" s="22"/>
      <c r="AF4611" s="22"/>
    </row>
    <row r="4612" spans="29:32" x14ac:dyDescent="0.2">
      <c r="AC4612" s="20"/>
      <c r="AE4612" s="22"/>
      <c r="AF4612" s="22"/>
    </row>
    <row r="4613" spans="29:32" x14ac:dyDescent="0.2">
      <c r="AC4613" s="20"/>
      <c r="AE4613" s="22"/>
      <c r="AF4613" s="22"/>
    </row>
    <row r="4614" spans="29:32" x14ac:dyDescent="0.2">
      <c r="AC4614" s="20"/>
      <c r="AE4614" s="22"/>
      <c r="AF4614" s="22"/>
    </row>
    <row r="4615" spans="29:32" x14ac:dyDescent="0.2">
      <c r="AC4615" s="20"/>
      <c r="AE4615" s="22"/>
      <c r="AF4615" s="22"/>
    </row>
    <row r="4616" spans="29:32" x14ac:dyDescent="0.2">
      <c r="AC4616" s="20"/>
      <c r="AE4616" s="22"/>
      <c r="AF4616" s="22"/>
    </row>
    <row r="4617" spans="29:32" x14ac:dyDescent="0.2">
      <c r="AC4617" s="20"/>
      <c r="AE4617" s="22"/>
      <c r="AF4617" s="22"/>
    </row>
    <row r="4618" spans="29:32" x14ac:dyDescent="0.2">
      <c r="AC4618" s="20"/>
      <c r="AE4618" s="22"/>
      <c r="AF4618" s="22"/>
    </row>
    <row r="4619" spans="29:32" x14ac:dyDescent="0.2">
      <c r="AC4619" s="20"/>
      <c r="AE4619" s="22"/>
      <c r="AF4619" s="22"/>
    </row>
    <row r="4620" spans="29:32" x14ac:dyDescent="0.2">
      <c r="AC4620" s="20"/>
      <c r="AE4620" s="22"/>
      <c r="AF4620" s="22"/>
    </row>
    <row r="4621" spans="29:32" x14ac:dyDescent="0.2">
      <c r="AC4621" s="20"/>
      <c r="AE4621" s="22"/>
      <c r="AF4621" s="22"/>
    </row>
    <row r="4622" spans="29:32" x14ac:dyDescent="0.2">
      <c r="AC4622" s="20"/>
      <c r="AE4622" s="22"/>
      <c r="AF4622" s="22"/>
    </row>
    <row r="4623" spans="29:32" x14ac:dyDescent="0.2">
      <c r="AC4623" s="20"/>
      <c r="AE4623" s="22"/>
      <c r="AF4623" s="22"/>
    </row>
    <row r="4624" spans="29:32" x14ac:dyDescent="0.2">
      <c r="AC4624" s="20"/>
      <c r="AE4624" s="22"/>
      <c r="AF4624" s="22"/>
    </row>
    <row r="4625" spans="29:32" x14ac:dyDescent="0.2">
      <c r="AC4625" s="20"/>
      <c r="AE4625" s="22"/>
      <c r="AF4625" s="22"/>
    </row>
    <row r="4626" spans="29:32" x14ac:dyDescent="0.2">
      <c r="AC4626" s="20"/>
      <c r="AE4626" s="22"/>
      <c r="AF4626" s="22"/>
    </row>
    <row r="4627" spans="29:32" x14ac:dyDescent="0.2">
      <c r="AC4627" s="20"/>
      <c r="AE4627" s="22"/>
      <c r="AF4627" s="22"/>
    </row>
    <row r="4628" spans="29:32" x14ac:dyDescent="0.2">
      <c r="AC4628" s="20"/>
      <c r="AE4628" s="22"/>
      <c r="AF4628" s="22"/>
    </row>
    <row r="4629" spans="29:32" x14ac:dyDescent="0.2">
      <c r="AC4629" s="20"/>
      <c r="AE4629" s="22"/>
      <c r="AF4629" s="22"/>
    </row>
    <row r="4630" spans="29:32" x14ac:dyDescent="0.2">
      <c r="AC4630" s="20"/>
      <c r="AE4630" s="22"/>
      <c r="AF4630" s="22"/>
    </row>
    <row r="4631" spans="29:32" x14ac:dyDescent="0.2">
      <c r="AC4631" s="20"/>
      <c r="AE4631" s="22"/>
      <c r="AF4631" s="22"/>
    </row>
    <row r="4632" spans="29:32" x14ac:dyDescent="0.2">
      <c r="AC4632" s="20"/>
      <c r="AE4632" s="22"/>
      <c r="AF4632" s="22"/>
    </row>
    <row r="4633" spans="29:32" x14ac:dyDescent="0.2">
      <c r="AC4633" s="20"/>
      <c r="AE4633" s="22"/>
      <c r="AF4633" s="22"/>
    </row>
    <row r="4634" spans="29:32" x14ac:dyDescent="0.2">
      <c r="AC4634" s="20"/>
      <c r="AE4634" s="22"/>
      <c r="AF4634" s="22"/>
    </row>
    <row r="4635" spans="29:32" x14ac:dyDescent="0.2">
      <c r="AC4635" s="20"/>
      <c r="AE4635" s="22"/>
      <c r="AF4635" s="22"/>
    </row>
    <row r="4636" spans="29:32" x14ac:dyDescent="0.2">
      <c r="AC4636" s="20"/>
      <c r="AE4636" s="22"/>
      <c r="AF4636" s="22"/>
    </row>
    <row r="4637" spans="29:32" x14ac:dyDescent="0.2">
      <c r="AC4637" s="20"/>
      <c r="AE4637" s="22"/>
      <c r="AF4637" s="22"/>
    </row>
    <row r="4638" spans="29:32" x14ac:dyDescent="0.2">
      <c r="AC4638" s="20"/>
      <c r="AE4638" s="22"/>
      <c r="AF4638" s="22"/>
    </row>
    <row r="4639" spans="29:32" x14ac:dyDescent="0.2">
      <c r="AC4639" s="20"/>
      <c r="AE4639" s="22"/>
      <c r="AF4639" s="22"/>
    </row>
    <row r="4640" spans="29:32" x14ac:dyDescent="0.2">
      <c r="AC4640" s="20"/>
      <c r="AE4640" s="22"/>
      <c r="AF4640" s="22"/>
    </row>
    <row r="4641" spans="29:32" x14ac:dyDescent="0.2">
      <c r="AC4641" s="20"/>
      <c r="AE4641" s="22"/>
      <c r="AF4641" s="22"/>
    </row>
    <row r="4642" spans="29:32" x14ac:dyDescent="0.2">
      <c r="AC4642" s="20"/>
      <c r="AE4642" s="22"/>
      <c r="AF4642" s="22"/>
    </row>
    <row r="4643" spans="29:32" x14ac:dyDescent="0.2">
      <c r="AC4643" s="20"/>
      <c r="AE4643" s="22"/>
      <c r="AF4643" s="22"/>
    </row>
    <row r="4644" spans="29:32" x14ac:dyDescent="0.2">
      <c r="AC4644" s="20"/>
      <c r="AE4644" s="22"/>
      <c r="AF4644" s="22"/>
    </row>
    <row r="4645" spans="29:32" x14ac:dyDescent="0.2">
      <c r="AC4645" s="20"/>
      <c r="AE4645" s="22"/>
      <c r="AF4645" s="22"/>
    </row>
    <row r="4646" spans="29:32" x14ac:dyDescent="0.2">
      <c r="AC4646" s="20"/>
      <c r="AE4646" s="22"/>
      <c r="AF4646" s="22"/>
    </row>
    <row r="4647" spans="29:32" x14ac:dyDescent="0.2">
      <c r="AC4647" s="20"/>
      <c r="AE4647" s="22"/>
      <c r="AF4647" s="22"/>
    </row>
    <row r="4648" spans="29:32" x14ac:dyDescent="0.2">
      <c r="AC4648" s="20"/>
      <c r="AE4648" s="22"/>
      <c r="AF4648" s="22"/>
    </row>
    <row r="4649" spans="29:32" x14ac:dyDescent="0.2">
      <c r="AC4649" s="20"/>
      <c r="AE4649" s="22"/>
      <c r="AF4649" s="22"/>
    </row>
    <row r="4650" spans="29:32" x14ac:dyDescent="0.2">
      <c r="AC4650" s="20"/>
      <c r="AE4650" s="22"/>
      <c r="AF4650" s="22"/>
    </row>
    <row r="4651" spans="29:32" x14ac:dyDescent="0.2">
      <c r="AC4651" s="20"/>
      <c r="AE4651" s="22"/>
      <c r="AF4651" s="22"/>
    </row>
    <row r="4652" spans="29:32" x14ac:dyDescent="0.2">
      <c r="AC4652" s="20"/>
      <c r="AE4652" s="22"/>
      <c r="AF4652" s="22"/>
    </row>
    <row r="4653" spans="29:32" x14ac:dyDescent="0.2">
      <c r="AC4653" s="20"/>
      <c r="AE4653" s="22"/>
      <c r="AF4653" s="22"/>
    </row>
    <row r="4654" spans="29:32" x14ac:dyDescent="0.2">
      <c r="AC4654" s="20"/>
      <c r="AE4654" s="22"/>
      <c r="AF4654" s="22"/>
    </row>
    <row r="4655" spans="29:32" x14ac:dyDescent="0.2">
      <c r="AC4655" s="20"/>
      <c r="AE4655" s="22"/>
      <c r="AF4655" s="22"/>
    </row>
    <row r="4656" spans="29:32" x14ac:dyDescent="0.2">
      <c r="AC4656" s="20"/>
      <c r="AE4656" s="22"/>
      <c r="AF4656" s="22"/>
    </row>
    <row r="4657" spans="29:32" x14ac:dyDescent="0.2">
      <c r="AC4657" s="20"/>
      <c r="AE4657" s="22"/>
      <c r="AF4657" s="22"/>
    </row>
    <row r="4658" spans="29:32" x14ac:dyDescent="0.2">
      <c r="AC4658" s="20"/>
      <c r="AE4658" s="22"/>
      <c r="AF4658" s="22"/>
    </row>
    <row r="4659" spans="29:32" x14ac:dyDescent="0.2">
      <c r="AC4659" s="20"/>
      <c r="AE4659" s="22"/>
      <c r="AF4659" s="22"/>
    </row>
    <row r="4660" spans="29:32" x14ac:dyDescent="0.2">
      <c r="AC4660" s="20"/>
      <c r="AE4660" s="22"/>
      <c r="AF4660" s="22"/>
    </row>
    <row r="4661" spans="29:32" x14ac:dyDescent="0.2">
      <c r="AC4661" s="20"/>
      <c r="AE4661" s="22"/>
      <c r="AF4661" s="22"/>
    </row>
    <row r="4662" spans="29:32" x14ac:dyDescent="0.2">
      <c r="AC4662" s="20"/>
      <c r="AE4662" s="22"/>
      <c r="AF4662" s="22"/>
    </row>
    <row r="4663" spans="29:32" x14ac:dyDescent="0.2">
      <c r="AC4663" s="20"/>
      <c r="AE4663" s="22"/>
      <c r="AF4663" s="22"/>
    </row>
    <row r="4664" spans="29:32" x14ac:dyDescent="0.2">
      <c r="AC4664" s="20"/>
      <c r="AE4664" s="22"/>
      <c r="AF4664" s="22"/>
    </row>
    <row r="4665" spans="29:32" x14ac:dyDescent="0.2">
      <c r="AC4665" s="20"/>
      <c r="AE4665" s="22"/>
      <c r="AF4665" s="22"/>
    </row>
    <row r="4666" spans="29:32" x14ac:dyDescent="0.2">
      <c r="AC4666" s="20"/>
      <c r="AE4666" s="22"/>
      <c r="AF4666" s="22"/>
    </row>
    <row r="4667" spans="29:32" x14ac:dyDescent="0.2">
      <c r="AC4667" s="20"/>
      <c r="AE4667" s="22"/>
      <c r="AF4667" s="22"/>
    </row>
    <row r="4668" spans="29:32" x14ac:dyDescent="0.2">
      <c r="AC4668" s="20"/>
      <c r="AE4668" s="22"/>
      <c r="AF4668" s="22"/>
    </row>
    <row r="4669" spans="29:32" x14ac:dyDescent="0.2">
      <c r="AC4669" s="20"/>
      <c r="AE4669" s="22"/>
      <c r="AF4669" s="22"/>
    </row>
    <row r="4670" spans="29:32" x14ac:dyDescent="0.2">
      <c r="AC4670" s="20"/>
      <c r="AE4670" s="22"/>
      <c r="AF4670" s="22"/>
    </row>
    <row r="4671" spans="29:32" x14ac:dyDescent="0.2">
      <c r="AC4671" s="20"/>
      <c r="AE4671" s="22"/>
      <c r="AF4671" s="22"/>
    </row>
    <row r="4672" spans="29:32" x14ac:dyDescent="0.2">
      <c r="AC4672" s="20"/>
      <c r="AE4672" s="22"/>
      <c r="AF4672" s="22"/>
    </row>
    <row r="4673" spans="29:32" x14ac:dyDescent="0.2">
      <c r="AC4673" s="20"/>
      <c r="AE4673" s="22"/>
      <c r="AF4673" s="22"/>
    </row>
    <row r="4674" spans="29:32" x14ac:dyDescent="0.2">
      <c r="AC4674" s="20"/>
      <c r="AE4674" s="22"/>
      <c r="AF4674" s="22"/>
    </row>
    <row r="4675" spans="29:32" x14ac:dyDescent="0.2">
      <c r="AC4675" s="20"/>
      <c r="AE4675" s="22"/>
      <c r="AF4675" s="22"/>
    </row>
    <row r="4676" spans="29:32" x14ac:dyDescent="0.2">
      <c r="AC4676" s="20"/>
      <c r="AE4676" s="22"/>
      <c r="AF4676" s="22"/>
    </row>
    <row r="4677" spans="29:32" x14ac:dyDescent="0.2">
      <c r="AC4677" s="20"/>
      <c r="AE4677" s="22"/>
      <c r="AF4677" s="22"/>
    </row>
    <row r="4678" spans="29:32" x14ac:dyDescent="0.2">
      <c r="AC4678" s="20"/>
      <c r="AE4678" s="22"/>
      <c r="AF4678" s="22"/>
    </row>
    <row r="4679" spans="29:32" x14ac:dyDescent="0.2">
      <c r="AC4679" s="20"/>
      <c r="AE4679" s="22"/>
      <c r="AF4679" s="22"/>
    </row>
    <row r="4680" spans="29:32" x14ac:dyDescent="0.2">
      <c r="AC4680" s="20"/>
      <c r="AE4680" s="22"/>
      <c r="AF4680" s="22"/>
    </row>
    <row r="4681" spans="29:32" x14ac:dyDescent="0.2">
      <c r="AC4681" s="20"/>
      <c r="AE4681" s="22"/>
      <c r="AF4681" s="22"/>
    </row>
    <row r="4682" spans="29:32" x14ac:dyDescent="0.2">
      <c r="AC4682" s="20"/>
      <c r="AE4682" s="22"/>
      <c r="AF4682" s="22"/>
    </row>
    <row r="4683" spans="29:32" x14ac:dyDescent="0.2">
      <c r="AC4683" s="20"/>
      <c r="AE4683" s="22"/>
      <c r="AF4683" s="22"/>
    </row>
    <row r="4684" spans="29:32" x14ac:dyDescent="0.2">
      <c r="AC4684" s="20"/>
      <c r="AE4684" s="22"/>
      <c r="AF4684" s="22"/>
    </row>
    <row r="4685" spans="29:32" x14ac:dyDescent="0.2">
      <c r="AC4685" s="20"/>
      <c r="AE4685" s="22"/>
      <c r="AF4685" s="22"/>
    </row>
    <row r="4686" spans="29:32" x14ac:dyDescent="0.2">
      <c r="AC4686" s="20"/>
      <c r="AE4686" s="22"/>
      <c r="AF4686" s="22"/>
    </row>
    <row r="4687" spans="29:32" x14ac:dyDescent="0.2">
      <c r="AC4687" s="20"/>
      <c r="AE4687" s="22"/>
      <c r="AF4687" s="22"/>
    </row>
    <row r="4688" spans="29:32" x14ac:dyDescent="0.2">
      <c r="AC4688" s="20"/>
      <c r="AE4688" s="22"/>
      <c r="AF4688" s="22"/>
    </row>
    <row r="4689" spans="29:32" x14ac:dyDescent="0.2">
      <c r="AC4689" s="20"/>
      <c r="AE4689" s="22"/>
      <c r="AF4689" s="22"/>
    </row>
    <row r="4690" spans="29:32" x14ac:dyDescent="0.2">
      <c r="AC4690" s="20"/>
      <c r="AE4690" s="22"/>
      <c r="AF4690" s="22"/>
    </row>
    <row r="4691" spans="29:32" x14ac:dyDescent="0.2">
      <c r="AC4691" s="20"/>
      <c r="AE4691" s="22"/>
      <c r="AF4691" s="22"/>
    </row>
    <row r="4692" spans="29:32" x14ac:dyDescent="0.2">
      <c r="AC4692" s="20"/>
      <c r="AE4692" s="22"/>
      <c r="AF4692" s="22"/>
    </row>
    <row r="4693" spans="29:32" x14ac:dyDescent="0.2">
      <c r="AC4693" s="20"/>
      <c r="AE4693" s="22"/>
      <c r="AF4693" s="22"/>
    </row>
    <row r="4694" spans="29:32" x14ac:dyDescent="0.2">
      <c r="AC4694" s="20"/>
      <c r="AE4694" s="22"/>
      <c r="AF4694" s="22"/>
    </row>
    <row r="4695" spans="29:32" x14ac:dyDescent="0.2">
      <c r="AC4695" s="20"/>
      <c r="AE4695" s="22"/>
      <c r="AF4695" s="22"/>
    </row>
    <row r="4696" spans="29:32" x14ac:dyDescent="0.2">
      <c r="AC4696" s="20"/>
      <c r="AE4696" s="22"/>
      <c r="AF4696" s="22"/>
    </row>
    <row r="4697" spans="29:32" x14ac:dyDescent="0.2">
      <c r="AC4697" s="20"/>
      <c r="AE4697" s="22"/>
      <c r="AF4697" s="22"/>
    </row>
    <row r="4698" spans="29:32" x14ac:dyDescent="0.2">
      <c r="AC4698" s="20"/>
      <c r="AE4698" s="22"/>
      <c r="AF4698" s="22"/>
    </row>
    <row r="4699" spans="29:32" x14ac:dyDescent="0.2">
      <c r="AC4699" s="20"/>
      <c r="AE4699" s="22"/>
      <c r="AF4699" s="22"/>
    </row>
    <row r="4700" spans="29:32" x14ac:dyDescent="0.2">
      <c r="AC4700" s="20"/>
      <c r="AE4700" s="22"/>
      <c r="AF4700" s="22"/>
    </row>
    <row r="4701" spans="29:32" x14ac:dyDescent="0.2">
      <c r="AC4701" s="20"/>
      <c r="AE4701" s="22"/>
      <c r="AF4701" s="22"/>
    </row>
    <row r="4702" spans="29:32" x14ac:dyDescent="0.2">
      <c r="AC4702" s="20"/>
      <c r="AE4702" s="22"/>
      <c r="AF4702" s="22"/>
    </row>
    <row r="4703" spans="29:32" x14ac:dyDescent="0.2">
      <c r="AC4703" s="20"/>
      <c r="AE4703" s="22"/>
      <c r="AF4703" s="22"/>
    </row>
    <row r="4704" spans="29:32" x14ac:dyDescent="0.2">
      <c r="AC4704" s="20"/>
      <c r="AE4704" s="22"/>
      <c r="AF4704" s="22"/>
    </row>
    <row r="4705" spans="29:32" x14ac:dyDescent="0.2">
      <c r="AC4705" s="20"/>
      <c r="AE4705" s="22"/>
      <c r="AF4705" s="22"/>
    </row>
    <row r="4706" spans="29:32" x14ac:dyDescent="0.2">
      <c r="AC4706" s="20"/>
      <c r="AE4706" s="22"/>
      <c r="AF4706" s="22"/>
    </row>
    <row r="4707" spans="29:32" x14ac:dyDescent="0.2">
      <c r="AC4707" s="20"/>
      <c r="AE4707" s="22"/>
      <c r="AF4707" s="22"/>
    </row>
    <row r="4708" spans="29:32" x14ac:dyDescent="0.2">
      <c r="AC4708" s="20"/>
      <c r="AE4708" s="22"/>
      <c r="AF4708" s="22"/>
    </row>
    <row r="4709" spans="29:32" x14ac:dyDescent="0.2">
      <c r="AC4709" s="20"/>
      <c r="AE4709" s="22"/>
      <c r="AF4709" s="22"/>
    </row>
    <row r="4710" spans="29:32" x14ac:dyDescent="0.2">
      <c r="AC4710" s="20"/>
      <c r="AE4710" s="22"/>
      <c r="AF4710" s="22"/>
    </row>
    <row r="4711" spans="29:32" x14ac:dyDescent="0.2">
      <c r="AC4711" s="20"/>
      <c r="AE4711" s="22"/>
      <c r="AF4711" s="22"/>
    </row>
    <row r="4712" spans="29:32" x14ac:dyDescent="0.2">
      <c r="AC4712" s="20"/>
      <c r="AE4712" s="22"/>
      <c r="AF4712" s="22"/>
    </row>
    <row r="4713" spans="29:32" x14ac:dyDescent="0.2">
      <c r="AC4713" s="20"/>
      <c r="AE4713" s="22"/>
      <c r="AF4713" s="22"/>
    </row>
    <row r="4714" spans="29:32" x14ac:dyDescent="0.2">
      <c r="AC4714" s="20"/>
      <c r="AE4714" s="22"/>
      <c r="AF4714" s="22"/>
    </row>
    <row r="4715" spans="29:32" x14ac:dyDescent="0.2">
      <c r="AC4715" s="20"/>
      <c r="AE4715" s="22"/>
      <c r="AF4715" s="22"/>
    </row>
    <row r="4716" spans="29:32" x14ac:dyDescent="0.2">
      <c r="AC4716" s="20"/>
      <c r="AE4716" s="22"/>
      <c r="AF4716" s="22"/>
    </row>
    <row r="4717" spans="29:32" x14ac:dyDescent="0.2">
      <c r="AC4717" s="20"/>
      <c r="AE4717" s="22"/>
      <c r="AF4717" s="22"/>
    </row>
    <row r="4718" spans="29:32" x14ac:dyDescent="0.2">
      <c r="AC4718" s="20"/>
      <c r="AE4718" s="22"/>
      <c r="AF4718" s="22"/>
    </row>
    <row r="4719" spans="29:32" x14ac:dyDescent="0.2">
      <c r="AC4719" s="20"/>
      <c r="AE4719" s="22"/>
      <c r="AF4719" s="22"/>
    </row>
    <row r="4720" spans="29:32" x14ac:dyDescent="0.2">
      <c r="AC4720" s="20"/>
      <c r="AE4720" s="22"/>
      <c r="AF4720" s="22"/>
    </row>
    <row r="4721" spans="29:32" x14ac:dyDescent="0.2">
      <c r="AC4721" s="20"/>
      <c r="AE4721" s="22"/>
      <c r="AF4721" s="22"/>
    </row>
    <row r="4722" spans="29:32" x14ac:dyDescent="0.2">
      <c r="AC4722" s="20"/>
      <c r="AE4722" s="22"/>
      <c r="AF4722" s="22"/>
    </row>
    <row r="4723" spans="29:32" x14ac:dyDescent="0.2">
      <c r="AC4723" s="20"/>
      <c r="AE4723" s="22"/>
      <c r="AF4723" s="22"/>
    </row>
    <row r="4724" spans="29:32" x14ac:dyDescent="0.2">
      <c r="AC4724" s="20"/>
      <c r="AE4724" s="22"/>
      <c r="AF4724" s="22"/>
    </row>
    <row r="4725" spans="29:32" x14ac:dyDescent="0.2">
      <c r="AC4725" s="20"/>
      <c r="AE4725" s="22"/>
      <c r="AF4725" s="22"/>
    </row>
    <row r="4726" spans="29:32" x14ac:dyDescent="0.2">
      <c r="AC4726" s="20"/>
      <c r="AE4726" s="22"/>
      <c r="AF4726" s="22"/>
    </row>
    <row r="4727" spans="29:32" x14ac:dyDescent="0.2">
      <c r="AC4727" s="20"/>
      <c r="AE4727" s="22"/>
      <c r="AF4727" s="22"/>
    </row>
    <row r="4728" spans="29:32" x14ac:dyDescent="0.2">
      <c r="AC4728" s="20"/>
      <c r="AE4728" s="22"/>
      <c r="AF4728" s="22"/>
    </row>
    <row r="4729" spans="29:32" x14ac:dyDescent="0.2">
      <c r="AC4729" s="20"/>
      <c r="AE4729" s="22"/>
      <c r="AF4729" s="22"/>
    </row>
    <row r="4730" spans="29:32" x14ac:dyDescent="0.2">
      <c r="AC4730" s="20"/>
      <c r="AE4730" s="22"/>
      <c r="AF4730" s="22"/>
    </row>
    <row r="4731" spans="29:32" x14ac:dyDescent="0.2">
      <c r="AC4731" s="20"/>
      <c r="AE4731" s="22"/>
      <c r="AF4731" s="22"/>
    </row>
    <row r="4732" spans="29:32" x14ac:dyDescent="0.2">
      <c r="AC4732" s="20"/>
      <c r="AE4732" s="22"/>
      <c r="AF4732" s="22"/>
    </row>
    <row r="4733" spans="29:32" x14ac:dyDescent="0.2">
      <c r="AC4733" s="20"/>
      <c r="AE4733" s="22"/>
      <c r="AF4733" s="22"/>
    </row>
    <row r="4734" spans="29:32" x14ac:dyDescent="0.2">
      <c r="AC4734" s="20"/>
      <c r="AE4734" s="22"/>
      <c r="AF4734" s="22"/>
    </row>
    <row r="4735" spans="29:32" x14ac:dyDescent="0.2">
      <c r="AC4735" s="20"/>
      <c r="AE4735" s="22"/>
      <c r="AF4735" s="22"/>
    </row>
    <row r="4736" spans="29:32" x14ac:dyDescent="0.2">
      <c r="AC4736" s="20"/>
      <c r="AE4736" s="22"/>
      <c r="AF4736" s="22"/>
    </row>
    <row r="4737" spans="29:32" x14ac:dyDescent="0.2">
      <c r="AC4737" s="20"/>
      <c r="AE4737" s="22"/>
      <c r="AF4737" s="22"/>
    </row>
    <row r="4738" spans="29:32" x14ac:dyDescent="0.2">
      <c r="AC4738" s="20"/>
      <c r="AE4738" s="22"/>
      <c r="AF4738" s="22"/>
    </row>
    <row r="4739" spans="29:32" x14ac:dyDescent="0.2">
      <c r="AC4739" s="20"/>
      <c r="AE4739" s="22"/>
      <c r="AF4739" s="22"/>
    </row>
    <row r="4740" spans="29:32" x14ac:dyDescent="0.2">
      <c r="AC4740" s="20"/>
      <c r="AE4740" s="22"/>
      <c r="AF4740" s="22"/>
    </row>
    <row r="4741" spans="29:32" x14ac:dyDescent="0.2">
      <c r="AC4741" s="20"/>
      <c r="AE4741" s="22"/>
      <c r="AF4741" s="22"/>
    </row>
    <row r="4742" spans="29:32" x14ac:dyDescent="0.2">
      <c r="AC4742" s="20"/>
      <c r="AE4742" s="22"/>
      <c r="AF4742" s="22"/>
    </row>
    <row r="4743" spans="29:32" x14ac:dyDescent="0.2">
      <c r="AC4743" s="20"/>
      <c r="AE4743" s="22"/>
      <c r="AF4743" s="22"/>
    </row>
    <row r="4744" spans="29:32" x14ac:dyDescent="0.2">
      <c r="AC4744" s="20"/>
      <c r="AE4744" s="22"/>
      <c r="AF4744" s="22"/>
    </row>
    <row r="4745" spans="29:32" x14ac:dyDescent="0.2">
      <c r="AC4745" s="20"/>
      <c r="AE4745" s="22"/>
      <c r="AF4745" s="22"/>
    </row>
    <row r="4746" spans="29:32" x14ac:dyDescent="0.2">
      <c r="AC4746" s="20"/>
      <c r="AE4746" s="22"/>
      <c r="AF4746" s="22"/>
    </row>
    <row r="4747" spans="29:32" x14ac:dyDescent="0.2">
      <c r="AC4747" s="20"/>
      <c r="AE4747" s="22"/>
      <c r="AF4747" s="22"/>
    </row>
    <row r="4748" spans="29:32" x14ac:dyDescent="0.2">
      <c r="AC4748" s="20"/>
      <c r="AE4748" s="22"/>
      <c r="AF4748" s="22"/>
    </row>
    <row r="4749" spans="29:32" x14ac:dyDescent="0.2">
      <c r="AC4749" s="20"/>
      <c r="AE4749" s="22"/>
      <c r="AF4749" s="22"/>
    </row>
    <row r="4750" spans="29:32" x14ac:dyDescent="0.2">
      <c r="AC4750" s="20"/>
      <c r="AE4750" s="22"/>
      <c r="AF4750" s="22"/>
    </row>
    <row r="4751" spans="29:32" x14ac:dyDescent="0.2">
      <c r="AC4751" s="20"/>
      <c r="AE4751" s="22"/>
      <c r="AF4751" s="22"/>
    </row>
    <row r="4752" spans="29:32" x14ac:dyDescent="0.2">
      <c r="AC4752" s="20"/>
      <c r="AE4752" s="22"/>
      <c r="AF4752" s="22"/>
    </row>
    <row r="4753" spans="29:32" x14ac:dyDescent="0.2">
      <c r="AC4753" s="20"/>
      <c r="AE4753" s="22"/>
      <c r="AF4753" s="22"/>
    </row>
    <row r="4754" spans="29:32" x14ac:dyDescent="0.2">
      <c r="AC4754" s="20"/>
      <c r="AE4754" s="22"/>
      <c r="AF4754" s="22"/>
    </row>
    <row r="4755" spans="29:32" x14ac:dyDescent="0.2">
      <c r="AC4755" s="20"/>
      <c r="AE4755" s="22"/>
      <c r="AF4755" s="22"/>
    </row>
    <row r="4756" spans="29:32" x14ac:dyDescent="0.2">
      <c r="AC4756" s="20"/>
      <c r="AE4756" s="22"/>
      <c r="AF4756" s="22"/>
    </row>
    <row r="4757" spans="29:32" x14ac:dyDescent="0.2">
      <c r="AC4757" s="20"/>
      <c r="AE4757" s="22"/>
      <c r="AF4757" s="22"/>
    </row>
    <row r="4758" spans="29:32" x14ac:dyDescent="0.2">
      <c r="AC4758" s="20"/>
      <c r="AE4758" s="22"/>
      <c r="AF4758" s="22"/>
    </row>
    <row r="4759" spans="29:32" x14ac:dyDescent="0.2">
      <c r="AC4759" s="20"/>
      <c r="AE4759" s="22"/>
      <c r="AF4759" s="22"/>
    </row>
    <row r="4760" spans="29:32" x14ac:dyDescent="0.2">
      <c r="AC4760" s="20"/>
      <c r="AE4760" s="22"/>
      <c r="AF4760" s="22"/>
    </row>
    <row r="4761" spans="29:32" x14ac:dyDescent="0.2">
      <c r="AC4761" s="20"/>
      <c r="AE4761" s="22"/>
      <c r="AF4761" s="22"/>
    </row>
    <row r="4762" spans="29:32" x14ac:dyDescent="0.2">
      <c r="AC4762" s="20"/>
      <c r="AE4762" s="22"/>
      <c r="AF4762" s="22"/>
    </row>
    <row r="4763" spans="29:32" x14ac:dyDescent="0.2">
      <c r="AC4763" s="20"/>
      <c r="AE4763" s="22"/>
      <c r="AF4763" s="22"/>
    </row>
    <row r="4764" spans="29:32" x14ac:dyDescent="0.2">
      <c r="AC4764" s="20"/>
      <c r="AE4764" s="22"/>
      <c r="AF4764" s="22"/>
    </row>
    <row r="4765" spans="29:32" x14ac:dyDescent="0.2">
      <c r="AC4765" s="20"/>
      <c r="AE4765" s="22"/>
      <c r="AF4765" s="22"/>
    </row>
    <row r="4766" spans="29:32" x14ac:dyDescent="0.2">
      <c r="AC4766" s="20"/>
      <c r="AE4766" s="22"/>
      <c r="AF4766" s="22"/>
    </row>
    <row r="4767" spans="29:32" x14ac:dyDescent="0.2">
      <c r="AC4767" s="20"/>
      <c r="AE4767" s="22"/>
      <c r="AF4767" s="22"/>
    </row>
    <row r="4768" spans="29:32" x14ac:dyDescent="0.2">
      <c r="AC4768" s="20"/>
      <c r="AE4768" s="22"/>
      <c r="AF4768" s="22"/>
    </row>
    <row r="4769" spans="29:32" x14ac:dyDescent="0.2">
      <c r="AC4769" s="20"/>
      <c r="AE4769" s="22"/>
      <c r="AF4769" s="22"/>
    </row>
    <row r="4770" spans="29:32" x14ac:dyDescent="0.2">
      <c r="AC4770" s="20"/>
      <c r="AE4770" s="22"/>
      <c r="AF4770" s="22"/>
    </row>
    <row r="4771" spans="29:32" x14ac:dyDescent="0.2">
      <c r="AC4771" s="20"/>
      <c r="AE4771" s="22"/>
      <c r="AF4771" s="22"/>
    </row>
    <row r="4772" spans="29:32" x14ac:dyDescent="0.2">
      <c r="AC4772" s="20"/>
      <c r="AE4772" s="22"/>
      <c r="AF4772" s="22"/>
    </row>
    <row r="4773" spans="29:32" x14ac:dyDescent="0.2">
      <c r="AC4773" s="20"/>
      <c r="AE4773" s="22"/>
      <c r="AF4773" s="22"/>
    </row>
    <row r="4774" spans="29:32" x14ac:dyDescent="0.2">
      <c r="AC4774" s="20"/>
      <c r="AE4774" s="22"/>
      <c r="AF4774" s="22"/>
    </row>
    <row r="4775" spans="29:32" x14ac:dyDescent="0.2">
      <c r="AC4775" s="20"/>
      <c r="AE4775" s="22"/>
      <c r="AF4775" s="22"/>
    </row>
    <row r="4776" spans="29:32" x14ac:dyDescent="0.2">
      <c r="AC4776" s="20"/>
      <c r="AE4776" s="22"/>
      <c r="AF4776" s="22"/>
    </row>
    <row r="4777" spans="29:32" x14ac:dyDescent="0.2">
      <c r="AC4777" s="20"/>
      <c r="AE4777" s="22"/>
      <c r="AF4777" s="22"/>
    </row>
    <row r="4778" spans="29:32" x14ac:dyDescent="0.2">
      <c r="AC4778" s="20"/>
      <c r="AE4778" s="22"/>
      <c r="AF4778" s="22"/>
    </row>
    <row r="4779" spans="29:32" x14ac:dyDescent="0.2">
      <c r="AC4779" s="20"/>
      <c r="AE4779" s="22"/>
      <c r="AF4779" s="22"/>
    </row>
    <row r="4780" spans="29:32" x14ac:dyDescent="0.2">
      <c r="AC4780" s="20"/>
      <c r="AE4780" s="22"/>
      <c r="AF4780" s="22"/>
    </row>
    <row r="4781" spans="29:32" x14ac:dyDescent="0.2">
      <c r="AC4781" s="20"/>
      <c r="AE4781" s="22"/>
      <c r="AF4781" s="22"/>
    </row>
    <row r="4782" spans="29:32" x14ac:dyDescent="0.2">
      <c r="AC4782" s="20"/>
      <c r="AE4782" s="22"/>
      <c r="AF4782" s="22"/>
    </row>
    <row r="4783" spans="29:32" x14ac:dyDescent="0.2">
      <c r="AC4783" s="20"/>
      <c r="AE4783" s="22"/>
      <c r="AF4783" s="22"/>
    </row>
    <row r="4784" spans="29:32" x14ac:dyDescent="0.2">
      <c r="AC4784" s="20"/>
      <c r="AE4784" s="22"/>
      <c r="AF4784" s="22"/>
    </row>
    <row r="4785" spans="29:32" x14ac:dyDescent="0.2">
      <c r="AC4785" s="20"/>
      <c r="AE4785" s="22"/>
      <c r="AF4785" s="22"/>
    </row>
    <row r="4786" spans="29:32" x14ac:dyDescent="0.2">
      <c r="AC4786" s="20"/>
      <c r="AE4786" s="22"/>
      <c r="AF4786" s="22"/>
    </row>
    <row r="4787" spans="29:32" x14ac:dyDescent="0.2">
      <c r="AC4787" s="20"/>
      <c r="AE4787" s="22"/>
      <c r="AF4787" s="22"/>
    </row>
    <row r="4788" spans="29:32" x14ac:dyDescent="0.2">
      <c r="AC4788" s="20"/>
      <c r="AE4788" s="22"/>
      <c r="AF4788" s="22"/>
    </row>
    <row r="4789" spans="29:32" x14ac:dyDescent="0.2">
      <c r="AC4789" s="20"/>
      <c r="AE4789" s="22"/>
      <c r="AF4789" s="22"/>
    </row>
    <row r="4790" spans="29:32" x14ac:dyDescent="0.2">
      <c r="AC4790" s="20"/>
      <c r="AE4790" s="22"/>
      <c r="AF4790" s="22"/>
    </row>
    <row r="4791" spans="29:32" x14ac:dyDescent="0.2">
      <c r="AC4791" s="20"/>
      <c r="AE4791" s="22"/>
      <c r="AF4791" s="22"/>
    </row>
    <row r="4792" spans="29:32" x14ac:dyDescent="0.2">
      <c r="AC4792" s="20"/>
      <c r="AE4792" s="22"/>
      <c r="AF4792" s="22"/>
    </row>
    <row r="4793" spans="29:32" x14ac:dyDescent="0.2">
      <c r="AC4793" s="20"/>
      <c r="AE4793" s="22"/>
      <c r="AF4793" s="22"/>
    </row>
    <row r="4794" spans="29:32" x14ac:dyDescent="0.2">
      <c r="AC4794" s="20"/>
      <c r="AE4794" s="22"/>
      <c r="AF4794" s="22"/>
    </row>
    <row r="4795" spans="29:32" x14ac:dyDescent="0.2">
      <c r="AC4795" s="20"/>
      <c r="AE4795" s="22"/>
      <c r="AF4795" s="22"/>
    </row>
    <row r="4796" spans="29:32" x14ac:dyDescent="0.2">
      <c r="AC4796" s="20"/>
      <c r="AE4796" s="22"/>
      <c r="AF4796" s="22"/>
    </row>
    <row r="4797" spans="29:32" x14ac:dyDescent="0.2">
      <c r="AC4797" s="20"/>
      <c r="AE4797" s="22"/>
      <c r="AF4797" s="22"/>
    </row>
    <row r="4798" spans="29:32" x14ac:dyDescent="0.2">
      <c r="AC4798" s="20"/>
      <c r="AE4798" s="22"/>
      <c r="AF4798" s="22"/>
    </row>
    <row r="4799" spans="29:32" x14ac:dyDescent="0.2">
      <c r="AC4799" s="20"/>
      <c r="AE4799" s="22"/>
      <c r="AF4799" s="22"/>
    </row>
    <row r="4800" spans="29:32" x14ac:dyDescent="0.2">
      <c r="AC4800" s="20"/>
      <c r="AE4800" s="22"/>
      <c r="AF4800" s="22"/>
    </row>
    <row r="4801" spans="29:32" x14ac:dyDescent="0.2">
      <c r="AC4801" s="20"/>
      <c r="AE4801" s="22"/>
      <c r="AF4801" s="22"/>
    </row>
    <row r="4802" spans="29:32" x14ac:dyDescent="0.2">
      <c r="AC4802" s="20"/>
      <c r="AE4802" s="22"/>
      <c r="AF4802" s="22"/>
    </row>
    <row r="4803" spans="29:32" x14ac:dyDescent="0.2">
      <c r="AC4803" s="20"/>
      <c r="AE4803" s="22"/>
      <c r="AF4803" s="22"/>
    </row>
    <row r="4804" spans="29:32" x14ac:dyDescent="0.2">
      <c r="AC4804" s="20"/>
      <c r="AE4804" s="22"/>
      <c r="AF4804" s="22"/>
    </row>
    <row r="4805" spans="29:32" x14ac:dyDescent="0.2">
      <c r="AC4805" s="20"/>
      <c r="AE4805" s="22"/>
      <c r="AF4805" s="22"/>
    </row>
    <row r="4806" spans="29:32" x14ac:dyDescent="0.2">
      <c r="AC4806" s="20"/>
      <c r="AE4806" s="22"/>
      <c r="AF4806" s="22"/>
    </row>
    <row r="4807" spans="29:32" x14ac:dyDescent="0.2">
      <c r="AC4807" s="20"/>
      <c r="AE4807" s="22"/>
      <c r="AF4807" s="22"/>
    </row>
    <row r="4808" spans="29:32" x14ac:dyDescent="0.2">
      <c r="AC4808" s="20"/>
      <c r="AE4808" s="22"/>
      <c r="AF4808" s="22"/>
    </row>
    <row r="4809" spans="29:32" x14ac:dyDescent="0.2">
      <c r="AC4809" s="20"/>
      <c r="AE4809" s="22"/>
      <c r="AF4809" s="22"/>
    </row>
    <row r="4810" spans="29:32" x14ac:dyDescent="0.2">
      <c r="AC4810" s="20"/>
      <c r="AE4810" s="22"/>
      <c r="AF4810" s="22"/>
    </row>
    <row r="4811" spans="29:32" x14ac:dyDescent="0.2">
      <c r="AC4811" s="20"/>
      <c r="AE4811" s="22"/>
      <c r="AF4811" s="22"/>
    </row>
    <row r="4812" spans="29:32" x14ac:dyDescent="0.2">
      <c r="AC4812" s="20"/>
      <c r="AE4812" s="22"/>
      <c r="AF4812" s="22"/>
    </row>
    <row r="4813" spans="29:32" x14ac:dyDescent="0.2">
      <c r="AC4813" s="20"/>
      <c r="AE4813" s="22"/>
      <c r="AF4813" s="22"/>
    </row>
    <row r="4814" spans="29:32" x14ac:dyDescent="0.2">
      <c r="AC4814" s="20"/>
      <c r="AE4814" s="22"/>
      <c r="AF4814" s="22"/>
    </row>
    <row r="4815" spans="29:32" x14ac:dyDescent="0.2">
      <c r="AC4815" s="20"/>
      <c r="AE4815" s="22"/>
      <c r="AF4815" s="22"/>
    </row>
    <row r="4816" spans="29:32" x14ac:dyDescent="0.2">
      <c r="AC4816" s="20"/>
      <c r="AE4816" s="22"/>
      <c r="AF4816" s="22"/>
    </row>
    <row r="4817" spans="29:32" x14ac:dyDescent="0.2">
      <c r="AC4817" s="20"/>
      <c r="AE4817" s="22"/>
      <c r="AF4817" s="22"/>
    </row>
    <row r="4818" spans="29:32" x14ac:dyDescent="0.2">
      <c r="AC4818" s="20"/>
      <c r="AE4818" s="22"/>
      <c r="AF4818" s="22"/>
    </row>
    <row r="4819" spans="29:32" x14ac:dyDescent="0.2">
      <c r="AC4819" s="20"/>
      <c r="AE4819" s="22"/>
      <c r="AF4819" s="22"/>
    </row>
    <row r="4820" spans="29:32" x14ac:dyDescent="0.2">
      <c r="AC4820" s="20"/>
      <c r="AE4820" s="22"/>
      <c r="AF4820" s="22"/>
    </row>
    <row r="4821" spans="29:32" x14ac:dyDescent="0.2">
      <c r="AC4821" s="20"/>
      <c r="AE4821" s="22"/>
      <c r="AF4821" s="22"/>
    </row>
    <row r="4822" spans="29:32" x14ac:dyDescent="0.2">
      <c r="AC4822" s="20"/>
      <c r="AE4822" s="22"/>
      <c r="AF4822" s="22"/>
    </row>
    <row r="4823" spans="29:32" x14ac:dyDescent="0.2">
      <c r="AC4823" s="20"/>
      <c r="AE4823" s="22"/>
      <c r="AF4823" s="22"/>
    </row>
    <row r="4824" spans="29:32" x14ac:dyDescent="0.2">
      <c r="AC4824" s="20"/>
      <c r="AE4824" s="22"/>
      <c r="AF4824" s="22"/>
    </row>
    <row r="4825" spans="29:32" x14ac:dyDescent="0.2">
      <c r="AC4825" s="20"/>
      <c r="AE4825" s="22"/>
      <c r="AF4825" s="22"/>
    </row>
    <row r="4826" spans="29:32" x14ac:dyDescent="0.2">
      <c r="AC4826" s="20"/>
      <c r="AE4826" s="22"/>
      <c r="AF4826" s="22"/>
    </row>
    <row r="4827" spans="29:32" x14ac:dyDescent="0.2">
      <c r="AC4827" s="20"/>
      <c r="AE4827" s="22"/>
      <c r="AF4827" s="22"/>
    </row>
    <row r="4828" spans="29:32" x14ac:dyDescent="0.2">
      <c r="AC4828" s="20"/>
      <c r="AE4828" s="22"/>
      <c r="AF4828" s="22"/>
    </row>
    <row r="4829" spans="29:32" x14ac:dyDescent="0.2">
      <c r="AC4829" s="20"/>
      <c r="AE4829" s="22"/>
      <c r="AF4829" s="22"/>
    </row>
    <row r="4830" spans="29:32" x14ac:dyDescent="0.2">
      <c r="AC4830" s="20"/>
      <c r="AE4830" s="22"/>
      <c r="AF4830" s="22"/>
    </row>
    <row r="4831" spans="29:32" x14ac:dyDescent="0.2">
      <c r="AC4831" s="20"/>
      <c r="AE4831" s="22"/>
      <c r="AF4831" s="22"/>
    </row>
    <row r="4832" spans="29:32" x14ac:dyDescent="0.2">
      <c r="AC4832" s="20"/>
      <c r="AE4832" s="22"/>
      <c r="AF4832" s="22"/>
    </row>
    <row r="4833" spans="29:32" x14ac:dyDescent="0.2">
      <c r="AC4833" s="20"/>
      <c r="AE4833" s="22"/>
      <c r="AF4833" s="22"/>
    </row>
    <row r="4834" spans="29:32" x14ac:dyDescent="0.2">
      <c r="AC4834" s="20"/>
      <c r="AE4834" s="22"/>
      <c r="AF4834" s="22"/>
    </row>
    <row r="4835" spans="29:32" x14ac:dyDescent="0.2">
      <c r="AC4835" s="20"/>
      <c r="AE4835" s="22"/>
      <c r="AF4835" s="22"/>
    </row>
    <row r="4836" spans="29:32" x14ac:dyDescent="0.2">
      <c r="AC4836" s="20"/>
      <c r="AE4836" s="22"/>
      <c r="AF4836" s="22"/>
    </row>
    <row r="4837" spans="29:32" x14ac:dyDescent="0.2">
      <c r="AC4837" s="20"/>
      <c r="AE4837" s="22"/>
      <c r="AF4837" s="22"/>
    </row>
    <row r="4838" spans="29:32" x14ac:dyDescent="0.2">
      <c r="AC4838" s="20"/>
      <c r="AE4838" s="22"/>
      <c r="AF4838" s="22"/>
    </row>
    <row r="4839" spans="29:32" x14ac:dyDescent="0.2">
      <c r="AC4839" s="20"/>
      <c r="AE4839" s="22"/>
      <c r="AF4839" s="22"/>
    </row>
    <row r="4840" spans="29:32" x14ac:dyDescent="0.2">
      <c r="AC4840" s="20"/>
      <c r="AE4840" s="22"/>
      <c r="AF4840" s="22"/>
    </row>
    <row r="4841" spans="29:32" x14ac:dyDescent="0.2">
      <c r="AC4841" s="20"/>
      <c r="AE4841" s="22"/>
      <c r="AF4841" s="22"/>
    </row>
    <row r="4842" spans="29:32" x14ac:dyDescent="0.2">
      <c r="AC4842" s="20"/>
      <c r="AE4842" s="22"/>
      <c r="AF4842" s="22"/>
    </row>
    <row r="4843" spans="29:32" x14ac:dyDescent="0.2">
      <c r="AC4843" s="20"/>
      <c r="AE4843" s="22"/>
      <c r="AF4843" s="22"/>
    </row>
    <row r="4844" spans="29:32" x14ac:dyDescent="0.2">
      <c r="AC4844" s="20"/>
      <c r="AE4844" s="22"/>
      <c r="AF4844" s="22"/>
    </row>
    <row r="4845" spans="29:32" x14ac:dyDescent="0.2">
      <c r="AC4845" s="20"/>
      <c r="AE4845" s="22"/>
      <c r="AF4845" s="22"/>
    </row>
    <row r="4846" spans="29:32" x14ac:dyDescent="0.2">
      <c r="AC4846" s="20"/>
      <c r="AE4846" s="22"/>
      <c r="AF4846" s="22"/>
    </row>
    <row r="4847" spans="29:32" x14ac:dyDescent="0.2">
      <c r="AC4847" s="20"/>
      <c r="AE4847" s="22"/>
      <c r="AF4847" s="22"/>
    </row>
    <row r="4848" spans="29:32" x14ac:dyDescent="0.2">
      <c r="AC4848" s="20"/>
      <c r="AE4848" s="22"/>
      <c r="AF4848" s="22"/>
    </row>
    <row r="4849" spans="29:32" x14ac:dyDescent="0.2">
      <c r="AC4849" s="20"/>
      <c r="AE4849" s="22"/>
      <c r="AF4849" s="22"/>
    </row>
    <row r="4850" spans="29:32" x14ac:dyDescent="0.2">
      <c r="AC4850" s="20"/>
      <c r="AE4850" s="22"/>
      <c r="AF4850" s="22"/>
    </row>
    <row r="4851" spans="29:32" x14ac:dyDescent="0.2">
      <c r="AC4851" s="20"/>
      <c r="AE4851" s="22"/>
      <c r="AF4851" s="22"/>
    </row>
    <row r="4852" spans="29:32" x14ac:dyDescent="0.2">
      <c r="AC4852" s="20"/>
      <c r="AE4852" s="22"/>
      <c r="AF4852" s="22"/>
    </row>
    <row r="4853" spans="29:32" x14ac:dyDescent="0.2">
      <c r="AC4853" s="20"/>
      <c r="AE4853" s="22"/>
      <c r="AF4853" s="22"/>
    </row>
    <row r="4854" spans="29:32" x14ac:dyDescent="0.2">
      <c r="AC4854" s="20"/>
      <c r="AE4854" s="22"/>
      <c r="AF4854" s="22"/>
    </row>
    <row r="4855" spans="29:32" x14ac:dyDescent="0.2">
      <c r="AC4855" s="20"/>
      <c r="AE4855" s="22"/>
      <c r="AF4855" s="22"/>
    </row>
    <row r="4856" spans="29:32" x14ac:dyDescent="0.2">
      <c r="AC4856" s="20"/>
      <c r="AE4856" s="22"/>
      <c r="AF4856" s="22"/>
    </row>
    <row r="4857" spans="29:32" x14ac:dyDescent="0.2">
      <c r="AC4857" s="20"/>
      <c r="AE4857" s="22"/>
      <c r="AF4857" s="22"/>
    </row>
    <row r="4858" spans="29:32" x14ac:dyDescent="0.2">
      <c r="AC4858" s="20"/>
      <c r="AE4858" s="22"/>
      <c r="AF4858" s="22"/>
    </row>
    <row r="4859" spans="29:32" x14ac:dyDescent="0.2">
      <c r="AC4859" s="20"/>
      <c r="AE4859" s="22"/>
      <c r="AF4859" s="22"/>
    </row>
    <row r="4860" spans="29:32" x14ac:dyDescent="0.2">
      <c r="AC4860" s="20"/>
      <c r="AE4860" s="22"/>
      <c r="AF4860" s="22"/>
    </row>
    <row r="4861" spans="29:32" x14ac:dyDescent="0.2">
      <c r="AC4861" s="20"/>
      <c r="AE4861" s="22"/>
      <c r="AF4861" s="22"/>
    </row>
    <row r="4862" spans="29:32" x14ac:dyDescent="0.2">
      <c r="AC4862" s="20"/>
      <c r="AE4862" s="22"/>
      <c r="AF4862" s="22"/>
    </row>
    <row r="4863" spans="29:32" x14ac:dyDescent="0.2">
      <c r="AC4863" s="20"/>
      <c r="AE4863" s="22"/>
      <c r="AF4863" s="22"/>
    </row>
    <row r="4864" spans="29:32" x14ac:dyDescent="0.2">
      <c r="AC4864" s="20"/>
      <c r="AE4864" s="22"/>
      <c r="AF4864" s="22"/>
    </row>
    <row r="4865" spans="29:32" x14ac:dyDescent="0.2">
      <c r="AC4865" s="20"/>
      <c r="AE4865" s="22"/>
      <c r="AF4865" s="22"/>
    </row>
    <row r="4866" spans="29:32" x14ac:dyDescent="0.2">
      <c r="AC4866" s="20"/>
      <c r="AE4866" s="22"/>
      <c r="AF4866" s="22"/>
    </row>
    <row r="4867" spans="29:32" x14ac:dyDescent="0.2">
      <c r="AC4867" s="20"/>
      <c r="AE4867" s="22"/>
      <c r="AF4867" s="22"/>
    </row>
    <row r="4868" spans="29:32" x14ac:dyDescent="0.2">
      <c r="AC4868" s="20"/>
      <c r="AE4868" s="22"/>
      <c r="AF4868" s="22"/>
    </row>
    <row r="4869" spans="29:32" x14ac:dyDescent="0.2">
      <c r="AC4869" s="20"/>
      <c r="AE4869" s="22"/>
      <c r="AF4869" s="22"/>
    </row>
    <row r="4870" spans="29:32" x14ac:dyDescent="0.2">
      <c r="AC4870" s="20"/>
      <c r="AE4870" s="22"/>
      <c r="AF4870" s="22"/>
    </row>
    <row r="4871" spans="29:32" x14ac:dyDescent="0.2">
      <c r="AC4871" s="20"/>
      <c r="AE4871" s="22"/>
      <c r="AF4871" s="22"/>
    </row>
    <row r="4872" spans="29:32" x14ac:dyDescent="0.2">
      <c r="AC4872" s="20"/>
      <c r="AE4872" s="22"/>
      <c r="AF4872" s="22"/>
    </row>
    <row r="4873" spans="29:32" x14ac:dyDescent="0.2">
      <c r="AC4873" s="20"/>
      <c r="AE4873" s="22"/>
      <c r="AF4873" s="22"/>
    </row>
    <row r="4874" spans="29:32" x14ac:dyDescent="0.2">
      <c r="AC4874" s="20"/>
      <c r="AE4874" s="22"/>
      <c r="AF4874" s="22"/>
    </row>
    <row r="4875" spans="29:32" x14ac:dyDescent="0.2">
      <c r="AC4875" s="20"/>
      <c r="AE4875" s="22"/>
      <c r="AF4875" s="22"/>
    </row>
    <row r="4876" spans="29:32" x14ac:dyDescent="0.2">
      <c r="AC4876" s="20"/>
      <c r="AE4876" s="22"/>
      <c r="AF4876" s="22"/>
    </row>
    <row r="4877" spans="29:32" x14ac:dyDescent="0.2">
      <c r="AC4877" s="20"/>
      <c r="AE4877" s="22"/>
      <c r="AF4877" s="22"/>
    </row>
    <row r="4878" spans="29:32" x14ac:dyDescent="0.2">
      <c r="AC4878" s="20"/>
      <c r="AE4878" s="22"/>
      <c r="AF4878" s="22"/>
    </row>
    <row r="4879" spans="29:32" x14ac:dyDescent="0.2">
      <c r="AC4879" s="20"/>
      <c r="AE4879" s="22"/>
      <c r="AF4879" s="22"/>
    </row>
    <row r="4880" spans="29:32" x14ac:dyDescent="0.2">
      <c r="AC4880" s="20"/>
      <c r="AE4880" s="22"/>
      <c r="AF4880" s="22"/>
    </row>
    <row r="4881" spans="29:32" x14ac:dyDescent="0.2">
      <c r="AC4881" s="20"/>
      <c r="AE4881" s="22"/>
      <c r="AF4881" s="22"/>
    </row>
    <row r="4882" spans="29:32" x14ac:dyDescent="0.2">
      <c r="AC4882" s="20"/>
      <c r="AE4882" s="22"/>
      <c r="AF4882" s="22"/>
    </row>
    <row r="4883" spans="29:32" x14ac:dyDescent="0.2">
      <c r="AC4883" s="20"/>
      <c r="AE4883" s="22"/>
      <c r="AF4883" s="22"/>
    </row>
    <row r="4884" spans="29:32" x14ac:dyDescent="0.2">
      <c r="AC4884" s="20"/>
      <c r="AE4884" s="22"/>
      <c r="AF4884" s="22"/>
    </row>
    <row r="4885" spans="29:32" x14ac:dyDescent="0.2">
      <c r="AC4885" s="20"/>
      <c r="AE4885" s="22"/>
      <c r="AF4885" s="22"/>
    </row>
    <row r="4886" spans="29:32" x14ac:dyDescent="0.2">
      <c r="AC4886" s="20"/>
      <c r="AE4886" s="22"/>
      <c r="AF4886" s="22"/>
    </row>
    <row r="4887" spans="29:32" x14ac:dyDescent="0.2">
      <c r="AC4887" s="20"/>
      <c r="AE4887" s="22"/>
      <c r="AF4887" s="22"/>
    </row>
    <row r="4888" spans="29:32" x14ac:dyDescent="0.2">
      <c r="AC4888" s="20"/>
      <c r="AE4888" s="22"/>
      <c r="AF4888" s="22"/>
    </row>
    <row r="4889" spans="29:32" x14ac:dyDescent="0.2">
      <c r="AC4889" s="20"/>
      <c r="AE4889" s="22"/>
      <c r="AF4889" s="22"/>
    </row>
    <row r="4890" spans="29:32" x14ac:dyDescent="0.2">
      <c r="AC4890" s="20"/>
      <c r="AE4890" s="22"/>
      <c r="AF4890" s="22"/>
    </row>
    <row r="4891" spans="29:32" x14ac:dyDescent="0.2">
      <c r="AC4891" s="20"/>
      <c r="AE4891" s="22"/>
      <c r="AF4891" s="22"/>
    </row>
    <row r="4892" spans="29:32" x14ac:dyDescent="0.2">
      <c r="AC4892" s="20"/>
      <c r="AE4892" s="22"/>
      <c r="AF4892" s="22"/>
    </row>
    <row r="4893" spans="29:32" x14ac:dyDescent="0.2">
      <c r="AC4893" s="20"/>
      <c r="AE4893" s="22"/>
      <c r="AF4893" s="22"/>
    </row>
    <row r="4894" spans="29:32" x14ac:dyDescent="0.2">
      <c r="AC4894" s="20"/>
      <c r="AE4894" s="22"/>
      <c r="AF4894" s="22"/>
    </row>
    <row r="4895" spans="29:32" x14ac:dyDescent="0.2">
      <c r="AC4895" s="20"/>
      <c r="AE4895" s="22"/>
      <c r="AF4895" s="22"/>
    </row>
    <row r="4896" spans="29:32" x14ac:dyDescent="0.2">
      <c r="AC4896" s="20"/>
      <c r="AE4896" s="22"/>
      <c r="AF4896" s="22"/>
    </row>
    <row r="4897" spans="29:32" x14ac:dyDescent="0.2">
      <c r="AC4897" s="20"/>
      <c r="AE4897" s="22"/>
      <c r="AF4897" s="22"/>
    </row>
    <row r="4898" spans="29:32" x14ac:dyDescent="0.2">
      <c r="AC4898" s="20"/>
      <c r="AE4898" s="22"/>
      <c r="AF4898" s="22"/>
    </row>
    <row r="4899" spans="29:32" x14ac:dyDescent="0.2">
      <c r="AC4899" s="20"/>
      <c r="AE4899" s="22"/>
      <c r="AF4899" s="22"/>
    </row>
    <row r="4900" spans="29:32" x14ac:dyDescent="0.2">
      <c r="AC4900" s="20"/>
      <c r="AE4900" s="22"/>
      <c r="AF4900" s="22"/>
    </row>
    <row r="4901" spans="29:32" x14ac:dyDescent="0.2">
      <c r="AC4901" s="20"/>
      <c r="AE4901" s="22"/>
      <c r="AF4901" s="22"/>
    </row>
    <row r="4902" spans="29:32" x14ac:dyDescent="0.2">
      <c r="AC4902" s="20"/>
      <c r="AE4902" s="22"/>
      <c r="AF4902" s="22"/>
    </row>
    <row r="4903" spans="29:32" x14ac:dyDescent="0.2">
      <c r="AC4903" s="20"/>
      <c r="AE4903" s="22"/>
      <c r="AF4903" s="22"/>
    </row>
    <row r="4904" spans="29:32" x14ac:dyDescent="0.2">
      <c r="AC4904" s="20"/>
      <c r="AE4904" s="22"/>
      <c r="AF4904" s="22"/>
    </row>
    <row r="4905" spans="29:32" x14ac:dyDescent="0.2">
      <c r="AC4905" s="20"/>
      <c r="AE4905" s="22"/>
      <c r="AF4905" s="22"/>
    </row>
    <row r="4906" spans="29:32" x14ac:dyDescent="0.2">
      <c r="AC4906" s="20"/>
      <c r="AE4906" s="22"/>
      <c r="AF4906" s="22"/>
    </row>
    <row r="4907" spans="29:32" x14ac:dyDescent="0.2">
      <c r="AC4907" s="20"/>
      <c r="AE4907" s="22"/>
      <c r="AF4907" s="22"/>
    </row>
    <row r="4908" spans="29:32" x14ac:dyDescent="0.2">
      <c r="AC4908" s="20"/>
      <c r="AE4908" s="22"/>
      <c r="AF4908" s="22"/>
    </row>
    <row r="4909" spans="29:32" x14ac:dyDescent="0.2">
      <c r="AC4909" s="20"/>
      <c r="AE4909" s="22"/>
      <c r="AF4909" s="22"/>
    </row>
    <row r="4910" spans="29:32" x14ac:dyDescent="0.2">
      <c r="AC4910" s="20"/>
      <c r="AE4910" s="22"/>
      <c r="AF4910" s="22"/>
    </row>
    <row r="4911" spans="29:32" x14ac:dyDescent="0.2">
      <c r="AC4911" s="20"/>
      <c r="AE4911" s="22"/>
      <c r="AF4911" s="22"/>
    </row>
    <row r="4912" spans="29:32" x14ac:dyDescent="0.2">
      <c r="AC4912" s="20"/>
      <c r="AE4912" s="22"/>
      <c r="AF4912" s="22"/>
    </row>
    <row r="4913" spans="29:32" x14ac:dyDescent="0.2">
      <c r="AC4913" s="20"/>
      <c r="AE4913" s="22"/>
      <c r="AF4913" s="22"/>
    </row>
    <row r="4914" spans="29:32" x14ac:dyDescent="0.2">
      <c r="AC4914" s="20"/>
      <c r="AE4914" s="22"/>
      <c r="AF4914" s="22"/>
    </row>
    <row r="4915" spans="29:32" x14ac:dyDescent="0.2">
      <c r="AC4915" s="20"/>
      <c r="AE4915" s="22"/>
      <c r="AF4915" s="22"/>
    </row>
    <row r="4916" spans="29:32" x14ac:dyDescent="0.2">
      <c r="AC4916" s="20"/>
      <c r="AE4916" s="22"/>
      <c r="AF4916" s="22"/>
    </row>
    <row r="4917" spans="29:32" x14ac:dyDescent="0.2">
      <c r="AC4917" s="20"/>
      <c r="AE4917" s="22"/>
      <c r="AF4917" s="22"/>
    </row>
    <row r="4918" spans="29:32" x14ac:dyDescent="0.2">
      <c r="AC4918" s="20"/>
      <c r="AE4918" s="22"/>
      <c r="AF4918" s="22"/>
    </row>
    <row r="4919" spans="29:32" x14ac:dyDescent="0.2">
      <c r="AC4919" s="20"/>
      <c r="AE4919" s="22"/>
      <c r="AF4919" s="22"/>
    </row>
    <row r="4920" spans="29:32" x14ac:dyDescent="0.2">
      <c r="AC4920" s="20"/>
      <c r="AE4920" s="22"/>
      <c r="AF4920" s="22"/>
    </row>
    <row r="4921" spans="29:32" x14ac:dyDescent="0.2">
      <c r="AC4921" s="20"/>
      <c r="AE4921" s="22"/>
      <c r="AF4921" s="22"/>
    </row>
    <row r="4922" spans="29:32" x14ac:dyDescent="0.2">
      <c r="AC4922" s="20"/>
      <c r="AE4922" s="22"/>
      <c r="AF4922" s="22"/>
    </row>
    <row r="4923" spans="29:32" x14ac:dyDescent="0.2">
      <c r="AC4923" s="20"/>
      <c r="AE4923" s="22"/>
      <c r="AF4923" s="22"/>
    </row>
    <row r="4924" spans="29:32" x14ac:dyDescent="0.2">
      <c r="AC4924" s="20"/>
      <c r="AE4924" s="22"/>
      <c r="AF4924" s="22"/>
    </row>
    <row r="4925" spans="29:32" x14ac:dyDescent="0.2">
      <c r="AC4925" s="20"/>
      <c r="AE4925" s="22"/>
      <c r="AF4925" s="22"/>
    </row>
    <row r="4926" spans="29:32" x14ac:dyDescent="0.2">
      <c r="AC4926" s="20"/>
      <c r="AE4926" s="22"/>
      <c r="AF4926" s="22"/>
    </row>
    <row r="4927" spans="29:32" x14ac:dyDescent="0.2">
      <c r="AC4927" s="20"/>
      <c r="AE4927" s="22"/>
      <c r="AF4927" s="22"/>
    </row>
    <row r="4928" spans="29:32" x14ac:dyDescent="0.2">
      <c r="AC4928" s="20"/>
      <c r="AE4928" s="22"/>
      <c r="AF4928" s="22"/>
    </row>
    <row r="4929" spans="29:32" x14ac:dyDescent="0.2">
      <c r="AC4929" s="20"/>
      <c r="AE4929" s="22"/>
      <c r="AF4929" s="22"/>
    </row>
    <row r="4930" spans="29:32" x14ac:dyDescent="0.2">
      <c r="AC4930" s="20"/>
      <c r="AE4930" s="22"/>
      <c r="AF4930" s="22"/>
    </row>
    <row r="4931" spans="29:32" x14ac:dyDescent="0.2">
      <c r="AC4931" s="20"/>
      <c r="AE4931" s="22"/>
      <c r="AF4931" s="22"/>
    </row>
    <row r="4932" spans="29:32" x14ac:dyDescent="0.2">
      <c r="AC4932" s="20"/>
      <c r="AE4932" s="22"/>
      <c r="AF4932" s="22"/>
    </row>
    <row r="4933" spans="29:32" x14ac:dyDescent="0.2">
      <c r="AC4933" s="20"/>
      <c r="AE4933" s="22"/>
      <c r="AF4933" s="22"/>
    </row>
    <row r="4934" spans="29:32" x14ac:dyDescent="0.2">
      <c r="AC4934" s="20"/>
      <c r="AE4934" s="22"/>
      <c r="AF4934" s="22"/>
    </row>
    <row r="4935" spans="29:32" x14ac:dyDescent="0.2">
      <c r="AC4935" s="20"/>
      <c r="AE4935" s="22"/>
      <c r="AF4935" s="22"/>
    </row>
    <row r="4936" spans="29:32" x14ac:dyDescent="0.2">
      <c r="AC4936" s="20"/>
      <c r="AE4936" s="22"/>
      <c r="AF4936" s="22"/>
    </row>
    <row r="4937" spans="29:32" x14ac:dyDescent="0.2">
      <c r="AC4937" s="20"/>
      <c r="AE4937" s="22"/>
      <c r="AF4937" s="22"/>
    </row>
    <row r="4938" spans="29:32" x14ac:dyDescent="0.2">
      <c r="AC4938" s="20"/>
      <c r="AE4938" s="22"/>
      <c r="AF4938" s="22"/>
    </row>
    <row r="4939" spans="29:32" x14ac:dyDescent="0.2">
      <c r="AC4939" s="20"/>
      <c r="AE4939" s="22"/>
      <c r="AF4939" s="22"/>
    </row>
    <row r="4940" spans="29:32" x14ac:dyDescent="0.2">
      <c r="AC4940" s="20"/>
      <c r="AE4940" s="22"/>
      <c r="AF4940" s="22"/>
    </row>
    <row r="4941" spans="29:32" x14ac:dyDescent="0.2">
      <c r="AC4941" s="20"/>
      <c r="AE4941" s="22"/>
      <c r="AF4941" s="22"/>
    </row>
    <row r="4942" spans="29:32" x14ac:dyDescent="0.2">
      <c r="AC4942" s="20"/>
      <c r="AE4942" s="22"/>
      <c r="AF4942" s="22"/>
    </row>
    <row r="4943" spans="29:32" x14ac:dyDescent="0.2">
      <c r="AC4943" s="20"/>
      <c r="AE4943" s="22"/>
      <c r="AF4943" s="22"/>
    </row>
    <row r="4944" spans="29:32" x14ac:dyDescent="0.2">
      <c r="AC4944" s="20"/>
      <c r="AE4944" s="22"/>
      <c r="AF4944" s="22"/>
    </row>
    <row r="4945" spans="29:32" x14ac:dyDescent="0.2">
      <c r="AC4945" s="20"/>
      <c r="AE4945" s="22"/>
      <c r="AF4945" s="22"/>
    </row>
    <row r="4946" spans="29:32" x14ac:dyDescent="0.2">
      <c r="AC4946" s="20"/>
      <c r="AE4946" s="22"/>
      <c r="AF4946" s="22"/>
    </row>
    <row r="4947" spans="29:32" x14ac:dyDescent="0.2">
      <c r="AC4947" s="20"/>
      <c r="AE4947" s="22"/>
      <c r="AF4947" s="22"/>
    </row>
    <row r="4948" spans="29:32" x14ac:dyDescent="0.2">
      <c r="AC4948" s="20"/>
      <c r="AE4948" s="22"/>
      <c r="AF4948" s="22"/>
    </row>
    <row r="4949" spans="29:32" x14ac:dyDescent="0.2">
      <c r="AC4949" s="20"/>
      <c r="AE4949" s="22"/>
      <c r="AF4949" s="22"/>
    </row>
    <row r="4950" spans="29:32" x14ac:dyDescent="0.2">
      <c r="AC4950" s="20"/>
      <c r="AE4950" s="22"/>
      <c r="AF4950" s="22"/>
    </row>
    <row r="4951" spans="29:32" x14ac:dyDescent="0.2">
      <c r="AC4951" s="20"/>
      <c r="AE4951" s="22"/>
      <c r="AF4951" s="22"/>
    </row>
    <row r="4952" spans="29:32" x14ac:dyDescent="0.2">
      <c r="AC4952" s="20"/>
      <c r="AE4952" s="22"/>
      <c r="AF4952" s="22"/>
    </row>
    <row r="4953" spans="29:32" x14ac:dyDescent="0.2">
      <c r="AC4953" s="20"/>
      <c r="AE4953" s="22"/>
      <c r="AF4953" s="22"/>
    </row>
    <row r="4954" spans="29:32" x14ac:dyDescent="0.2">
      <c r="AC4954" s="20"/>
      <c r="AE4954" s="22"/>
      <c r="AF4954" s="22"/>
    </row>
    <row r="4955" spans="29:32" x14ac:dyDescent="0.2">
      <c r="AC4955" s="20"/>
      <c r="AE4955" s="22"/>
      <c r="AF4955" s="22"/>
    </row>
    <row r="4956" spans="29:32" x14ac:dyDescent="0.2">
      <c r="AC4956" s="20"/>
      <c r="AE4956" s="22"/>
      <c r="AF4956" s="22"/>
    </row>
    <row r="4957" spans="29:32" x14ac:dyDescent="0.2">
      <c r="AC4957" s="20"/>
      <c r="AE4957" s="22"/>
      <c r="AF4957" s="22"/>
    </row>
    <row r="4958" spans="29:32" x14ac:dyDescent="0.2">
      <c r="AC4958" s="20"/>
      <c r="AE4958" s="22"/>
      <c r="AF4958" s="22"/>
    </row>
    <row r="4959" spans="29:32" x14ac:dyDescent="0.2">
      <c r="AC4959" s="20"/>
      <c r="AE4959" s="22"/>
      <c r="AF4959" s="22"/>
    </row>
    <row r="4960" spans="29:32" x14ac:dyDescent="0.2">
      <c r="AC4960" s="20"/>
      <c r="AE4960" s="22"/>
      <c r="AF4960" s="22"/>
    </row>
    <row r="4961" spans="29:32" x14ac:dyDescent="0.2">
      <c r="AC4961" s="20"/>
      <c r="AE4961" s="22"/>
      <c r="AF4961" s="22"/>
    </row>
    <row r="4962" spans="29:32" x14ac:dyDescent="0.2">
      <c r="AC4962" s="20"/>
      <c r="AE4962" s="22"/>
      <c r="AF4962" s="22"/>
    </row>
    <row r="4963" spans="29:32" x14ac:dyDescent="0.2">
      <c r="AC4963" s="20"/>
      <c r="AE4963" s="22"/>
      <c r="AF4963" s="22"/>
    </row>
    <row r="4964" spans="29:32" x14ac:dyDescent="0.2">
      <c r="AC4964" s="20"/>
      <c r="AE4964" s="22"/>
      <c r="AF4964" s="22"/>
    </row>
    <row r="4965" spans="29:32" x14ac:dyDescent="0.2">
      <c r="AC4965" s="20"/>
      <c r="AE4965" s="22"/>
      <c r="AF4965" s="22"/>
    </row>
    <row r="4966" spans="29:32" x14ac:dyDescent="0.2">
      <c r="AC4966" s="20"/>
      <c r="AE4966" s="22"/>
      <c r="AF4966" s="22"/>
    </row>
    <row r="4967" spans="29:32" x14ac:dyDescent="0.2">
      <c r="AC4967" s="20"/>
      <c r="AE4967" s="22"/>
      <c r="AF4967" s="22"/>
    </row>
    <row r="4968" spans="29:32" x14ac:dyDescent="0.2">
      <c r="AC4968" s="20"/>
      <c r="AE4968" s="22"/>
      <c r="AF4968" s="22"/>
    </row>
    <row r="4969" spans="29:32" x14ac:dyDescent="0.2">
      <c r="AC4969" s="20"/>
      <c r="AE4969" s="22"/>
      <c r="AF4969" s="22"/>
    </row>
    <row r="4970" spans="29:32" x14ac:dyDescent="0.2">
      <c r="AC4970" s="20"/>
      <c r="AE4970" s="22"/>
      <c r="AF4970" s="22"/>
    </row>
    <row r="4971" spans="29:32" x14ac:dyDescent="0.2">
      <c r="AC4971" s="20"/>
      <c r="AE4971" s="22"/>
      <c r="AF4971" s="22"/>
    </row>
    <row r="4972" spans="29:32" x14ac:dyDescent="0.2">
      <c r="AC4972" s="20"/>
      <c r="AE4972" s="22"/>
      <c r="AF4972" s="22"/>
    </row>
    <row r="4973" spans="29:32" x14ac:dyDescent="0.2">
      <c r="AC4973" s="20"/>
      <c r="AE4973" s="22"/>
      <c r="AF4973" s="22"/>
    </row>
    <row r="4974" spans="29:32" x14ac:dyDescent="0.2">
      <c r="AC4974" s="20"/>
      <c r="AE4974" s="22"/>
      <c r="AF4974" s="22"/>
    </row>
    <row r="4975" spans="29:32" x14ac:dyDescent="0.2">
      <c r="AC4975" s="20"/>
      <c r="AE4975" s="22"/>
      <c r="AF4975" s="22"/>
    </row>
    <row r="4976" spans="29:32" x14ac:dyDescent="0.2">
      <c r="AC4976" s="20"/>
      <c r="AE4976" s="22"/>
      <c r="AF4976" s="22"/>
    </row>
    <row r="4977" spans="29:32" x14ac:dyDescent="0.2">
      <c r="AC4977" s="20"/>
      <c r="AE4977" s="22"/>
      <c r="AF4977" s="22"/>
    </row>
    <row r="4978" spans="29:32" x14ac:dyDescent="0.2">
      <c r="AC4978" s="20"/>
      <c r="AE4978" s="22"/>
      <c r="AF4978" s="22"/>
    </row>
    <row r="4979" spans="29:32" x14ac:dyDescent="0.2">
      <c r="AC4979" s="20"/>
      <c r="AE4979" s="22"/>
      <c r="AF4979" s="22"/>
    </row>
    <row r="4980" spans="29:32" x14ac:dyDescent="0.2">
      <c r="AC4980" s="20"/>
      <c r="AE4980" s="22"/>
      <c r="AF4980" s="22"/>
    </row>
    <row r="4981" spans="29:32" x14ac:dyDescent="0.2">
      <c r="AC4981" s="20"/>
      <c r="AE4981" s="22"/>
      <c r="AF4981" s="22"/>
    </row>
    <row r="4982" spans="29:32" x14ac:dyDescent="0.2">
      <c r="AC4982" s="20"/>
      <c r="AE4982" s="22"/>
      <c r="AF4982" s="22"/>
    </row>
    <row r="4983" spans="29:32" x14ac:dyDescent="0.2">
      <c r="AC4983" s="20"/>
      <c r="AE4983" s="22"/>
      <c r="AF4983" s="22"/>
    </row>
    <row r="4984" spans="29:32" x14ac:dyDescent="0.2">
      <c r="AC4984" s="20"/>
      <c r="AE4984" s="22"/>
      <c r="AF4984" s="22"/>
    </row>
    <row r="4985" spans="29:32" x14ac:dyDescent="0.2">
      <c r="AC4985" s="20"/>
      <c r="AE4985" s="22"/>
      <c r="AF4985" s="22"/>
    </row>
    <row r="4986" spans="29:32" x14ac:dyDescent="0.2">
      <c r="AC4986" s="20"/>
      <c r="AE4986" s="22"/>
      <c r="AF4986" s="22"/>
    </row>
    <row r="4987" spans="29:32" x14ac:dyDescent="0.2">
      <c r="AC4987" s="20"/>
      <c r="AE4987" s="22"/>
      <c r="AF4987" s="22"/>
    </row>
    <row r="4988" spans="29:32" x14ac:dyDescent="0.2">
      <c r="AC4988" s="20"/>
      <c r="AE4988" s="22"/>
      <c r="AF4988" s="22"/>
    </row>
    <row r="4989" spans="29:32" x14ac:dyDescent="0.2">
      <c r="AC4989" s="20"/>
      <c r="AE4989" s="22"/>
      <c r="AF4989" s="22"/>
    </row>
    <row r="4990" spans="29:32" x14ac:dyDescent="0.2">
      <c r="AC4990" s="20"/>
      <c r="AE4990" s="22"/>
      <c r="AF4990" s="22"/>
    </row>
    <row r="4991" spans="29:32" x14ac:dyDescent="0.2">
      <c r="AC4991" s="20"/>
      <c r="AE4991" s="22"/>
      <c r="AF4991" s="22"/>
    </row>
    <row r="4992" spans="29:32" x14ac:dyDescent="0.2">
      <c r="AC4992" s="20"/>
      <c r="AE4992" s="22"/>
      <c r="AF4992" s="22"/>
    </row>
    <row r="4993" spans="29:32" x14ac:dyDescent="0.2">
      <c r="AC4993" s="20"/>
      <c r="AE4993" s="22"/>
      <c r="AF4993" s="22"/>
    </row>
    <row r="4994" spans="29:32" x14ac:dyDescent="0.2">
      <c r="AC4994" s="20"/>
      <c r="AE4994" s="22"/>
      <c r="AF4994" s="22"/>
    </row>
    <row r="4995" spans="29:32" x14ac:dyDescent="0.2">
      <c r="AC4995" s="20"/>
      <c r="AE4995" s="22"/>
      <c r="AF4995" s="22"/>
    </row>
    <row r="4996" spans="29:32" x14ac:dyDescent="0.2">
      <c r="AC4996" s="20"/>
      <c r="AE4996" s="22"/>
      <c r="AF4996" s="22"/>
    </row>
    <row r="4997" spans="29:32" x14ac:dyDescent="0.2">
      <c r="AC4997" s="20"/>
      <c r="AE4997" s="22"/>
      <c r="AF4997" s="22"/>
    </row>
    <row r="4998" spans="29:32" x14ac:dyDescent="0.2">
      <c r="AC4998" s="20"/>
      <c r="AE4998" s="22"/>
      <c r="AF4998" s="22"/>
    </row>
    <row r="4999" spans="29:32" x14ac:dyDescent="0.2">
      <c r="AC4999" s="20"/>
      <c r="AE4999" s="22"/>
      <c r="AF4999" s="22"/>
    </row>
    <row r="5000" spans="29:32" x14ac:dyDescent="0.2">
      <c r="AC5000" s="20"/>
      <c r="AE5000" s="22"/>
      <c r="AF5000" s="22"/>
    </row>
    <row r="5001" spans="29:32" x14ac:dyDescent="0.2">
      <c r="AC5001" s="20"/>
      <c r="AE5001" s="22"/>
      <c r="AF5001" s="22"/>
    </row>
    <row r="5002" spans="29:32" x14ac:dyDescent="0.2">
      <c r="AC5002" s="20"/>
      <c r="AE5002" s="22"/>
      <c r="AF5002" s="22"/>
    </row>
    <row r="5003" spans="29:32" x14ac:dyDescent="0.2">
      <c r="AC5003" s="20"/>
      <c r="AE5003" s="22"/>
      <c r="AF5003" s="22"/>
    </row>
    <row r="5004" spans="29:32" x14ac:dyDescent="0.2">
      <c r="AC5004" s="20"/>
      <c r="AE5004" s="22"/>
      <c r="AF5004" s="22"/>
    </row>
    <row r="5005" spans="29:32" x14ac:dyDescent="0.2">
      <c r="AC5005" s="20"/>
      <c r="AE5005" s="22"/>
      <c r="AF5005" s="22"/>
    </row>
    <row r="5006" spans="29:32" x14ac:dyDescent="0.2">
      <c r="AC5006" s="20"/>
      <c r="AE5006" s="22"/>
      <c r="AF5006" s="22"/>
    </row>
    <row r="5007" spans="29:32" x14ac:dyDescent="0.2">
      <c r="AC5007" s="20"/>
      <c r="AE5007" s="22"/>
      <c r="AF5007" s="22"/>
    </row>
    <row r="5008" spans="29:32" x14ac:dyDescent="0.2">
      <c r="AC5008" s="20"/>
      <c r="AE5008" s="22"/>
      <c r="AF5008" s="22"/>
    </row>
    <row r="5009" spans="29:32" x14ac:dyDescent="0.2">
      <c r="AC5009" s="20"/>
      <c r="AE5009" s="22"/>
      <c r="AF5009" s="22"/>
    </row>
    <row r="5010" spans="29:32" x14ac:dyDescent="0.2">
      <c r="AC5010" s="20"/>
      <c r="AE5010" s="22"/>
      <c r="AF5010" s="22"/>
    </row>
    <row r="5011" spans="29:32" x14ac:dyDescent="0.2">
      <c r="AC5011" s="20"/>
      <c r="AE5011" s="22"/>
      <c r="AF5011" s="22"/>
    </row>
    <row r="5012" spans="29:32" x14ac:dyDescent="0.2">
      <c r="AC5012" s="20"/>
      <c r="AE5012" s="22"/>
      <c r="AF5012" s="22"/>
    </row>
    <row r="5013" spans="29:32" x14ac:dyDescent="0.2">
      <c r="AC5013" s="20"/>
      <c r="AE5013" s="22"/>
      <c r="AF5013" s="22"/>
    </row>
    <row r="5014" spans="29:32" x14ac:dyDescent="0.2">
      <c r="AC5014" s="20"/>
      <c r="AE5014" s="22"/>
      <c r="AF5014" s="22"/>
    </row>
    <row r="5015" spans="29:32" x14ac:dyDescent="0.2">
      <c r="AC5015" s="20"/>
      <c r="AE5015" s="22"/>
      <c r="AF5015" s="22"/>
    </row>
    <row r="5016" spans="29:32" x14ac:dyDescent="0.2">
      <c r="AC5016" s="20"/>
      <c r="AE5016" s="22"/>
      <c r="AF5016" s="22"/>
    </row>
    <row r="5017" spans="29:32" x14ac:dyDescent="0.2">
      <c r="AC5017" s="20"/>
      <c r="AE5017" s="22"/>
      <c r="AF5017" s="22"/>
    </row>
    <row r="5018" spans="29:32" x14ac:dyDescent="0.2">
      <c r="AC5018" s="20"/>
      <c r="AE5018" s="22"/>
      <c r="AF5018" s="22"/>
    </row>
    <row r="5019" spans="29:32" x14ac:dyDescent="0.2">
      <c r="AC5019" s="20"/>
      <c r="AE5019" s="22"/>
      <c r="AF5019" s="22"/>
    </row>
    <row r="5020" spans="29:32" x14ac:dyDescent="0.2">
      <c r="AC5020" s="20"/>
      <c r="AE5020" s="22"/>
      <c r="AF5020" s="22"/>
    </row>
    <row r="5021" spans="29:32" x14ac:dyDescent="0.2">
      <c r="AC5021" s="20"/>
      <c r="AE5021" s="22"/>
      <c r="AF5021" s="22"/>
    </row>
    <row r="5022" spans="29:32" x14ac:dyDescent="0.2">
      <c r="AC5022" s="20"/>
      <c r="AE5022" s="22"/>
      <c r="AF5022" s="22"/>
    </row>
    <row r="5023" spans="29:32" x14ac:dyDescent="0.2">
      <c r="AC5023" s="20"/>
      <c r="AE5023" s="22"/>
      <c r="AF5023" s="22"/>
    </row>
    <row r="5024" spans="29:32" x14ac:dyDescent="0.2">
      <c r="AC5024" s="20"/>
      <c r="AE5024" s="22"/>
      <c r="AF5024" s="22"/>
    </row>
    <row r="5025" spans="29:32" x14ac:dyDescent="0.2">
      <c r="AC5025" s="20"/>
      <c r="AE5025" s="22"/>
      <c r="AF5025" s="22"/>
    </row>
    <row r="5026" spans="29:32" x14ac:dyDescent="0.2">
      <c r="AC5026" s="20"/>
      <c r="AE5026" s="22"/>
      <c r="AF5026" s="22"/>
    </row>
    <row r="5027" spans="29:32" x14ac:dyDescent="0.2">
      <c r="AC5027" s="20"/>
      <c r="AE5027" s="22"/>
      <c r="AF5027" s="22"/>
    </row>
    <row r="5028" spans="29:32" x14ac:dyDescent="0.2">
      <c r="AC5028" s="20"/>
      <c r="AE5028" s="22"/>
      <c r="AF5028" s="22"/>
    </row>
    <row r="5029" spans="29:32" x14ac:dyDescent="0.2">
      <c r="AC5029" s="20"/>
      <c r="AE5029" s="22"/>
      <c r="AF5029" s="22"/>
    </row>
    <row r="5030" spans="29:32" x14ac:dyDescent="0.2">
      <c r="AC5030" s="20"/>
      <c r="AE5030" s="22"/>
      <c r="AF5030" s="22"/>
    </row>
    <row r="5031" spans="29:32" x14ac:dyDescent="0.2">
      <c r="AC5031" s="20"/>
      <c r="AE5031" s="22"/>
      <c r="AF5031" s="22"/>
    </row>
    <row r="5032" spans="29:32" x14ac:dyDescent="0.2">
      <c r="AC5032" s="20"/>
      <c r="AE5032" s="22"/>
      <c r="AF5032" s="22"/>
    </row>
    <row r="5033" spans="29:32" x14ac:dyDescent="0.2">
      <c r="AC5033" s="20"/>
      <c r="AE5033" s="22"/>
      <c r="AF5033" s="22"/>
    </row>
    <row r="5034" spans="29:32" x14ac:dyDescent="0.2">
      <c r="AC5034" s="20"/>
      <c r="AE5034" s="22"/>
      <c r="AF5034" s="22"/>
    </row>
    <row r="5035" spans="29:32" x14ac:dyDescent="0.2">
      <c r="AC5035" s="20"/>
      <c r="AE5035" s="22"/>
      <c r="AF5035" s="22"/>
    </row>
    <row r="5036" spans="29:32" x14ac:dyDescent="0.2">
      <c r="AC5036" s="20"/>
      <c r="AE5036" s="22"/>
      <c r="AF5036" s="22"/>
    </row>
    <row r="5037" spans="29:32" x14ac:dyDescent="0.2">
      <c r="AC5037" s="20"/>
      <c r="AE5037" s="22"/>
      <c r="AF5037" s="22"/>
    </row>
    <row r="5038" spans="29:32" x14ac:dyDescent="0.2">
      <c r="AC5038" s="20"/>
      <c r="AE5038" s="22"/>
      <c r="AF5038" s="22"/>
    </row>
    <row r="5039" spans="29:32" x14ac:dyDescent="0.2">
      <c r="AC5039" s="20"/>
      <c r="AE5039" s="22"/>
      <c r="AF5039" s="22"/>
    </row>
    <row r="5040" spans="29:32" x14ac:dyDescent="0.2">
      <c r="AC5040" s="20"/>
      <c r="AE5040" s="22"/>
      <c r="AF5040" s="22"/>
    </row>
    <row r="5041" spans="29:32" x14ac:dyDescent="0.2">
      <c r="AC5041" s="20"/>
      <c r="AE5041" s="22"/>
      <c r="AF5041" s="22"/>
    </row>
    <row r="5042" spans="29:32" x14ac:dyDescent="0.2">
      <c r="AC5042" s="20"/>
      <c r="AE5042" s="22"/>
      <c r="AF5042" s="22"/>
    </row>
    <row r="5043" spans="29:32" x14ac:dyDescent="0.2">
      <c r="AC5043" s="20"/>
      <c r="AE5043" s="22"/>
      <c r="AF5043" s="22"/>
    </row>
    <row r="5044" spans="29:32" x14ac:dyDescent="0.2">
      <c r="AC5044" s="20"/>
      <c r="AE5044" s="22"/>
      <c r="AF5044" s="22"/>
    </row>
    <row r="5045" spans="29:32" x14ac:dyDescent="0.2">
      <c r="AC5045" s="20"/>
      <c r="AE5045" s="22"/>
      <c r="AF5045" s="22"/>
    </row>
    <row r="5046" spans="29:32" x14ac:dyDescent="0.2">
      <c r="AC5046" s="20"/>
      <c r="AE5046" s="22"/>
      <c r="AF5046" s="22"/>
    </row>
    <row r="5047" spans="29:32" x14ac:dyDescent="0.2">
      <c r="AC5047" s="20"/>
      <c r="AE5047" s="22"/>
      <c r="AF5047" s="22"/>
    </row>
    <row r="5048" spans="29:32" x14ac:dyDescent="0.2">
      <c r="AC5048" s="20"/>
      <c r="AE5048" s="22"/>
      <c r="AF5048" s="22"/>
    </row>
    <row r="5049" spans="29:32" x14ac:dyDescent="0.2">
      <c r="AC5049" s="20"/>
      <c r="AE5049" s="22"/>
      <c r="AF5049" s="22"/>
    </row>
    <row r="5050" spans="29:32" x14ac:dyDescent="0.2">
      <c r="AC5050" s="20"/>
      <c r="AE5050" s="22"/>
      <c r="AF5050" s="22"/>
    </row>
    <row r="5051" spans="29:32" x14ac:dyDescent="0.2">
      <c r="AC5051" s="20"/>
      <c r="AE5051" s="22"/>
      <c r="AF5051" s="22"/>
    </row>
    <row r="5052" spans="29:32" x14ac:dyDescent="0.2">
      <c r="AC5052" s="20"/>
      <c r="AE5052" s="22"/>
      <c r="AF5052" s="22"/>
    </row>
    <row r="5053" spans="29:32" x14ac:dyDescent="0.2">
      <c r="AC5053" s="20"/>
      <c r="AE5053" s="22"/>
      <c r="AF5053" s="22"/>
    </row>
    <row r="5054" spans="29:32" x14ac:dyDescent="0.2">
      <c r="AC5054" s="20"/>
      <c r="AE5054" s="22"/>
      <c r="AF5054" s="22"/>
    </row>
    <row r="5055" spans="29:32" x14ac:dyDescent="0.2">
      <c r="AC5055" s="20"/>
      <c r="AE5055" s="22"/>
      <c r="AF5055" s="22"/>
    </row>
    <row r="5056" spans="29:32" x14ac:dyDescent="0.2">
      <c r="AC5056" s="20"/>
      <c r="AE5056" s="22"/>
      <c r="AF5056" s="22"/>
    </row>
    <row r="5057" spans="29:32" x14ac:dyDescent="0.2">
      <c r="AC5057" s="20"/>
      <c r="AE5057" s="22"/>
      <c r="AF5057" s="22"/>
    </row>
    <row r="5058" spans="29:32" x14ac:dyDescent="0.2">
      <c r="AC5058" s="20"/>
      <c r="AE5058" s="22"/>
      <c r="AF5058" s="22"/>
    </row>
    <row r="5059" spans="29:32" x14ac:dyDescent="0.2">
      <c r="AC5059" s="20"/>
      <c r="AE5059" s="22"/>
      <c r="AF5059" s="22"/>
    </row>
    <row r="5060" spans="29:32" x14ac:dyDescent="0.2">
      <c r="AC5060" s="20"/>
      <c r="AE5060" s="22"/>
      <c r="AF5060" s="22"/>
    </row>
    <row r="5061" spans="29:32" x14ac:dyDescent="0.2">
      <c r="AC5061" s="20"/>
      <c r="AE5061" s="22"/>
      <c r="AF5061" s="22"/>
    </row>
    <row r="5062" spans="29:32" x14ac:dyDescent="0.2">
      <c r="AC5062" s="20"/>
      <c r="AE5062" s="22"/>
      <c r="AF5062" s="22"/>
    </row>
    <row r="5063" spans="29:32" x14ac:dyDescent="0.2">
      <c r="AC5063" s="20"/>
      <c r="AE5063" s="22"/>
      <c r="AF5063" s="22"/>
    </row>
    <row r="5064" spans="29:32" x14ac:dyDescent="0.2">
      <c r="AC5064" s="20"/>
      <c r="AE5064" s="22"/>
      <c r="AF5064" s="22"/>
    </row>
    <row r="5065" spans="29:32" x14ac:dyDescent="0.2">
      <c r="AC5065" s="20"/>
      <c r="AE5065" s="22"/>
      <c r="AF5065" s="22"/>
    </row>
    <row r="5066" spans="29:32" x14ac:dyDescent="0.2">
      <c r="AC5066" s="20"/>
      <c r="AE5066" s="22"/>
      <c r="AF5066" s="22"/>
    </row>
    <row r="5067" spans="29:32" x14ac:dyDescent="0.2">
      <c r="AC5067" s="20"/>
      <c r="AE5067" s="22"/>
      <c r="AF5067" s="22"/>
    </row>
    <row r="5068" spans="29:32" x14ac:dyDescent="0.2">
      <c r="AC5068" s="20"/>
      <c r="AE5068" s="22"/>
      <c r="AF5068" s="22"/>
    </row>
    <row r="5069" spans="29:32" x14ac:dyDescent="0.2">
      <c r="AC5069" s="20"/>
      <c r="AE5069" s="22"/>
      <c r="AF5069" s="22"/>
    </row>
    <row r="5070" spans="29:32" x14ac:dyDescent="0.2">
      <c r="AC5070" s="20"/>
      <c r="AE5070" s="22"/>
      <c r="AF5070" s="22"/>
    </row>
    <row r="5071" spans="29:32" x14ac:dyDescent="0.2">
      <c r="AC5071" s="20"/>
      <c r="AE5071" s="22"/>
      <c r="AF5071" s="22"/>
    </row>
    <row r="5072" spans="29:32" x14ac:dyDescent="0.2">
      <c r="AC5072" s="20"/>
      <c r="AE5072" s="22"/>
      <c r="AF5072" s="22"/>
    </row>
    <row r="5073" spans="29:32" x14ac:dyDescent="0.2">
      <c r="AC5073" s="20"/>
      <c r="AE5073" s="22"/>
      <c r="AF5073" s="22"/>
    </row>
    <row r="5074" spans="29:32" x14ac:dyDescent="0.2">
      <c r="AC5074" s="20"/>
      <c r="AE5074" s="22"/>
      <c r="AF5074" s="22"/>
    </row>
    <row r="5075" spans="29:32" x14ac:dyDescent="0.2">
      <c r="AC5075" s="20"/>
      <c r="AE5075" s="22"/>
      <c r="AF5075" s="22"/>
    </row>
    <row r="5076" spans="29:32" x14ac:dyDescent="0.2">
      <c r="AC5076" s="20"/>
      <c r="AE5076" s="22"/>
      <c r="AF5076" s="22"/>
    </row>
    <row r="5077" spans="29:32" x14ac:dyDescent="0.2">
      <c r="AC5077" s="20"/>
      <c r="AE5077" s="22"/>
      <c r="AF5077" s="22"/>
    </row>
    <row r="5078" spans="29:32" x14ac:dyDescent="0.2">
      <c r="AC5078" s="20"/>
      <c r="AE5078" s="22"/>
      <c r="AF5078" s="22"/>
    </row>
    <row r="5079" spans="29:32" x14ac:dyDescent="0.2">
      <c r="AC5079" s="20"/>
      <c r="AE5079" s="22"/>
      <c r="AF5079" s="22"/>
    </row>
    <row r="5080" spans="29:32" x14ac:dyDescent="0.2">
      <c r="AC5080" s="20"/>
      <c r="AE5080" s="22"/>
      <c r="AF5080" s="22"/>
    </row>
    <row r="5081" spans="29:32" x14ac:dyDescent="0.2">
      <c r="AC5081" s="20"/>
      <c r="AE5081" s="22"/>
      <c r="AF5081" s="22"/>
    </row>
    <row r="5082" spans="29:32" x14ac:dyDescent="0.2">
      <c r="AC5082" s="20"/>
      <c r="AE5082" s="22"/>
      <c r="AF5082" s="22"/>
    </row>
    <row r="5083" spans="29:32" x14ac:dyDescent="0.2">
      <c r="AC5083" s="20"/>
      <c r="AE5083" s="22"/>
      <c r="AF5083" s="22"/>
    </row>
    <row r="5084" spans="29:32" x14ac:dyDescent="0.2">
      <c r="AC5084" s="20"/>
      <c r="AE5084" s="22"/>
      <c r="AF5084" s="22"/>
    </row>
    <row r="5085" spans="29:32" x14ac:dyDescent="0.2">
      <c r="AC5085" s="20"/>
      <c r="AE5085" s="22"/>
      <c r="AF5085" s="22"/>
    </row>
    <row r="5086" spans="29:32" x14ac:dyDescent="0.2">
      <c r="AC5086" s="20"/>
      <c r="AE5086" s="22"/>
      <c r="AF5086" s="22"/>
    </row>
    <row r="5087" spans="29:32" x14ac:dyDescent="0.2">
      <c r="AC5087" s="20"/>
      <c r="AE5087" s="22"/>
      <c r="AF5087" s="22"/>
    </row>
    <row r="5088" spans="29:32" x14ac:dyDescent="0.2">
      <c r="AC5088" s="20"/>
      <c r="AE5088" s="22"/>
      <c r="AF5088" s="22"/>
    </row>
    <row r="5089" spans="29:32" x14ac:dyDescent="0.2">
      <c r="AC5089" s="20"/>
      <c r="AE5089" s="22"/>
      <c r="AF5089" s="22"/>
    </row>
    <row r="5090" spans="29:32" x14ac:dyDescent="0.2">
      <c r="AC5090" s="20"/>
      <c r="AE5090" s="22"/>
      <c r="AF5090" s="22"/>
    </row>
    <row r="5091" spans="29:32" x14ac:dyDescent="0.2">
      <c r="AC5091" s="20"/>
      <c r="AE5091" s="22"/>
      <c r="AF5091" s="22"/>
    </row>
    <row r="5092" spans="29:32" x14ac:dyDescent="0.2">
      <c r="AC5092" s="20"/>
      <c r="AE5092" s="22"/>
      <c r="AF5092" s="22"/>
    </row>
    <row r="5093" spans="29:32" x14ac:dyDescent="0.2">
      <c r="AC5093" s="20"/>
      <c r="AE5093" s="22"/>
      <c r="AF5093" s="22"/>
    </row>
    <row r="5094" spans="29:32" x14ac:dyDescent="0.2">
      <c r="AC5094" s="20"/>
      <c r="AE5094" s="22"/>
      <c r="AF5094" s="22"/>
    </row>
    <row r="5095" spans="29:32" x14ac:dyDescent="0.2">
      <c r="AC5095" s="20"/>
      <c r="AE5095" s="22"/>
      <c r="AF5095" s="22"/>
    </row>
    <row r="5096" spans="29:32" x14ac:dyDescent="0.2">
      <c r="AC5096" s="20"/>
      <c r="AE5096" s="22"/>
      <c r="AF5096" s="22"/>
    </row>
    <row r="5097" spans="29:32" x14ac:dyDescent="0.2">
      <c r="AC5097" s="20"/>
      <c r="AE5097" s="22"/>
      <c r="AF5097" s="22"/>
    </row>
    <row r="5098" spans="29:32" x14ac:dyDescent="0.2">
      <c r="AC5098" s="20"/>
      <c r="AE5098" s="22"/>
      <c r="AF5098" s="22"/>
    </row>
    <row r="5099" spans="29:32" x14ac:dyDescent="0.2">
      <c r="AC5099" s="20"/>
      <c r="AE5099" s="22"/>
      <c r="AF5099" s="22"/>
    </row>
    <row r="5100" spans="29:32" x14ac:dyDescent="0.2">
      <c r="AC5100" s="20"/>
      <c r="AE5100" s="22"/>
      <c r="AF5100" s="22"/>
    </row>
    <row r="5101" spans="29:32" x14ac:dyDescent="0.2">
      <c r="AC5101" s="20"/>
      <c r="AE5101" s="22"/>
      <c r="AF5101" s="22"/>
    </row>
    <row r="5102" spans="29:32" x14ac:dyDescent="0.2">
      <c r="AC5102" s="20"/>
      <c r="AE5102" s="22"/>
      <c r="AF5102" s="22"/>
    </row>
    <row r="5103" spans="29:32" x14ac:dyDescent="0.2">
      <c r="AC5103" s="20"/>
      <c r="AE5103" s="22"/>
      <c r="AF5103" s="22"/>
    </row>
    <row r="5104" spans="29:32" x14ac:dyDescent="0.2">
      <c r="AC5104" s="20"/>
      <c r="AE5104" s="22"/>
      <c r="AF5104" s="22"/>
    </row>
    <row r="5105" spans="29:32" x14ac:dyDescent="0.2">
      <c r="AC5105" s="20"/>
      <c r="AE5105" s="22"/>
      <c r="AF5105" s="22"/>
    </row>
    <row r="5106" spans="29:32" x14ac:dyDescent="0.2">
      <c r="AC5106" s="20"/>
      <c r="AE5106" s="22"/>
      <c r="AF5106" s="22"/>
    </row>
    <row r="5107" spans="29:32" x14ac:dyDescent="0.2">
      <c r="AC5107" s="20"/>
      <c r="AE5107" s="22"/>
      <c r="AF5107" s="22"/>
    </row>
    <row r="5108" spans="29:32" x14ac:dyDescent="0.2">
      <c r="AC5108" s="20"/>
      <c r="AE5108" s="22"/>
      <c r="AF5108" s="22"/>
    </row>
    <row r="5109" spans="29:32" x14ac:dyDescent="0.2">
      <c r="AC5109" s="20"/>
      <c r="AE5109" s="22"/>
      <c r="AF5109" s="22"/>
    </row>
    <row r="5110" spans="29:32" x14ac:dyDescent="0.2">
      <c r="AC5110" s="20"/>
      <c r="AE5110" s="22"/>
      <c r="AF5110" s="22"/>
    </row>
    <row r="5111" spans="29:32" x14ac:dyDescent="0.2">
      <c r="AC5111" s="20"/>
      <c r="AE5111" s="22"/>
      <c r="AF5111" s="22"/>
    </row>
    <row r="5112" spans="29:32" x14ac:dyDescent="0.2">
      <c r="AC5112" s="20"/>
      <c r="AE5112" s="22"/>
      <c r="AF5112" s="22"/>
    </row>
    <row r="5113" spans="29:32" x14ac:dyDescent="0.2">
      <c r="AC5113" s="20"/>
      <c r="AE5113" s="22"/>
      <c r="AF5113" s="22"/>
    </row>
    <row r="5114" spans="29:32" x14ac:dyDescent="0.2">
      <c r="AC5114" s="20"/>
      <c r="AE5114" s="22"/>
      <c r="AF5114" s="22"/>
    </row>
    <row r="5115" spans="29:32" x14ac:dyDescent="0.2">
      <c r="AC5115" s="20"/>
      <c r="AE5115" s="22"/>
      <c r="AF5115" s="22"/>
    </row>
    <row r="5116" spans="29:32" x14ac:dyDescent="0.2">
      <c r="AC5116" s="20"/>
      <c r="AE5116" s="22"/>
      <c r="AF5116" s="22"/>
    </row>
    <row r="5117" spans="29:32" x14ac:dyDescent="0.2">
      <c r="AC5117" s="20"/>
      <c r="AE5117" s="22"/>
      <c r="AF5117" s="22"/>
    </row>
    <row r="5118" spans="29:32" x14ac:dyDescent="0.2">
      <c r="AC5118" s="20"/>
      <c r="AE5118" s="22"/>
      <c r="AF5118" s="22"/>
    </row>
    <row r="5119" spans="29:32" x14ac:dyDescent="0.2">
      <c r="AC5119" s="20"/>
      <c r="AE5119" s="22"/>
      <c r="AF5119" s="22"/>
    </row>
    <row r="5120" spans="29:32" x14ac:dyDescent="0.2">
      <c r="AC5120" s="20"/>
      <c r="AE5120" s="22"/>
      <c r="AF5120" s="22"/>
    </row>
    <row r="5121" spans="29:32" x14ac:dyDescent="0.2">
      <c r="AC5121" s="20"/>
      <c r="AE5121" s="22"/>
      <c r="AF5121" s="22"/>
    </row>
    <row r="5122" spans="29:32" x14ac:dyDescent="0.2">
      <c r="AC5122" s="20"/>
      <c r="AE5122" s="22"/>
      <c r="AF5122" s="22"/>
    </row>
    <row r="5123" spans="29:32" x14ac:dyDescent="0.2">
      <c r="AC5123" s="20"/>
      <c r="AE5123" s="22"/>
      <c r="AF5123" s="22"/>
    </row>
    <row r="5124" spans="29:32" x14ac:dyDescent="0.2">
      <c r="AC5124" s="20"/>
      <c r="AE5124" s="22"/>
      <c r="AF5124" s="22"/>
    </row>
    <row r="5125" spans="29:32" x14ac:dyDescent="0.2">
      <c r="AC5125" s="20"/>
      <c r="AE5125" s="22"/>
      <c r="AF5125" s="22"/>
    </row>
    <row r="5126" spans="29:32" x14ac:dyDescent="0.2">
      <c r="AC5126" s="20"/>
      <c r="AE5126" s="22"/>
      <c r="AF5126" s="22"/>
    </row>
    <row r="5127" spans="29:32" x14ac:dyDescent="0.2">
      <c r="AC5127" s="20"/>
      <c r="AE5127" s="22"/>
      <c r="AF5127" s="22"/>
    </row>
    <row r="5128" spans="29:32" x14ac:dyDescent="0.2">
      <c r="AC5128" s="20"/>
      <c r="AE5128" s="22"/>
      <c r="AF5128" s="22"/>
    </row>
    <row r="5129" spans="29:32" x14ac:dyDescent="0.2">
      <c r="AC5129" s="20"/>
      <c r="AE5129" s="22"/>
      <c r="AF5129" s="22"/>
    </row>
    <row r="5130" spans="29:32" x14ac:dyDescent="0.2">
      <c r="AC5130" s="20"/>
      <c r="AE5130" s="22"/>
      <c r="AF5130" s="22"/>
    </row>
    <row r="5131" spans="29:32" x14ac:dyDescent="0.2">
      <c r="AC5131" s="20"/>
      <c r="AE5131" s="22"/>
      <c r="AF5131" s="22"/>
    </row>
    <row r="5132" spans="29:32" x14ac:dyDescent="0.2">
      <c r="AC5132" s="20"/>
      <c r="AE5132" s="22"/>
      <c r="AF5132" s="22"/>
    </row>
    <row r="5133" spans="29:32" x14ac:dyDescent="0.2">
      <c r="AC5133" s="20"/>
      <c r="AE5133" s="22"/>
      <c r="AF5133" s="22"/>
    </row>
    <row r="5134" spans="29:32" x14ac:dyDescent="0.2">
      <c r="AC5134" s="20"/>
      <c r="AE5134" s="22"/>
      <c r="AF5134" s="22"/>
    </row>
    <row r="5135" spans="29:32" x14ac:dyDescent="0.2">
      <c r="AC5135" s="20"/>
      <c r="AE5135" s="22"/>
      <c r="AF5135" s="22"/>
    </row>
    <row r="5136" spans="29:32" x14ac:dyDescent="0.2">
      <c r="AC5136" s="20"/>
      <c r="AE5136" s="22"/>
      <c r="AF5136" s="22"/>
    </row>
    <row r="5137" spans="29:32" x14ac:dyDescent="0.2">
      <c r="AC5137" s="20"/>
      <c r="AE5137" s="22"/>
      <c r="AF5137" s="22"/>
    </row>
    <row r="5138" spans="29:32" x14ac:dyDescent="0.2">
      <c r="AC5138" s="20"/>
      <c r="AE5138" s="22"/>
      <c r="AF5138" s="22"/>
    </row>
    <row r="5139" spans="29:32" x14ac:dyDescent="0.2">
      <c r="AC5139" s="20"/>
      <c r="AE5139" s="22"/>
      <c r="AF5139" s="22"/>
    </row>
    <row r="5140" spans="29:32" x14ac:dyDescent="0.2">
      <c r="AC5140" s="20"/>
      <c r="AE5140" s="22"/>
      <c r="AF5140" s="22"/>
    </row>
    <row r="5141" spans="29:32" x14ac:dyDescent="0.2">
      <c r="AC5141" s="20"/>
      <c r="AE5141" s="22"/>
      <c r="AF5141" s="22"/>
    </row>
    <row r="5142" spans="29:32" x14ac:dyDescent="0.2">
      <c r="AC5142" s="20"/>
      <c r="AE5142" s="22"/>
      <c r="AF5142" s="22"/>
    </row>
    <row r="5143" spans="29:32" x14ac:dyDescent="0.2">
      <c r="AC5143" s="20"/>
      <c r="AE5143" s="22"/>
      <c r="AF5143" s="22"/>
    </row>
    <row r="5144" spans="29:32" x14ac:dyDescent="0.2">
      <c r="AC5144" s="20"/>
      <c r="AE5144" s="22"/>
      <c r="AF5144" s="22"/>
    </row>
    <row r="5145" spans="29:32" x14ac:dyDescent="0.2">
      <c r="AC5145" s="20"/>
      <c r="AE5145" s="22"/>
      <c r="AF5145" s="22"/>
    </row>
    <row r="5146" spans="29:32" x14ac:dyDescent="0.2">
      <c r="AC5146" s="20"/>
      <c r="AE5146" s="22"/>
      <c r="AF5146" s="22"/>
    </row>
    <row r="5147" spans="29:32" x14ac:dyDescent="0.2">
      <c r="AC5147" s="20"/>
      <c r="AE5147" s="22"/>
      <c r="AF5147" s="22"/>
    </row>
    <row r="5148" spans="29:32" x14ac:dyDescent="0.2">
      <c r="AC5148" s="20"/>
      <c r="AE5148" s="22"/>
      <c r="AF5148" s="22"/>
    </row>
    <row r="5149" spans="29:32" x14ac:dyDescent="0.2">
      <c r="AC5149" s="20"/>
      <c r="AE5149" s="22"/>
      <c r="AF5149" s="22"/>
    </row>
    <row r="5150" spans="29:32" x14ac:dyDescent="0.2">
      <c r="AC5150" s="20"/>
      <c r="AE5150" s="22"/>
      <c r="AF5150" s="22"/>
    </row>
    <row r="5151" spans="29:32" x14ac:dyDescent="0.2">
      <c r="AC5151" s="20"/>
      <c r="AE5151" s="22"/>
      <c r="AF5151" s="22"/>
    </row>
    <row r="5152" spans="29:32" x14ac:dyDescent="0.2">
      <c r="AC5152" s="20"/>
      <c r="AE5152" s="22"/>
      <c r="AF5152" s="22"/>
    </row>
    <row r="5153" spans="29:32" x14ac:dyDescent="0.2">
      <c r="AC5153" s="20"/>
      <c r="AE5153" s="22"/>
      <c r="AF5153" s="22"/>
    </row>
    <row r="5154" spans="29:32" x14ac:dyDescent="0.2">
      <c r="AC5154" s="20"/>
      <c r="AE5154" s="22"/>
      <c r="AF5154" s="22"/>
    </row>
    <row r="5155" spans="29:32" x14ac:dyDescent="0.2">
      <c r="AC5155" s="20"/>
      <c r="AE5155" s="22"/>
      <c r="AF5155" s="22"/>
    </row>
    <row r="5156" spans="29:32" x14ac:dyDescent="0.2">
      <c r="AC5156" s="20"/>
      <c r="AE5156" s="22"/>
      <c r="AF5156" s="22"/>
    </row>
    <row r="5157" spans="29:32" x14ac:dyDescent="0.2">
      <c r="AC5157" s="20"/>
      <c r="AE5157" s="22"/>
      <c r="AF5157" s="22"/>
    </row>
    <row r="5158" spans="29:32" x14ac:dyDescent="0.2">
      <c r="AC5158" s="20"/>
      <c r="AE5158" s="22"/>
      <c r="AF5158" s="22"/>
    </row>
    <row r="5159" spans="29:32" x14ac:dyDescent="0.2">
      <c r="AC5159" s="20"/>
      <c r="AE5159" s="22"/>
      <c r="AF5159" s="22"/>
    </row>
    <row r="5160" spans="29:32" x14ac:dyDescent="0.2">
      <c r="AC5160" s="20"/>
      <c r="AE5160" s="22"/>
      <c r="AF5160" s="22"/>
    </row>
    <row r="5161" spans="29:32" x14ac:dyDescent="0.2">
      <c r="AC5161" s="20"/>
      <c r="AE5161" s="22"/>
      <c r="AF5161" s="22"/>
    </row>
    <row r="5162" spans="29:32" x14ac:dyDescent="0.2">
      <c r="AC5162" s="20"/>
      <c r="AE5162" s="22"/>
      <c r="AF5162" s="22"/>
    </row>
    <row r="5163" spans="29:32" x14ac:dyDescent="0.2">
      <c r="AC5163" s="20"/>
      <c r="AE5163" s="22"/>
      <c r="AF5163" s="22"/>
    </row>
    <row r="5164" spans="29:32" x14ac:dyDescent="0.2">
      <c r="AC5164" s="20"/>
      <c r="AE5164" s="22"/>
      <c r="AF5164" s="22"/>
    </row>
    <row r="5165" spans="29:32" x14ac:dyDescent="0.2">
      <c r="AC5165" s="20"/>
      <c r="AE5165" s="22"/>
      <c r="AF5165" s="22"/>
    </row>
    <row r="5166" spans="29:32" x14ac:dyDescent="0.2">
      <c r="AC5166" s="20"/>
      <c r="AE5166" s="22"/>
      <c r="AF5166" s="22"/>
    </row>
    <row r="5167" spans="29:32" x14ac:dyDescent="0.2">
      <c r="AC5167" s="20"/>
      <c r="AE5167" s="22"/>
      <c r="AF5167" s="22"/>
    </row>
    <row r="5168" spans="29:32" x14ac:dyDescent="0.2">
      <c r="AC5168" s="20"/>
      <c r="AE5168" s="22"/>
      <c r="AF5168" s="22"/>
    </row>
    <row r="5169" spans="29:32" x14ac:dyDescent="0.2">
      <c r="AC5169" s="20"/>
      <c r="AE5169" s="22"/>
      <c r="AF5169" s="22"/>
    </row>
    <row r="5170" spans="29:32" x14ac:dyDescent="0.2">
      <c r="AC5170" s="20"/>
      <c r="AE5170" s="22"/>
      <c r="AF5170" s="22"/>
    </row>
    <row r="5171" spans="29:32" x14ac:dyDescent="0.2">
      <c r="AC5171" s="20"/>
      <c r="AE5171" s="22"/>
      <c r="AF5171" s="22"/>
    </row>
    <row r="5172" spans="29:32" x14ac:dyDescent="0.2">
      <c r="AC5172" s="20"/>
      <c r="AE5172" s="22"/>
      <c r="AF5172" s="22"/>
    </row>
    <row r="5173" spans="29:32" x14ac:dyDescent="0.2">
      <c r="AC5173" s="20"/>
      <c r="AE5173" s="22"/>
      <c r="AF5173" s="22"/>
    </row>
    <row r="5174" spans="29:32" x14ac:dyDescent="0.2">
      <c r="AC5174" s="20"/>
      <c r="AE5174" s="22"/>
      <c r="AF5174" s="22"/>
    </row>
    <row r="5175" spans="29:32" x14ac:dyDescent="0.2">
      <c r="AC5175" s="20"/>
      <c r="AE5175" s="22"/>
      <c r="AF5175" s="22"/>
    </row>
    <row r="5176" spans="29:32" x14ac:dyDescent="0.2">
      <c r="AC5176" s="20"/>
      <c r="AE5176" s="22"/>
      <c r="AF5176" s="22"/>
    </row>
    <row r="5177" spans="29:32" x14ac:dyDescent="0.2">
      <c r="AC5177" s="20"/>
      <c r="AE5177" s="22"/>
      <c r="AF5177" s="22"/>
    </row>
    <row r="5178" spans="29:32" x14ac:dyDescent="0.2">
      <c r="AC5178" s="20"/>
      <c r="AE5178" s="22"/>
      <c r="AF5178" s="22"/>
    </row>
    <row r="5179" spans="29:32" x14ac:dyDescent="0.2">
      <c r="AC5179" s="20"/>
      <c r="AE5179" s="22"/>
      <c r="AF5179" s="22"/>
    </row>
    <row r="5180" spans="29:32" x14ac:dyDescent="0.2">
      <c r="AC5180" s="20"/>
      <c r="AE5180" s="22"/>
      <c r="AF5180" s="22"/>
    </row>
    <row r="5181" spans="29:32" x14ac:dyDescent="0.2">
      <c r="AC5181" s="20"/>
      <c r="AE5181" s="22"/>
      <c r="AF5181" s="22"/>
    </row>
    <row r="5182" spans="29:32" x14ac:dyDescent="0.2">
      <c r="AC5182" s="20"/>
      <c r="AE5182" s="22"/>
      <c r="AF5182" s="22"/>
    </row>
    <row r="5183" spans="29:32" x14ac:dyDescent="0.2">
      <c r="AC5183" s="20"/>
      <c r="AE5183" s="22"/>
      <c r="AF5183" s="22"/>
    </row>
    <row r="5184" spans="29:32" x14ac:dyDescent="0.2">
      <c r="AC5184" s="20"/>
      <c r="AE5184" s="22"/>
      <c r="AF5184" s="22"/>
    </row>
    <row r="5185" spans="29:32" x14ac:dyDescent="0.2">
      <c r="AC5185" s="20"/>
      <c r="AE5185" s="22"/>
      <c r="AF5185" s="22"/>
    </row>
    <row r="5186" spans="29:32" x14ac:dyDescent="0.2">
      <c r="AC5186" s="20"/>
      <c r="AE5186" s="22"/>
      <c r="AF5186" s="22"/>
    </row>
    <row r="5187" spans="29:32" x14ac:dyDescent="0.2">
      <c r="AC5187" s="20"/>
      <c r="AE5187" s="22"/>
      <c r="AF5187" s="22"/>
    </row>
    <row r="5188" spans="29:32" x14ac:dyDescent="0.2">
      <c r="AC5188" s="20"/>
      <c r="AE5188" s="22"/>
      <c r="AF5188" s="22"/>
    </row>
    <row r="5189" spans="29:32" x14ac:dyDescent="0.2">
      <c r="AC5189" s="20"/>
      <c r="AE5189" s="22"/>
      <c r="AF5189" s="22"/>
    </row>
    <row r="5190" spans="29:32" x14ac:dyDescent="0.2">
      <c r="AC5190" s="20"/>
      <c r="AE5190" s="22"/>
      <c r="AF5190" s="22"/>
    </row>
    <row r="5191" spans="29:32" x14ac:dyDescent="0.2">
      <c r="AC5191" s="20"/>
      <c r="AE5191" s="22"/>
      <c r="AF5191" s="22"/>
    </row>
    <row r="5192" spans="29:32" x14ac:dyDescent="0.2">
      <c r="AC5192" s="20"/>
      <c r="AE5192" s="22"/>
      <c r="AF5192" s="22"/>
    </row>
    <row r="5193" spans="29:32" x14ac:dyDescent="0.2">
      <c r="AC5193" s="20"/>
      <c r="AE5193" s="22"/>
      <c r="AF5193" s="22"/>
    </row>
    <row r="5194" spans="29:32" x14ac:dyDescent="0.2">
      <c r="AC5194" s="20"/>
      <c r="AE5194" s="22"/>
      <c r="AF5194" s="22"/>
    </row>
    <row r="5195" spans="29:32" x14ac:dyDescent="0.2">
      <c r="AC5195" s="20"/>
      <c r="AE5195" s="22"/>
      <c r="AF5195" s="22"/>
    </row>
    <row r="5196" spans="29:32" x14ac:dyDescent="0.2">
      <c r="AC5196" s="20"/>
      <c r="AE5196" s="22"/>
      <c r="AF5196" s="22"/>
    </row>
    <row r="5197" spans="29:32" x14ac:dyDescent="0.2">
      <c r="AC5197" s="20"/>
      <c r="AE5197" s="22"/>
      <c r="AF5197" s="22"/>
    </row>
    <row r="5198" spans="29:32" x14ac:dyDescent="0.2">
      <c r="AC5198" s="20"/>
      <c r="AE5198" s="22"/>
      <c r="AF5198" s="22"/>
    </row>
    <row r="5199" spans="29:32" x14ac:dyDescent="0.2">
      <c r="AC5199" s="20"/>
      <c r="AE5199" s="22"/>
      <c r="AF5199" s="22"/>
    </row>
    <row r="5200" spans="29:32" x14ac:dyDescent="0.2">
      <c r="AC5200" s="20"/>
      <c r="AE5200" s="22"/>
      <c r="AF5200" s="22"/>
    </row>
    <row r="5201" spans="29:32" x14ac:dyDescent="0.2">
      <c r="AC5201" s="20"/>
      <c r="AE5201" s="22"/>
      <c r="AF5201" s="22"/>
    </row>
    <row r="5202" spans="29:32" x14ac:dyDescent="0.2">
      <c r="AC5202" s="20"/>
      <c r="AE5202" s="22"/>
      <c r="AF5202" s="22"/>
    </row>
    <row r="5203" spans="29:32" x14ac:dyDescent="0.2">
      <c r="AC5203" s="20"/>
      <c r="AE5203" s="22"/>
      <c r="AF5203" s="22"/>
    </row>
    <row r="5204" spans="29:32" x14ac:dyDescent="0.2">
      <c r="AC5204" s="20"/>
      <c r="AE5204" s="22"/>
      <c r="AF5204" s="22"/>
    </row>
    <row r="5205" spans="29:32" x14ac:dyDescent="0.2">
      <c r="AC5205" s="20"/>
      <c r="AE5205" s="22"/>
      <c r="AF5205" s="22"/>
    </row>
    <row r="5206" spans="29:32" x14ac:dyDescent="0.2">
      <c r="AC5206" s="20"/>
      <c r="AE5206" s="22"/>
      <c r="AF5206" s="22"/>
    </row>
    <row r="5207" spans="29:32" x14ac:dyDescent="0.2">
      <c r="AC5207" s="20"/>
      <c r="AE5207" s="22"/>
      <c r="AF5207" s="22"/>
    </row>
    <row r="5208" spans="29:32" x14ac:dyDescent="0.2">
      <c r="AC5208" s="20"/>
      <c r="AE5208" s="22"/>
      <c r="AF5208" s="22"/>
    </row>
    <row r="5209" spans="29:32" x14ac:dyDescent="0.2">
      <c r="AC5209" s="20"/>
      <c r="AE5209" s="22"/>
      <c r="AF5209" s="22"/>
    </row>
    <row r="5210" spans="29:32" x14ac:dyDescent="0.2">
      <c r="AC5210" s="20"/>
      <c r="AE5210" s="22"/>
      <c r="AF5210" s="22"/>
    </row>
    <row r="5211" spans="29:32" x14ac:dyDescent="0.2">
      <c r="AC5211" s="20"/>
      <c r="AE5211" s="22"/>
      <c r="AF5211" s="22"/>
    </row>
    <row r="5212" spans="29:32" x14ac:dyDescent="0.2">
      <c r="AC5212" s="20"/>
      <c r="AE5212" s="22"/>
      <c r="AF5212" s="22"/>
    </row>
    <row r="5213" spans="29:32" x14ac:dyDescent="0.2">
      <c r="AC5213" s="20"/>
      <c r="AE5213" s="22"/>
      <c r="AF5213" s="22"/>
    </row>
    <row r="5214" spans="29:32" x14ac:dyDescent="0.2">
      <c r="AC5214" s="20"/>
      <c r="AE5214" s="22"/>
      <c r="AF5214" s="22"/>
    </row>
    <row r="5215" spans="29:32" x14ac:dyDescent="0.2">
      <c r="AC5215" s="20"/>
      <c r="AE5215" s="22"/>
      <c r="AF5215" s="22"/>
    </row>
    <row r="5216" spans="29:32" x14ac:dyDescent="0.2">
      <c r="AC5216" s="20"/>
      <c r="AE5216" s="22"/>
      <c r="AF5216" s="22"/>
    </row>
    <row r="5217" spans="29:32" x14ac:dyDescent="0.2">
      <c r="AC5217" s="20"/>
      <c r="AE5217" s="22"/>
      <c r="AF5217" s="22"/>
    </row>
    <row r="5218" spans="29:32" x14ac:dyDescent="0.2">
      <c r="AC5218" s="20"/>
      <c r="AE5218" s="22"/>
      <c r="AF5218" s="22"/>
    </row>
    <row r="5219" spans="29:32" x14ac:dyDescent="0.2">
      <c r="AC5219" s="20"/>
      <c r="AE5219" s="22"/>
      <c r="AF5219" s="22"/>
    </row>
    <row r="5220" spans="29:32" x14ac:dyDescent="0.2">
      <c r="AC5220" s="20"/>
      <c r="AE5220" s="22"/>
      <c r="AF5220" s="22"/>
    </row>
    <row r="5221" spans="29:32" x14ac:dyDescent="0.2">
      <c r="AC5221" s="20"/>
      <c r="AE5221" s="22"/>
      <c r="AF5221" s="22"/>
    </row>
    <row r="5222" spans="29:32" x14ac:dyDescent="0.2">
      <c r="AC5222" s="20"/>
      <c r="AE5222" s="22"/>
      <c r="AF5222" s="22"/>
    </row>
    <row r="5223" spans="29:32" x14ac:dyDescent="0.2">
      <c r="AC5223" s="20"/>
      <c r="AE5223" s="22"/>
      <c r="AF5223" s="22"/>
    </row>
    <row r="5224" spans="29:32" x14ac:dyDescent="0.2">
      <c r="AC5224" s="20"/>
      <c r="AE5224" s="22"/>
      <c r="AF5224" s="22"/>
    </row>
    <row r="5225" spans="29:32" x14ac:dyDescent="0.2">
      <c r="AC5225" s="20"/>
      <c r="AE5225" s="22"/>
      <c r="AF5225" s="22"/>
    </row>
    <row r="5226" spans="29:32" x14ac:dyDescent="0.2">
      <c r="AC5226" s="20"/>
      <c r="AE5226" s="22"/>
      <c r="AF5226" s="22"/>
    </row>
    <row r="5227" spans="29:32" x14ac:dyDescent="0.2">
      <c r="AC5227" s="20"/>
      <c r="AE5227" s="22"/>
      <c r="AF5227" s="22"/>
    </row>
    <row r="5228" spans="29:32" x14ac:dyDescent="0.2">
      <c r="AC5228" s="20"/>
      <c r="AE5228" s="22"/>
      <c r="AF5228" s="22"/>
    </row>
    <row r="5229" spans="29:32" x14ac:dyDescent="0.2">
      <c r="AC5229" s="20"/>
      <c r="AE5229" s="22"/>
      <c r="AF5229" s="22"/>
    </row>
    <row r="5230" spans="29:32" x14ac:dyDescent="0.2">
      <c r="AC5230" s="20"/>
      <c r="AE5230" s="22"/>
      <c r="AF5230" s="22"/>
    </row>
    <row r="5231" spans="29:32" x14ac:dyDescent="0.2">
      <c r="AC5231" s="20"/>
      <c r="AE5231" s="22"/>
      <c r="AF5231" s="22"/>
    </row>
    <row r="5232" spans="29:32" x14ac:dyDescent="0.2">
      <c r="AC5232" s="20"/>
      <c r="AE5232" s="22"/>
      <c r="AF5232" s="22"/>
    </row>
    <row r="5233" spans="29:32" x14ac:dyDescent="0.2">
      <c r="AC5233" s="20"/>
      <c r="AE5233" s="22"/>
      <c r="AF5233" s="22"/>
    </row>
    <row r="5234" spans="29:32" x14ac:dyDescent="0.2">
      <c r="AC5234" s="20"/>
      <c r="AE5234" s="22"/>
      <c r="AF5234" s="22"/>
    </row>
    <row r="5235" spans="29:32" x14ac:dyDescent="0.2">
      <c r="AC5235" s="20"/>
      <c r="AE5235" s="22"/>
      <c r="AF5235" s="22"/>
    </row>
    <row r="5236" spans="29:32" x14ac:dyDescent="0.2">
      <c r="AC5236" s="20"/>
      <c r="AE5236" s="22"/>
      <c r="AF5236" s="22"/>
    </row>
    <row r="5237" spans="29:32" x14ac:dyDescent="0.2">
      <c r="AC5237" s="20"/>
      <c r="AE5237" s="22"/>
      <c r="AF5237" s="22"/>
    </row>
    <row r="5238" spans="29:32" x14ac:dyDescent="0.2">
      <c r="AC5238" s="20"/>
      <c r="AE5238" s="22"/>
      <c r="AF5238" s="22"/>
    </row>
    <row r="5239" spans="29:32" x14ac:dyDescent="0.2">
      <c r="AC5239" s="20"/>
      <c r="AE5239" s="22"/>
      <c r="AF5239" s="22"/>
    </row>
    <row r="5240" spans="29:32" x14ac:dyDescent="0.2">
      <c r="AC5240" s="20"/>
      <c r="AE5240" s="22"/>
      <c r="AF5240" s="22"/>
    </row>
    <row r="5241" spans="29:32" x14ac:dyDescent="0.2">
      <c r="AC5241" s="20"/>
      <c r="AE5241" s="22"/>
      <c r="AF5241" s="22"/>
    </row>
    <row r="5242" spans="29:32" x14ac:dyDescent="0.2">
      <c r="AC5242" s="20"/>
      <c r="AE5242" s="22"/>
      <c r="AF5242" s="22"/>
    </row>
    <row r="5243" spans="29:32" x14ac:dyDescent="0.2">
      <c r="AC5243" s="20"/>
      <c r="AE5243" s="22"/>
      <c r="AF5243" s="22"/>
    </row>
    <row r="5244" spans="29:32" x14ac:dyDescent="0.2">
      <c r="AC5244" s="20"/>
      <c r="AE5244" s="22"/>
      <c r="AF5244" s="22"/>
    </row>
    <row r="5245" spans="29:32" x14ac:dyDescent="0.2">
      <c r="AC5245" s="20"/>
      <c r="AE5245" s="22"/>
      <c r="AF5245" s="22"/>
    </row>
    <row r="5246" spans="29:32" x14ac:dyDescent="0.2">
      <c r="AC5246" s="20"/>
      <c r="AE5246" s="22"/>
      <c r="AF5246" s="22"/>
    </row>
    <row r="5247" spans="29:32" x14ac:dyDescent="0.2">
      <c r="AC5247" s="20"/>
      <c r="AE5247" s="22"/>
      <c r="AF5247" s="22"/>
    </row>
    <row r="5248" spans="29:32" x14ac:dyDescent="0.2">
      <c r="AC5248" s="20"/>
      <c r="AE5248" s="22"/>
      <c r="AF5248" s="22"/>
    </row>
    <row r="5249" spans="29:32" x14ac:dyDescent="0.2">
      <c r="AC5249" s="20"/>
      <c r="AE5249" s="22"/>
      <c r="AF5249" s="22"/>
    </row>
    <row r="5250" spans="29:32" x14ac:dyDescent="0.2">
      <c r="AC5250" s="20"/>
      <c r="AE5250" s="22"/>
      <c r="AF5250" s="22"/>
    </row>
    <row r="5251" spans="29:32" x14ac:dyDescent="0.2">
      <c r="AC5251" s="20"/>
      <c r="AE5251" s="22"/>
      <c r="AF5251" s="22"/>
    </row>
    <row r="5252" spans="29:32" x14ac:dyDescent="0.2">
      <c r="AC5252" s="20"/>
      <c r="AE5252" s="22"/>
      <c r="AF5252" s="22"/>
    </row>
    <row r="5253" spans="29:32" x14ac:dyDescent="0.2">
      <c r="AC5253" s="20"/>
      <c r="AE5253" s="22"/>
      <c r="AF5253" s="22"/>
    </row>
    <row r="5254" spans="29:32" x14ac:dyDescent="0.2">
      <c r="AC5254" s="20"/>
      <c r="AE5254" s="22"/>
      <c r="AF5254" s="22"/>
    </row>
    <row r="5255" spans="29:32" x14ac:dyDescent="0.2">
      <c r="AC5255" s="20"/>
      <c r="AE5255" s="22"/>
      <c r="AF5255" s="22"/>
    </row>
    <row r="5256" spans="29:32" x14ac:dyDescent="0.2">
      <c r="AC5256" s="20"/>
      <c r="AE5256" s="22"/>
      <c r="AF5256" s="22"/>
    </row>
    <row r="5257" spans="29:32" x14ac:dyDescent="0.2">
      <c r="AC5257" s="20"/>
      <c r="AE5257" s="22"/>
      <c r="AF5257" s="22"/>
    </row>
    <row r="5258" spans="29:32" x14ac:dyDescent="0.2">
      <c r="AC5258" s="20"/>
      <c r="AE5258" s="22"/>
      <c r="AF5258" s="22"/>
    </row>
    <row r="5259" spans="29:32" x14ac:dyDescent="0.2">
      <c r="AC5259" s="20"/>
      <c r="AE5259" s="22"/>
      <c r="AF5259" s="22"/>
    </row>
    <row r="5260" spans="29:32" x14ac:dyDescent="0.2">
      <c r="AC5260" s="20"/>
      <c r="AE5260" s="22"/>
      <c r="AF5260" s="22"/>
    </row>
    <row r="5261" spans="29:32" x14ac:dyDescent="0.2">
      <c r="AC5261" s="20"/>
      <c r="AE5261" s="22"/>
      <c r="AF5261" s="22"/>
    </row>
    <row r="5262" spans="29:32" x14ac:dyDescent="0.2">
      <c r="AC5262" s="20"/>
      <c r="AE5262" s="22"/>
      <c r="AF5262" s="22"/>
    </row>
    <row r="5263" spans="29:32" x14ac:dyDescent="0.2">
      <c r="AC5263" s="20"/>
      <c r="AE5263" s="22"/>
      <c r="AF5263" s="22"/>
    </row>
    <row r="5264" spans="29:32" x14ac:dyDescent="0.2">
      <c r="AC5264" s="20"/>
      <c r="AE5264" s="22"/>
      <c r="AF5264" s="22"/>
    </row>
    <row r="5265" spans="29:32" x14ac:dyDescent="0.2">
      <c r="AC5265" s="20"/>
      <c r="AE5265" s="22"/>
      <c r="AF5265" s="22"/>
    </row>
    <row r="5266" spans="29:32" x14ac:dyDescent="0.2">
      <c r="AC5266" s="20"/>
      <c r="AE5266" s="22"/>
      <c r="AF5266" s="22"/>
    </row>
    <row r="5267" spans="29:32" x14ac:dyDescent="0.2">
      <c r="AC5267" s="20"/>
      <c r="AE5267" s="22"/>
      <c r="AF5267" s="22"/>
    </row>
    <row r="5268" spans="29:32" x14ac:dyDescent="0.2">
      <c r="AC5268" s="20"/>
      <c r="AE5268" s="22"/>
      <c r="AF5268" s="22"/>
    </row>
    <row r="5269" spans="29:32" x14ac:dyDescent="0.2">
      <c r="AC5269" s="20"/>
      <c r="AE5269" s="22"/>
      <c r="AF5269" s="22"/>
    </row>
    <row r="5270" spans="29:32" x14ac:dyDescent="0.2">
      <c r="AC5270" s="20"/>
      <c r="AE5270" s="22"/>
      <c r="AF5270" s="22"/>
    </row>
    <row r="5271" spans="29:32" x14ac:dyDescent="0.2">
      <c r="AC5271" s="20"/>
      <c r="AE5271" s="22"/>
      <c r="AF5271" s="22"/>
    </row>
    <row r="5272" spans="29:32" x14ac:dyDescent="0.2">
      <c r="AC5272" s="20"/>
      <c r="AE5272" s="22"/>
      <c r="AF5272" s="22"/>
    </row>
    <row r="5273" spans="29:32" x14ac:dyDescent="0.2">
      <c r="AC5273" s="20"/>
      <c r="AE5273" s="22"/>
      <c r="AF5273" s="22"/>
    </row>
    <row r="5274" spans="29:32" x14ac:dyDescent="0.2">
      <c r="AC5274" s="20"/>
      <c r="AE5274" s="22"/>
      <c r="AF5274" s="22"/>
    </row>
    <row r="5275" spans="29:32" x14ac:dyDescent="0.2">
      <c r="AC5275" s="20"/>
      <c r="AE5275" s="22"/>
      <c r="AF5275" s="22"/>
    </row>
    <row r="5276" spans="29:32" x14ac:dyDescent="0.2">
      <c r="AC5276" s="20"/>
      <c r="AE5276" s="22"/>
      <c r="AF5276" s="22"/>
    </row>
    <row r="5277" spans="29:32" x14ac:dyDescent="0.2">
      <c r="AC5277" s="20"/>
      <c r="AE5277" s="22"/>
      <c r="AF5277" s="22"/>
    </row>
    <row r="5278" spans="29:32" x14ac:dyDescent="0.2">
      <c r="AC5278" s="20"/>
      <c r="AE5278" s="22"/>
      <c r="AF5278" s="22"/>
    </row>
    <row r="5279" spans="29:32" x14ac:dyDescent="0.2">
      <c r="AC5279" s="20"/>
      <c r="AE5279" s="22"/>
      <c r="AF5279" s="22"/>
    </row>
    <row r="5280" spans="29:32" x14ac:dyDescent="0.2">
      <c r="AC5280" s="20"/>
      <c r="AE5280" s="22"/>
      <c r="AF5280" s="22"/>
    </row>
    <row r="5281" spans="29:32" x14ac:dyDescent="0.2">
      <c r="AC5281" s="20"/>
      <c r="AE5281" s="22"/>
      <c r="AF5281" s="22"/>
    </row>
    <row r="5282" spans="29:32" x14ac:dyDescent="0.2">
      <c r="AC5282" s="20"/>
      <c r="AE5282" s="22"/>
      <c r="AF5282" s="22"/>
    </row>
    <row r="5283" spans="29:32" x14ac:dyDescent="0.2">
      <c r="AC5283" s="20"/>
      <c r="AE5283" s="22"/>
      <c r="AF5283" s="22"/>
    </row>
    <row r="5284" spans="29:32" x14ac:dyDescent="0.2">
      <c r="AC5284" s="20"/>
      <c r="AE5284" s="22"/>
      <c r="AF5284" s="22"/>
    </row>
    <row r="5285" spans="29:32" x14ac:dyDescent="0.2">
      <c r="AC5285" s="20"/>
      <c r="AE5285" s="22"/>
      <c r="AF5285" s="22"/>
    </row>
    <row r="5286" spans="29:32" x14ac:dyDescent="0.2">
      <c r="AC5286" s="20"/>
      <c r="AE5286" s="22"/>
      <c r="AF5286" s="22"/>
    </row>
    <row r="5287" spans="29:32" x14ac:dyDescent="0.2">
      <c r="AC5287" s="20"/>
      <c r="AE5287" s="22"/>
      <c r="AF5287" s="22"/>
    </row>
    <row r="5288" spans="29:32" x14ac:dyDescent="0.2">
      <c r="AC5288" s="20"/>
      <c r="AE5288" s="22"/>
      <c r="AF5288" s="22"/>
    </row>
    <row r="5289" spans="29:32" x14ac:dyDescent="0.2">
      <c r="AC5289" s="20"/>
      <c r="AE5289" s="22"/>
      <c r="AF5289" s="22"/>
    </row>
    <row r="5290" spans="29:32" x14ac:dyDescent="0.2">
      <c r="AC5290" s="20"/>
      <c r="AE5290" s="22"/>
      <c r="AF5290" s="22"/>
    </row>
    <row r="5291" spans="29:32" x14ac:dyDescent="0.2">
      <c r="AC5291" s="20"/>
      <c r="AE5291" s="22"/>
      <c r="AF5291" s="22"/>
    </row>
    <row r="5292" spans="29:32" x14ac:dyDescent="0.2">
      <c r="AC5292" s="20"/>
      <c r="AE5292" s="22"/>
      <c r="AF5292" s="22"/>
    </row>
    <row r="5293" spans="29:32" x14ac:dyDescent="0.2">
      <c r="AC5293" s="20"/>
      <c r="AE5293" s="22"/>
      <c r="AF5293" s="22"/>
    </row>
    <row r="5294" spans="29:32" x14ac:dyDescent="0.2">
      <c r="AC5294" s="20"/>
      <c r="AE5294" s="22"/>
      <c r="AF5294" s="22"/>
    </row>
    <row r="5295" spans="29:32" x14ac:dyDescent="0.2">
      <c r="AC5295" s="20"/>
      <c r="AE5295" s="22"/>
      <c r="AF5295" s="22"/>
    </row>
    <row r="5296" spans="29:32" x14ac:dyDescent="0.2">
      <c r="AC5296" s="20"/>
      <c r="AE5296" s="22"/>
      <c r="AF5296" s="22"/>
    </row>
    <row r="5297" spans="29:32" x14ac:dyDescent="0.2">
      <c r="AC5297" s="20"/>
      <c r="AE5297" s="22"/>
      <c r="AF5297" s="22"/>
    </row>
    <row r="5298" spans="29:32" x14ac:dyDescent="0.2">
      <c r="AC5298" s="20"/>
      <c r="AE5298" s="22"/>
      <c r="AF5298" s="22"/>
    </row>
    <row r="5299" spans="29:32" x14ac:dyDescent="0.2">
      <c r="AC5299" s="20"/>
      <c r="AE5299" s="22"/>
      <c r="AF5299" s="22"/>
    </row>
    <row r="5300" spans="29:32" x14ac:dyDescent="0.2">
      <c r="AC5300" s="20"/>
      <c r="AE5300" s="22"/>
      <c r="AF5300" s="22"/>
    </row>
    <row r="5301" spans="29:32" x14ac:dyDescent="0.2">
      <c r="AC5301" s="20"/>
      <c r="AE5301" s="22"/>
      <c r="AF5301" s="22"/>
    </row>
    <row r="5302" spans="29:32" x14ac:dyDescent="0.2">
      <c r="AC5302" s="20"/>
      <c r="AE5302" s="22"/>
      <c r="AF5302" s="22"/>
    </row>
    <row r="5303" spans="29:32" x14ac:dyDescent="0.2">
      <c r="AC5303" s="20"/>
      <c r="AE5303" s="22"/>
      <c r="AF5303" s="22"/>
    </row>
    <row r="5304" spans="29:32" x14ac:dyDescent="0.2">
      <c r="AC5304" s="20"/>
      <c r="AE5304" s="22"/>
      <c r="AF5304" s="22"/>
    </row>
    <row r="5305" spans="29:32" x14ac:dyDescent="0.2">
      <c r="AC5305" s="20"/>
      <c r="AE5305" s="22"/>
      <c r="AF5305" s="22"/>
    </row>
    <row r="5306" spans="29:32" x14ac:dyDescent="0.2">
      <c r="AC5306" s="20"/>
      <c r="AE5306" s="22"/>
      <c r="AF5306" s="22"/>
    </row>
    <row r="5307" spans="29:32" x14ac:dyDescent="0.2">
      <c r="AC5307" s="20"/>
      <c r="AE5307" s="22"/>
      <c r="AF5307" s="22"/>
    </row>
    <row r="5308" spans="29:32" x14ac:dyDescent="0.2">
      <c r="AC5308" s="20"/>
      <c r="AE5308" s="22"/>
      <c r="AF5308" s="22"/>
    </row>
    <row r="5309" spans="29:32" x14ac:dyDescent="0.2">
      <c r="AC5309" s="20"/>
      <c r="AE5309" s="22"/>
      <c r="AF5309" s="22"/>
    </row>
    <row r="5310" spans="29:32" x14ac:dyDescent="0.2">
      <c r="AC5310" s="20"/>
      <c r="AE5310" s="22"/>
      <c r="AF5310" s="22"/>
    </row>
    <row r="5311" spans="29:32" x14ac:dyDescent="0.2">
      <c r="AC5311" s="20"/>
      <c r="AE5311" s="22"/>
      <c r="AF5311" s="22"/>
    </row>
    <row r="5312" spans="29:32" x14ac:dyDescent="0.2">
      <c r="AC5312" s="20"/>
      <c r="AE5312" s="22"/>
      <c r="AF5312" s="22"/>
    </row>
    <row r="5313" spans="29:32" x14ac:dyDescent="0.2">
      <c r="AC5313" s="20"/>
      <c r="AE5313" s="22"/>
      <c r="AF5313" s="22"/>
    </row>
    <row r="5314" spans="29:32" x14ac:dyDescent="0.2">
      <c r="AC5314" s="20"/>
      <c r="AE5314" s="22"/>
      <c r="AF5314" s="22"/>
    </row>
    <row r="5315" spans="29:32" x14ac:dyDescent="0.2">
      <c r="AC5315" s="20"/>
      <c r="AE5315" s="22"/>
      <c r="AF5315" s="22"/>
    </row>
    <row r="5316" spans="29:32" x14ac:dyDescent="0.2">
      <c r="AC5316" s="20"/>
      <c r="AE5316" s="22"/>
      <c r="AF5316" s="22"/>
    </row>
    <row r="5317" spans="29:32" x14ac:dyDescent="0.2">
      <c r="AC5317" s="20"/>
      <c r="AE5317" s="22"/>
      <c r="AF5317" s="22"/>
    </row>
    <row r="5318" spans="29:32" x14ac:dyDescent="0.2">
      <c r="AC5318" s="20"/>
      <c r="AE5318" s="22"/>
      <c r="AF5318" s="22"/>
    </row>
    <row r="5319" spans="29:32" x14ac:dyDescent="0.2">
      <c r="AC5319" s="20"/>
      <c r="AE5319" s="22"/>
      <c r="AF5319" s="22"/>
    </row>
    <row r="5320" spans="29:32" x14ac:dyDescent="0.2">
      <c r="AC5320" s="20"/>
      <c r="AE5320" s="22"/>
      <c r="AF5320" s="22"/>
    </row>
    <row r="5321" spans="29:32" x14ac:dyDescent="0.2">
      <c r="AC5321" s="20"/>
      <c r="AE5321" s="22"/>
      <c r="AF5321" s="22"/>
    </row>
    <row r="5322" spans="29:32" x14ac:dyDescent="0.2">
      <c r="AC5322" s="20"/>
      <c r="AE5322" s="22"/>
      <c r="AF5322" s="22"/>
    </row>
    <row r="5323" spans="29:32" x14ac:dyDescent="0.2">
      <c r="AC5323" s="20"/>
      <c r="AE5323" s="22"/>
      <c r="AF5323" s="22"/>
    </row>
    <row r="5324" spans="29:32" x14ac:dyDescent="0.2">
      <c r="AC5324" s="20"/>
      <c r="AE5324" s="22"/>
      <c r="AF5324" s="22"/>
    </row>
    <row r="5325" spans="29:32" x14ac:dyDescent="0.2">
      <c r="AC5325" s="20"/>
      <c r="AE5325" s="22"/>
      <c r="AF5325" s="22"/>
    </row>
    <row r="5326" spans="29:32" x14ac:dyDescent="0.2">
      <c r="AC5326" s="20"/>
      <c r="AE5326" s="22"/>
      <c r="AF5326" s="22"/>
    </row>
    <row r="5327" spans="29:32" x14ac:dyDescent="0.2">
      <c r="AC5327" s="20"/>
      <c r="AE5327" s="22"/>
      <c r="AF5327" s="22"/>
    </row>
    <row r="5328" spans="29:32" x14ac:dyDescent="0.2">
      <c r="AC5328" s="20"/>
      <c r="AE5328" s="22"/>
      <c r="AF5328" s="22"/>
    </row>
    <row r="5329" spans="29:32" x14ac:dyDescent="0.2">
      <c r="AC5329" s="20"/>
      <c r="AE5329" s="22"/>
      <c r="AF5329" s="22"/>
    </row>
    <row r="5330" spans="29:32" x14ac:dyDescent="0.2">
      <c r="AC5330" s="20"/>
      <c r="AE5330" s="22"/>
      <c r="AF5330" s="22"/>
    </row>
    <row r="5331" spans="29:32" x14ac:dyDescent="0.2">
      <c r="AC5331" s="20"/>
      <c r="AE5331" s="22"/>
      <c r="AF5331" s="22"/>
    </row>
    <row r="5332" spans="29:32" x14ac:dyDescent="0.2">
      <c r="AC5332" s="20"/>
      <c r="AE5332" s="22"/>
      <c r="AF5332" s="22"/>
    </row>
    <row r="5333" spans="29:32" x14ac:dyDescent="0.2">
      <c r="AC5333" s="20"/>
      <c r="AE5333" s="22"/>
      <c r="AF5333" s="22"/>
    </row>
    <row r="5334" spans="29:32" x14ac:dyDescent="0.2">
      <c r="AC5334" s="20"/>
      <c r="AE5334" s="22"/>
      <c r="AF5334" s="22"/>
    </row>
    <row r="5335" spans="29:32" x14ac:dyDescent="0.2">
      <c r="AC5335" s="20"/>
      <c r="AE5335" s="22"/>
      <c r="AF5335" s="22"/>
    </row>
    <row r="5336" spans="29:32" x14ac:dyDescent="0.2">
      <c r="AC5336" s="20"/>
      <c r="AE5336" s="22"/>
      <c r="AF5336" s="22"/>
    </row>
    <row r="5337" spans="29:32" x14ac:dyDescent="0.2">
      <c r="AC5337" s="20"/>
      <c r="AE5337" s="22"/>
      <c r="AF5337" s="22"/>
    </row>
    <row r="5338" spans="29:32" x14ac:dyDescent="0.2">
      <c r="AC5338" s="20"/>
      <c r="AE5338" s="22"/>
      <c r="AF5338" s="22"/>
    </row>
    <row r="5339" spans="29:32" x14ac:dyDescent="0.2">
      <c r="AC5339" s="20"/>
      <c r="AE5339" s="22"/>
      <c r="AF5339" s="22"/>
    </row>
    <row r="5340" spans="29:32" x14ac:dyDescent="0.2">
      <c r="AC5340" s="20"/>
      <c r="AE5340" s="22"/>
      <c r="AF5340" s="22"/>
    </row>
    <row r="5341" spans="29:32" x14ac:dyDescent="0.2">
      <c r="AC5341" s="20"/>
      <c r="AE5341" s="22"/>
      <c r="AF5341" s="22"/>
    </row>
    <row r="5342" spans="29:32" x14ac:dyDescent="0.2">
      <c r="AC5342" s="20"/>
      <c r="AE5342" s="22"/>
      <c r="AF5342" s="22"/>
    </row>
    <row r="5343" spans="29:32" x14ac:dyDescent="0.2">
      <c r="AC5343" s="20"/>
      <c r="AE5343" s="22"/>
      <c r="AF5343" s="22"/>
    </row>
    <row r="5344" spans="29:32" x14ac:dyDescent="0.2">
      <c r="AC5344" s="20"/>
      <c r="AE5344" s="22"/>
      <c r="AF5344" s="22"/>
    </row>
    <row r="5345" spans="29:32" x14ac:dyDescent="0.2">
      <c r="AC5345" s="20"/>
      <c r="AE5345" s="22"/>
      <c r="AF5345" s="22"/>
    </row>
    <row r="5346" spans="29:32" x14ac:dyDescent="0.2">
      <c r="AC5346" s="20"/>
      <c r="AE5346" s="22"/>
      <c r="AF5346" s="22"/>
    </row>
    <row r="5347" spans="29:32" x14ac:dyDescent="0.2">
      <c r="AC5347" s="20"/>
      <c r="AE5347" s="22"/>
      <c r="AF5347" s="22"/>
    </row>
    <row r="5348" spans="29:32" x14ac:dyDescent="0.2">
      <c r="AC5348" s="20"/>
      <c r="AE5348" s="22"/>
      <c r="AF5348" s="22"/>
    </row>
    <row r="5349" spans="29:32" x14ac:dyDescent="0.2">
      <c r="AC5349" s="20"/>
      <c r="AE5349" s="22"/>
      <c r="AF5349" s="22"/>
    </row>
    <row r="5350" spans="29:32" x14ac:dyDescent="0.2">
      <c r="AC5350" s="20"/>
      <c r="AE5350" s="22"/>
      <c r="AF5350" s="22"/>
    </row>
    <row r="5351" spans="29:32" x14ac:dyDescent="0.2">
      <c r="AC5351" s="20"/>
      <c r="AE5351" s="22"/>
      <c r="AF5351" s="22"/>
    </row>
    <row r="5352" spans="29:32" x14ac:dyDescent="0.2">
      <c r="AC5352" s="20"/>
      <c r="AE5352" s="22"/>
      <c r="AF5352" s="22"/>
    </row>
    <row r="5353" spans="29:32" x14ac:dyDescent="0.2">
      <c r="AC5353" s="20"/>
      <c r="AE5353" s="22"/>
      <c r="AF5353" s="22"/>
    </row>
    <row r="5354" spans="29:32" x14ac:dyDescent="0.2">
      <c r="AC5354" s="20"/>
      <c r="AE5354" s="22"/>
      <c r="AF5354" s="22"/>
    </row>
    <row r="5355" spans="29:32" x14ac:dyDescent="0.2">
      <c r="AC5355" s="20"/>
      <c r="AE5355" s="22"/>
      <c r="AF5355" s="22"/>
    </row>
    <row r="5356" spans="29:32" x14ac:dyDescent="0.2">
      <c r="AC5356" s="20"/>
      <c r="AE5356" s="22"/>
      <c r="AF5356" s="22"/>
    </row>
    <row r="5357" spans="29:32" x14ac:dyDescent="0.2">
      <c r="AC5357" s="20"/>
      <c r="AE5357" s="22"/>
      <c r="AF5357" s="22"/>
    </row>
    <row r="5358" spans="29:32" x14ac:dyDescent="0.2">
      <c r="AC5358" s="20"/>
      <c r="AE5358" s="22"/>
      <c r="AF5358" s="22"/>
    </row>
    <row r="5359" spans="29:32" x14ac:dyDescent="0.2">
      <c r="AC5359" s="20"/>
      <c r="AE5359" s="22"/>
      <c r="AF5359" s="22"/>
    </row>
    <row r="5360" spans="29:32" x14ac:dyDescent="0.2">
      <c r="AC5360" s="20"/>
      <c r="AE5360" s="22"/>
      <c r="AF5360" s="22"/>
    </row>
    <row r="5361" spans="29:32" x14ac:dyDescent="0.2">
      <c r="AC5361" s="20"/>
      <c r="AE5361" s="22"/>
      <c r="AF5361" s="22"/>
    </row>
    <row r="5362" spans="29:32" x14ac:dyDescent="0.2">
      <c r="AC5362" s="20"/>
      <c r="AE5362" s="22"/>
      <c r="AF5362" s="22"/>
    </row>
    <row r="5363" spans="29:32" x14ac:dyDescent="0.2">
      <c r="AC5363" s="20"/>
      <c r="AE5363" s="22"/>
      <c r="AF5363" s="22"/>
    </row>
    <row r="5364" spans="29:32" x14ac:dyDescent="0.2">
      <c r="AC5364" s="20"/>
      <c r="AE5364" s="22"/>
      <c r="AF5364" s="22"/>
    </row>
    <row r="5365" spans="29:32" x14ac:dyDescent="0.2">
      <c r="AC5365" s="20"/>
      <c r="AE5365" s="22"/>
      <c r="AF5365" s="22"/>
    </row>
    <row r="5366" spans="29:32" x14ac:dyDescent="0.2">
      <c r="AC5366" s="20"/>
      <c r="AE5366" s="22"/>
      <c r="AF5366" s="22"/>
    </row>
    <row r="5367" spans="29:32" x14ac:dyDescent="0.2">
      <c r="AC5367" s="20"/>
      <c r="AE5367" s="22"/>
      <c r="AF5367" s="22"/>
    </row>
    <row r="5368" spans="29:32" x14ac:dyDescent="0.2">
      <c r="AC5368" s="20"/>
      <c r="AE5368" s="22"/>
      <c r="AF5368" s="22"/>
    </row>
    <row r="5369" spans="29:32" x14ac:dyDescent="0.2">
      <c r="AC5369" s="20"/>
      <c r="AE5369" s="22"/>
      <c r="AF5369" s="22"/>
    </row>
    <row r="5370" spans="29:32" x14ac:dyDescent="0.2">
      <c r="AC5370" s="20"/>
      <c r="AE5370" s="22"/>
      <c r="AF5370" s="22"/>
    </row>
    <row r="5371" spans="29:32" x14ac:dyDescent="0.2">
      <c r="AC5371" s="20"/>
      <c r="AE5371" s="22"/>
      <c r="AF5371" s="22"/>
    </row>
    <row r="5372" spans="29:32" x14ac:dyDescent="0.2">
      <c r="AC5372" s="20"/>
      <c r="AE5372" s="22"/>
      <c r="AF5372" s="22"/>
    </row>
    <row r="5373" spans="29:32" x14ac:dyDescent="0.2">
      <c r="AC5373" s="20"/>
      <c r="AE5373" s="22"/>
      <c r="AF5373" s="22"/>
    </row>
    <row r="5374" spans="29:32" x14ac:dyDescent="0.2">
      <c r="AC5374" s="20"/>
      <c r="AE5374" s="22"/>
      <c r="AF5374" s="22"/>
    </row>
    <row r="5375" spans="29:32" x14ac:dyDescent="0.2">
      <c r="AC5375" s="20"/>
      <c r="AE5375" s="22"/>
      <c r="AF5375" s="22"/>
    </row>
    <row r="5376" spans="29:32" x14ac:dyDescent="0.2">
      <c r="AC5376" s="20"/>
      <c r="AE5376" s="22"/>
      <c r="AF5376" s="22"/>
    </row>
    <row r="5377" spans="29:32" x14ac:dyDescent="0.2">
      <c r="AC5377" s="20"/>
      <c r="AE5377" s="22"/>
      <c r="AF5377" s="22"/>
    </row>
    <row r="5378" spans="29:32" x14ac:dyDescent="0.2">
      <c r="AC5378" s="20"/>
      <c r="AE5378" s="22"/>
      <c r="AF5378" s="22"/>
    </row>
    <row r="5379" spans="29:32" x14ac:dyDescent="0.2">
      <c r="AC5379" s="20"/>
      <c r="AE5379" s="22"/>
      <c r="AF5379" s="22"/>
    </row>
    <row r="5380" spans="29:32" x14ac:dyDescent="0.2">
      <c r="AC5380" s="20"/>
      <c r="AE5380" s="22"/>
      <c r="AF5380" s="22"/>
    </row>
    <row r="5381" spans="29:32" x14ac:dyDescent="0.2">
      <c r="AC5381" s="20"/>
      <c r="AE5381" s="22"/>
      <c r="AF5381" s="22"/>
    </row>
    <row r="5382" spans="29:32" x14ac:dyDescent="0.2">
      <c r="AC5382" s="20"/>
      <c r="AE5382" s="22"/>
      <c r="AF5382" s="22"/>
    </row>
    <row r="5383" spans="29:32" x14ac:dyDescent="0.2">
      <c r="AC5383" s="20"/>
      <c r="AE5383" s="22"/>
      <c r="AF5383" s="22"/>
    </row>
    <row r="5384" spans="29:32" x14ac:dyDescent="0.2">
      <c r="AC5384" s="20"/>
      <c r="AE5384" s="22"/>
      <c r="AF5384" s="22"/>
    </row>
    <row r="5385" spans="29:32" x14ac:dyDescent="0.2">
      <c r="AC5385" s="20"/>
      <c r="AE5385" s="22"/>
      <c r="AF5385" s="22"/>
    </row>
    <row r="5386" spans="29:32" x14ac:dyDescent="0.2">
      <c r="AC5386" s="20"/>
      <c r="AE5386" s="22"/>
      <c r="AF5386" s="22"/>
    </row>
    <row r="5387" spans="29:32" x14ac:dyDescent="0.2">
      <c r="AC5387" s="20"/>
      <c r="AE5387" s="22"/>
      <c r="AF5387" s="22"/>
    </row>
    <row r="5388" spans="29:32" x14ac:dyDescent="0.2">
      <c r="AC5388" s="20"/>
      <c r="AE5388" s="22"/>
      <c r="AF5388" s="22"/>
    </row>
    <row r="5389" spans="29:32" x14ac:dyDescent="0.2">
      <c r="AC5389" s="20"/>
      <c r="AE5389" s="22"/>
      <c r="AF5389" s="22"/>
    </row>
    <row r="5390" spans="29:32" x14ac:dyDescent="0.2">
      <c r="AC5390" s="20"/>
      <c r="AE5390" s="22"/>
      <c r="AF5390" s="22"/>
    </row>
    <row r="5391" spans="29:32" x14ac:dyDescent="0.2">
      <c r="AC5391" s="20"/>
      <c r="AE5391" s="22"/>
      <c r="AF5391" s="22"/>
    </row>
    <row r="5392" spans="29:32" x14ac:dyDescent="0.2">
      <c r="AC5392" s="20"/>
      <c r="AE5392" s="22"/>
      <c r="AF5392" s="22"/>
    </row>
    <row r="5393" spans="29:32" x14ac:dyDescent="0.2">
      <c r="AC5393" s="20"/>
      <c r="AE5393" s="22"/>
      <c r="AF5393" s="22"/>
    </row>
    <row r="5394" spans="29:32" x14ac:dyDescent="0.2">
      <c r="AC5394" s="20"/>
      <c r="AE5394" s="22"/>
      <c r="AF5394" s="22"/>
    </row>
    <row r="5395" spans="29:32" x14ac:dyDescent="0.2">
      <c r="AC5395" s="20"/>
      <c r="AE5395" s="22"/>
      <c r="AF5395" s="22"/>
    </row>
    <row r="5396" spans="29:32" x14ac:dyDescent="0.2">
      <c r="AC5396" s="20"/>
      <c r="AE5396" s="22"/>
      <c r="AF5396" s="22"/>
    </row>
    <row r="5397" spans="29:32" x14ac:dyDescent="0.2">
      <c r="AC5397" s="20"/>
      <c r="AE5397" s="22"/>
      <c r="AF5397" s="22"/>
    </row>
    <row r="5398" spans="29:32" x14ac:dyDescent="0.2">
      <c r="AC5398" s="20"/>
      <c r="AE5398" s="22"/>
      <c r="AF5398" s="22"/>
    </row>
    <row r="5399" spans="29:32" x14ac:dyDescent="0.2">
      <c r="AC5399" s="20"/>
      <c r="AE5399" s="22"/>
      <c r="AF5399" s="22"/>
    </row>
    <row r="5400" spans="29:32" x14ac:dyDescent="0.2">
      <c r="AC5400" s="20"/>
      <c r="AE5400" s="22"/>
      <c r="AF5400" s="22"/>
    </row>
    <row r="5401" spans="29:32" x14ac:dyDescent="0.2">
      <c r="AC5401" s="20"/>
      <c r="AE5401" s="22"/>
      <c r="AF5401" s="22"/>
    </row>
    <row r="5402" spans="29:32" x14ac:dyDescent="0.2">
      <c r="AC5402" s="20"/>
      <c r="AE5402" s="22"/>
      <c r="AF5402" s="22"/>
    </row>
    <row r="5403" spans="29:32" x14ac:dyDescent="0.2">
      <c r="AC5403" s="20"/>
      <c r="AE5403" s="22"/>
      <c r="AF5403" s="22"/>
    </row>
    <row r="5404" spans="29:32" x14ac:dyDescent="0.2">
      <c r="AC5404" s="20"/>
      <c r="AE5404" s="22"/>
      <c r="AF5404" s="22"/>
    </row>
    <row r="5405" spans="29:32" x14ac:dyDescent="0.2">
      <c r="AC5405" s="20"/>
      <c r="AE5405" s="22"/>
      <c r="AF5405" s="22"/>
    </row>
    <row r="5406" spans="29:32" x14ac:dyDescent="0.2">
      <c r="AC5406" s="20"/>
      <c r="AE5406" s="22"/>
      <c r="AF5406" s="22"/>
    </row>
    <row r="5407" spans="29:32" x14ac:dyDescent="0.2">
      <c r="AC5407" s="20"/>
      <c r="AE5407" s="22"/>
      <c r="AF5407" s="22"/>
    </row>
    <row r="5408" spans="29:32" x14ac:dyDescent="0.2">
      <c r="AC5408" s="20"/>
      <c r="AE5408" s="22"/>
      <c r="AF5408" s="22"/>
    </row>
    <row r="5409" spans="29:32" x14ac:dyDescent="0.2">
      <c r="AC5409" s="20"/>
      <c r="AE5409" s="22"/>
      <c r="AF5409" s="22"/>
    </row>
    <row r="5410" spans="29:32" x14ac:dyDescent="0.2">
      <c r="AC5410" s="20"/>
      <c r="AE5410" s="22"/>
      <c r="AF5410" s="22"/>
    </row>
    <row r="5411" spans="29:32" x14ac:dyDescent="0.2">
      <c r="AC5411" s="20"/>
      <c r="AE5411" s="22"/>
      <c r="AF5411" s="22"/>
    </row>
    <row r="5412" spans="29:32" x14ac:dyDescent="0.2">
      <c r="AC5412" s="20"/>
      <c r="AE5412" s="22"/>
      <c r="AF5412" s="22"/>
    </row>
    <row r="5413" spans="29:32" x14ac:dyDescent="0.2">
      <c r="AC5413" s="20"/>
      <c r="AE5413" s="22"/>
      <c r="AF5413" s="22"/>
    </row>
    <row r="5414" spans="29:32" x14ac:dyDescent="0.2">
      <c r="AC5414" s="20"/>
      <c r="AE5414" s="22"/>
      <c r="AF5414" s="22"/>
    </row>
    <row r="5415" spans="29:32" x14ac:dyDescent="0.2">
      <c r="AC5415" s="20"/>
      <c r="AE5415" s="22"/>
      <c r="AF5415" s="22"/>
    </row>
    <row r="5416" spans="29:32" x14ac:dyDescent="0.2">
      <c r="AC5416" s="20"/>
      <c r="AE5416" s="22"/>
      <c r="AF5416" s="22"/>
    </row>
    <row r="5417" spans="29:32" x14ac:dyDescent="0.2">
      <c r="AC5417" s="20"/>
      <c r="AE5417" s="22"/>
      <c r="AF5417" s="22"/>
    </row>
    <row r="5418" spans="29:32" x14ac:dyDescent="0.2">
      <c r="AC5418" s="20"/>
      <c r="AE5418" s="22"/>
      <c r="AF5418" s="22"/>
    </row>
    <row r="5419" spans="29:32" x14ac:dyDescent="0.2">
      <c r="AC5419" s="20"/>
      <c r="AE5419" s="22"/>
      <c r="AF5419" s="22"/>
    </row>
    <row r="5420" spans="29:32" x14ac:dyDescent="0.2">
      <c r="AC5420" s="20"/>
      <c r="AE5420" s="22"/>
      <c r="AF5420" s="22"/>
    </row>
    <row r="5421" spans="29:32" x14ac:dyDescent="0.2">
      <c r="AC5421" s="20"/>
      <c r="AE5421" s="22"/>
      <c r="AF5421" s="22"/>
    </row>
    <row r="5422" spans="29:32" x14ac:dyDescent="0.2">
      <c r="AC5422" s="20"/>
      <c r="AE5422" s="22"/>
      <c r="AF5422" s="22"/>
    </row>
    <row r="5423" spans="29:32" x14ac:dyDescent="0.2">
      <c r="AC5423" s="20"/>
      <c r="AE5423" s="22"/>
      <c r="AF5423" s="22"/>
    </row>
    <row r="5424" spans="29:32" x14ac:dyDescent="0.2">
      <c r="AC5424" s="20"/>
      <c r="AE5424" s="22"/>
      <c r="AF5424" s="22"/>
    </row>
    <row r="5425" spans="29:32" x14ac:dyDescent="0.2">
      <c r="AC5425" s="20"/>
      <c r="AE5425" s="22"/>
      <c r="AF5425" s="22"/>
    </row>
    <row r="5426" spans="29:32" x14ac:dyDescent="0.2">
      <c r="AC5426" s="20"/>
      <c r="AE5426" s="22"/>
      <c r="AF5426" s="22"/>
    </row>
    <row r="5427" spans="29:32" x14ac:dyDescent="0.2">
      <c r="AC5427" s="20"/>
      <c r="AE5427" s="22"/>
      <c r="AF5427" s="22"/>
    </row>
    <row r="5428" spans="29:32" x14ac:dyDescent="0.2">
      <c r="AC5428" s="20"/>
      <c r="AE5428" s="22"/>
      <c r="AF5428" s="22"/>
    </row>
    <row r="5429" spans="29:32" x14ac:dyDescent="0.2">
      <c r="AC5429" s="20"/>
      <c r="AE5429" s="22"/>
      <c r="AF5429" s="22"/>
    </row>
    <row r="5430" spans="29:32" x14ac:dyDescent="0.2">
      <c r="AC5430" s="20"/>
      <c r="AE5430" s="22"/>
      <c r="AF5430" s="22"/>
    </row>
    <row r="5431" spans="29:32" x14ac:dyDescent="0.2">
      <c r="AC5431" s="20"/>
      <c r="AE5431" s="22"/>
      <c r="AF5431" s="22"/>
    </row>
    <row r="5432" spans="29:32" x14ac:dyDescent="0.2">
      <c r="AC5432" s="20"/>
      <c r="AE5432" s="22"/>
      <c r="AF5432" s="22"/>
    </row>
    <row r="5433" spans="29:32" x14ac:dyDescent="0.2">
      <c r="AC5433" s="20"/>
      <c r="AE5433" s="22"/>
      <c r="AF5433" s="22"/>
    </row>
    <row r="5434" spans="29:32" x14ac:dyDescent="0.2">
      <c r="AC5434" s="20"/>
      <c r="AE5434" s="22"/>
      <c r="AF5434" s="22"/>
    </row>
    <row r="5435" spans="29:32" x14ac:dyDescent="0.2">
      <c r="AC5435" s="20"/>
      <c r="AE5435" s="22"/>
      <c r="AF5435" s="22"/>
    </row>
    <row r="5436" spans="29:32" x14ac:dyDescent="0.2">
      <c r="AC5436" s="20"/>
      <c r="AE5436" s="22"/>
      <c r="AF5436" s="22"/>
    </row>
    <row r="5437" spans="29:32" x14ac:dyDescent="0.2">
      <c r="AC5437" s="20"/>
      <c r="AE5437" s="22"/>
      <c r="AF5437" s="22"/>
    </row>
    <row r="5438" spans="29:32" x14ac:dyDescent="0.2">
      <c r="AC5438" s="20"/>
      <c r="AE5438" s="22"/>
      <c r="AF5438" s="22"/>
    </row>
    <row r="5439" spans="29:32" x14ac:dyDescent="0.2">
      <c r="AC5439" s="20"/>
      <c r="AE5439" s="22"/>
      <c r="AF5439" s="22"/>
    </row>
    <row r="5440" spans="29:32" x14ac:dyDescent="0.2">
      <c r="AC5440" s="20"/>
      <c r="AE5440" s="22"/>
      <c r="AF5440" s="22"/>
    </row>
    <row r="5441" spans="29:32" x14ac:dyDescent="0.2">
      <c r="AC5441" s="20"/>
      <c r="AE5441" s="22"/>
      <c r="AF5441" s="22"/>
    </row>
    <row r="5442" spans="29:32" x14ac:dyDescent="0.2">
      <c r="AC5442" s="20"/>
      <c r="AE5442" s="22"/>
      <c r="AF5442" s="22"/>
    </row>
    <row r="5443" spans="29:32" x14ac:dyDescent="0.2">
      <c r="AC5443" s="20"/>
      <c r="AE5443" s="22"/>
      <c r="AF5443" s="22"/>
    </row>
    <row r="5444" spans="29:32" x14ac:dyDescent="0.2">
      <c r="AC5444" s="20"/>
      <c r="AE5444" s="22"/>
      <c r="AF5444" s="22"/>
    </row>
    <row r="5445" spans="29:32" x14ac:dyDescent="0.2">
      <c r="AC5445" s="20"/>
      <c r="AE5445" s="22"/>
      <c r="AF5445" s="22"/>
    </row>
    <row r="5446" spans="29:32" x14ac:dyDescent="0.2">
      <c r="AC5446" s="20"/>
      <c r="AE5446" s="22"/>
      <c r="AF5446" s="22"/>
    </row>
    <row r="5447" spans="29:32" x14ac:dyDescent="0.2">
      <c r="AC5447" s="20"/>
      <c r="AE5447" s="22"/>
      <c r="AF5447" s="22"/>
    </row>
    <row r="5448" spans="29:32" x14ac:dyDescent="0.2">
      <c r="AC5448" s="20"/>
      <c r="AE5448" s="22"/>
      <c r="AF5448" s="22"/>
    </row>
    <row r="5449" spans="29:32" x14ac:dyDescent="0.2">
      <c r="AC5449" s="20"/>
      <c r="AE5449" s="22"/>
      <c r="AF5449" s="22"/>
    </row>
    <row r="5450" spans="29:32" x14ac:dyDescent="0.2">
      <c r="AC5450" s="20"/>
      <c r="AE5450" s="22"/>
      <c r="AF5450" s="22"/>
    </row>
    <row r="5451" spans="29:32" x14ac:dyDescent="0.2">
      <c r="AC5451" s="20"/>
      <c r="AE5451" s="22"/>
      <c r="AF5451" s="22"/>
    </row>
    <row r="5452" spans="29:32" x14ac:dyDescent="0.2">
      <c r="AC5452" s="20"/>
      <c r="AE5452" s="22"/>
      <c r="AF5452" s="22"/>
    </row>
    <row r="5453" spans="29:32" x14ac:dyDescent="0.2">
      <c r="AC5453" s="20"/>
      <c r="AE5453" s="22"/>
      <c r="AF5453" s="22"/>
    </row>
    <row r="5454" spans="29:32" x14ac:dyDescent="0.2">
      <c r="AC5454" s="20"/>
      <c r="AE5454" s="22"/>
      <c r="AF5454" s="22"/>
    </row>
    <row r="5455" spans="29:32" x14ac:dyDescent="0.2">
      <c r="AC5455" s="20"/>
      <c r="AE5455" s="22"/>
      <c r="AF5455" s="22"/>
    </row>
    <row r="5456" spans="29:32" x14ac:dyDescent="0.2">
      <c r="AC5456" s="20"/>
      <c r="AE5456" s="22"/>
      <c r="AF5456" s="22"/>
    </row>
    <row r="5457" spans="29:32" x14ac:dyDescent="0.2">
      <c r="AC5457" s="20"/>
      <c r="AE5457" s="22"/>
      <c r="AF5457" s="22"/>
    </row>
    <row r="5458" spans="29:32" x14ac:dyDescent="0.2">
      <c r="AC5458" s="20"/>
      <c r="AE5458" s="22"/>
      <c r="AF5458" s="22"/>
    </row>
    <row r="5459" spans="29:32" x14ac:dyDescent="0.2">
      <c r="AC5459" s="20"/>
      <c r="AE5459" s="22"/>
      <c r="AF5459" s="22"/>
    </row>
    <row r="5460" spans="29:32" x14ac:dyDescent="0.2">
      <c r="AC5460" s="20"/>
      <c r="AE5460" s="22"/>
      <c r="AF5460" s="22"/>
    </row>
    <row r="5461" spans="29:32" x14ac:dyDescent="0.2">
      <c r="AC5461" s="20"/>
      <c r="AE5461" s="22"/>
      <c r="AF5461" s="22"/>
    </row>
    <row r="5462" spans="29:32" x14ac:dyDescent="0.2">
      <c r="AC5462" s="20"/>
      <c r="AE5462" s="22"/>
      <c r="AF5462" s="22"/>
    </row>
    <row r="5463" spans="29:32" x14ac:dyDescent="0.2">
      <c r="AC5463" s="20"/>
      <c r="AE5463" s="22"/>
      <c r="AF5463" s="22"/>
    </row>
    <row r="5464" spans="29:32" x14ac:dyDescent="0.2">
      <c r="AC5464" s="20"/>
      <c r="AE5464" s="22"/>
      <c r="AF5464" s="22"/>
    </row>
    <row r="5465" spans="29:32" x14ac:dyDescent="0.2">
      <c r="AC5465" s="20"/>
      <c r="AE5465" s="22"/>
      <c r="AF5465" s="22"/>
    </row>
    <row r="5466" spans="29:32" x14ac:dyDescent="0.2">
      <c r="AC5466" s="20"/>
      <c r="AE5466" s="22"/>
      <c r="AF5466" s="22"/>
    </row>
    <row r="5467" spans="29:32" x14ac:dyDescent="0.2">
      <c r="AC5467" s="20"/>
      <c r="AE5467" s="22"/>
      <c r="AF5467" s="22"/>
    </row>
    <row r="5468" spans="29:32" x14ac:dyDescent="0.2">
      <c r="AC5468" s="20"/>
      <c r="AE5468" s="22"/>
      <c r="AF5468" s="22"/>
    </row>
    <row r="5469" spans="29:32" x14ac:dyDescent="0.2">
      <c r="AC5469" s="20"/>
      <c r="AE5469" s="22"/>
      <c r="AF5469" s="22"/>
    </row>
    <row r="5470" spans="29:32" x14ac:dyDescent="0.2">
      <c r="AC5470" s="20"/>
      <c r="AE5470" s="22"/>
      <c r="AF5470" s="22"/>
    </row>
    <row r="5471" spans="29:32" x14ac:dyDescent="0.2">
      <c r="AC5471" s="20"/>
      <c r="AE5471" s="22"/>
      <c r="AF5471" s="22"/>
    </row>
    <row r="5472" spans="29:32" x14ac:dyDescent="0.2">
      <c r="AC5472" s="20"/>
      <c r="AE5472" s="22"/>
      <c r="AF5472" s="22"/>
    </row>
    <row r="5473" spans="29:32" x14ac:dyDescent="0.2">
      <c r="AC5473" s="20"/>
      <c r="AE5473" s="22"/>
      <c r="AF5473" s="22"/>
    </row>
    <row r="5474" spans="29:32" x14ac:dyDescent="0.2">
      <c r="AC5474" s="20"/>
      <c r="AE5474" s="22"/>
      <c r="AF5474" s="22"/>
    </row>
    <row r="5475" spans="29:32" x14ac:dyDescent="0.2">
      <c r="AC5475" s="20"/>
      <c r="AE5475" s="22"/>
      <c r="AF5475" s="22"/>
    </row>
    <row r="5476" spans="29:32" x14ac:dyDescent="0.2">
      <c r="AC5476" s="20"/>
      <c r="AE5476" s="22"/>
      <c r="AF5476" s="22"/>
    </row>
    <row r="5477" spans="29:32" x14ac:dyDescent="0.2">
      <c r="AC5477" s="20"/>
      <c r="AE5477" s="22"/>
      <c r="AF5477" s="22"/>
    </row>
    <row r="5478" spans="29:32" x14ac:dyDescent="0.2">
      <c r="AC5478" s="20"/>
      <c r="AE5478" s="22"/>
      <c r="AF5478" s="22"/>
    </row>
    <row r="5479" spans="29:32" x14ac:dyDescent="0.2">
      <c r="AC5479" s="20"/>
      <c r="AE5479" s="22"/>
      <c r="AF5479" s="22"/>
    </row>
    <row r="5480" spans="29:32" x14ac:dyDescent="0.2">
      <c r="AC5480" s="20"/>
      <c r="AE5480" s="22"/>
      <c r="AF5480" s="22"/>
    </row>
    <row r="5481" spans="29:32" x14ac:dyDescent="0.2">
      <c r="AC5481" s="20"/>
      <c r="AE5481" s="22"/>
      <c r="AF5481" s="22"/>
    </row>
    <row r="5482" spans="29:32" x14ac:dyDescent="0.2">
      <c r="AC5482" s="20"/>
      <c r="AE5482" s="22"/>
      <c r="AF5482" s="22"/>
    </row>
    <row r="5483" spans="29:32" x14ac:dyDescent="0.2">
      <c r="AC5483" s="20"/>
      <c r="AE5483" s="22"/>
      <c r="AF5483" s="22"/>
    </row>
    <row r="5484" spans="29:32" x14ac:dyDescent="0.2">
      <c r="AC5484" s="20"/>
      <c r="AE5484" s="22"/>
      <c r="AF5484" s="22"/>
    </row>
    <row r="5485" spans="29:32" x14ac:dyDescent="0.2">
      <c r="AC5485" s="20"/>
      <c r="AE5485" s="22"/>
      <c r="AF5485" s="22"/>
    </row>
    <row r="5486" spans="29:32" x14ac:dyDescent="0.2">
      <c r="AC5486" s="20"/>
      <c r="AE5486" s="22"/>
      <c r="AF5486" s="22"/>
    </row>
    <row r="5487" spans="29:32" x14ac:dyDescent="0.2">
      <c r="AC5487" s="20"/>
      <c r="AE5487" s="22"/>
      <c r="AF5487" s="22"/>
    </row>
    <row r="5488" spans="29:32" x14ac:dyDescent="0.2">
      <c r="AC5488" s="20"/>
      <c r="AE5488" s="22"/>
      <c r="AF5488" s="22"/>
    </row>
    <row r="5489" spans="29:32" x14ac:dyDescent="0.2">
      <c r="AC5489" s="20"/>
      <c r="AE5489" s="22"/>
      <c r="AF5489" s="22"/>
    </row>
    <row r="5490" spans="29:32" x14ac:dyDescent="0.2">
      <c r="AC5490" s="20"/>
      <c r="AE5490" s="22"/>
      <c r="AF5490" s="22"/>
    </row>
    <row r="5491" spans="29:32" x14ac:dyDescent="0.2">
      <c r="AC5491" s="20"/>
      <c r="AE5491" s="22"/>
      <c r="AF5491" s="22"/>
    </row>
    <row r="5492" spans="29:32" x14ac:dyDescent="0.2">
      <c r="AC5492" s="20"/>
      <c r="AE5492" s="22"/>
      <c r="AF5492" s="22"/>
    </row>
    <row r="5493" spans="29:32" x14ac:dyDescent="0.2">
      <c r="AC5493" s="20"/>
      <c r="AE5493" s="22"/>
      <c r="AF5493" s="22"/>
    </row>
    <row r="5494" spans="29:32" x14ac:dyDescent="0.2">
      <c r="AC5494" s="20"/>
      <c r="AE5494" s="22"/>
      <c r="AF5494" s="22"/>
    </row>
    <row r="5495" spans="29:32" x14ac:dyDescent="0.2">
      <c r="AC5495" s="20"/>
      <c r="AE5495" s="22"/>
      <c r="AF5495" s="22"/>
    </row>
    <row r="5496" spans="29:32" x14ac:dyDescent="0.2">
      <c r="AC5496" s="20"/>
      <c r="AE5496" s="22"/>
      <c r="AF5496" s="22"/>
    </row>
    <row r="5497" spans="29:32" x14ac:dyDescent="0.2">
      <c r="AC5497" s="20"/>
      <c r="AE5497" s="22"/>
      <c r="AF5497" s="22"/>
    </row>
    <row r="5498" spans="29:32" x14ac:dyDescent="0.2">
      <c r="AC5498" s="20"/>
      <c r="AE5498" s="22"/>
      <c r="AF5498" s="22"/>
    </row>
    <row r="5499" spans="29:32" x14ac:dyDescent="0.2">
      <c r="AC5499" s="20"/>
      <c r="AE5499" s="22"/>
      <c r="AF5499" s="22"/>
    </row>
    <row r="5500" spans="29:32" x14ac:dyDescent="0.2">
      <c r="AC5500" s="20"/>
      <c r="AE5500" s="22"/>
      <c r="AF5500" s="22"/>
    </row>
    <row r="5501" spans="29:32" x14ac:dyDescent="0.2">
      <c r="AC5501" s="20"/>
      <c r="AE5501" s="22"/>
      <c r="AF5501" s="22"/>
    </row>
    <row r="5502" spans="29:32" x14ac:dyDescent="0.2">
      <c r="AC5502" s="20"/>
      <c r="AE5502" s="22"/>
      <c r="AF5502" s="22"/>
    </row>
    <row r="5503" spans="29:32" x14ac:dyDescent="0.2">
      <c r="AC5503" s="20"/>
      <c r="AE5503" s="22"/>
      <c r="AF5503" s="22"/>
    </row>
    <row r="5504" spans="29:32" x14ac:dyDescent="0.2">
      <c r="AC5504" s="20"/>
      <c r="AE5504" s="22"/>
      <c r="AF5504" s="22"/>
    </row>
    <row r="5505" spans="29:32" x14ac:dyDescent="0.2">
      <c r="AC5505" s="20"/>
      <c r="AE5505" s="22"/>
      <c r="AF5505" s="22"/>
    </row>
    <row r="5506" spans="29:32" x14ac:dyDescent="0.2">
      <c r="AC5506" s="20"/>
      <c r="AE5506" s="22"/>
      <c r="AF5506" s="22"/>
    </row>
    <row r="5507" spans="29:32" x14ac:dyDescent="0.2">
      <c r="AC5507" s="20"/>
      <c r="AE5507" s="22"/>
      <c r="AF5507" s="22"/>
    </row>
    <row r="5508" spans="29:32" x14ac:dyDescent="0.2">
      <c r="AC5508" s="20"/>
      <c r="AE5508" s="22"/>
      <c r="AF5508" s="22"/>
    </row>
    <row r="5509" spans="29:32" x14ac:dyDescent="0.2">
      <c r="AC5509" s="20"/>
      <c r="AE5509" s="22"/>
      <c r="AF5509" s="22"/>
    </row>
    <row r="5510" spans="29:32" x14ac:dyDescent="0.2">
      <c r="AC5510" s="20"/>
      <c r="AE5510" s="22"/>
      <c r="AF5510" s="22"/>
    </row>
    <row r="5511" spans="29:32" x14ac:dyDescent="0.2">
      <c r="AC5511" s="20"/>
      <c r="AE5511" s="22"/>
      <c r="AF5511" s="22"/>
    </row>
    <row r="5512" spans="29:32" x14ac:dyDescent="0.2">
      <c r="AC5512" s="20"/>
      <c r="AE5512" s="22"/>
      <c r="AF5512" s="22"/>
    </row>
    <row r="5513" spans="29:32" x14ac:dyDescent="0.2">
      <c r="AC5513" s="20"/>
      <c r="AE5513" s="22"/>
      <c r="AF5513" s="22"/>
    </row>
    <row r="5514" spans="29:32" x14ac:dyDescent="0.2">
      <c r="AC5514" s="20"/>
      <c r="AE5514" s="22"/>
      <c r="AF5514" s="22"/>
    </row>
    <row r="5515" spans="29:32" x14ac:dyDescent="0.2">
      <c r="AC5515" s="20"/>
      <c r="AE5515" s="22"/>
      <c r="AF5515" s="22"/>
    </row>
    <row r="5516" spans="29:32" x14ac:dyDescent="0.2">
      <c r="AC5516" s="20"/>
      <c r="AE5516" s="22"/>
      <c r="AF5516" s="22"/>
    </row>
    <row r="5517" spans="29:32" x14ac:dyDescent="0.2">
      <c r="AC5517" s="20"/>
      <c r="AE5517" s="22"/>
      <c r="AF5517" s="22"/>
    </row>
    <row r="5518" spans="29:32" x14ac:dyDescent="0.2">
      <c r="AC5518" s="20"/>
      <c r="AE5518" s="22"/>
      <c r="AF5518" s="22"/>
    </row>
    <row r="5519" spans="29:32" x14ac:dyDescent="0.2">
      <c r="AC5519" s="20"/>
      <c r="AE5519" s="22"/>
      <c r="AF5519" s="22"/>
    </row>
    <row r="5520" spans="29:32" x14ac:dyDescent="0.2">
      <c r="AC5520" s="20"/>
      <c r="AE5520" s="22"/>
      <c r="AF5520" s="22"/>
    </row>
    <row r="5521" spans="29:32" x14ac:dyDescent="0.2">
      <c r="AC5521" s="20"/>
      <c r="AE5521" s="22"/>
      <c r="AF5521" s="22"/>
    </row>
    <row r="5522" spans="29:32" x14ac:dyDescent="0.2">
      <c r="AC5522" s="20"/>
      <c r="AE5522" s="22"/>
      <c r="AF5522" s="22"/>
    </row>
    <row r="5523" spans="29:32" x14ac:dyDescent="0.2">
      <c r="AC5523" s="20"/>
      <c r="AE5523" s="22"/>
      <c r="AF5523" s="22"/>
    </row>
    <row r="5524" spans="29:32" x14ac:dyDescent="0.2">
      <c r="AC5524" s="20"/>
      <c r="AE5524" s="22"/>
      <c r="AF5524" s="22"/>
    </row>
    <row r="5525" spans="29:32" x14ac:dyDescent="0.2">
      <c r="AC5525" s="20"/>
      <c r="AE5525" s="22"/>
      <c r="AF5525" s="22"/>
    </row>
    <row r="5526" spans="29:32" x14ac:dyDescent="0.2">
      <c r="AC5526" s="20"/>
      <c r="AE5526" s="22"/>
      <c r="AF5526" s="22"/>
    </row>
    <row r="5527" spans="29:32" x14ac:dyDescent="0.2">
      <c r="AC5527" s="20"/>
      <c r="AE5527" s="22"/>
      <c r="AF5527" s="22"/>
    </row>
    <row r="5528" spans="29:32" x14ac:dyDescent="0.2">
      <c r="AC5528" s="20"/>
      <c r="AE5528" s="22"/>
      <c r="AF5528" s="22"/>
    </row>
    <row r="5529" spans="29:32" x14ac:dyDescent="0.2">
      <c r="AC5529" s="20"/>
      <c r="AE5529" s="22"/>
      <c r="AF5529" s="22"/>
    </row>
    <row r="5530" spans="29:32" x14ac:dyDescent="0.2">
      <c r="AC5530" s="20"/>
      <c r="AE5530" s="22"/>
      <c r="AF5530" s="22"/>
    </row>
    <row r="5531" spans="29:32" x14ac:dyDescent="0.2">
      <c r="AC5531" s="20"/>
      <c r="AE5531" s="22"/>
      <c r="AF5531" s="22"/>
    </row>
    <row r="5532" spans="29:32" x14ac:dyDescent="0.2">
      <c r="AC5532" s="20"/>
      <c r="AE5532" s="22"/>
      <c r="AF5532" s="22"/>
    </row>
    <row r="5533" spans="29:32" x14ac:dyDescent="0.2">
      <c r="AC5533" s="20"/>
      <c r="AE5533" s="22"/>
      <c r="AF5533" s="22"/>
    </row>
    <row r="5534" spans="29:32" x14ac:dyDescent="0.2">
      <c r="AC5534" s="20"/>
      <c r="AE5534" s="22"/>
      <c r="AF5534" s="22"/>
    </row>
    <row r="5535" spans="29:32" x14ac:dyDescent="0.2">
      <c r="AC5535" s="20"/>
      <c r="AE5535" s="22"/>
      <c r="AF5535" s="22"/>
    </row>
    <row r="5536" spans="29:32" x14ac:dyDescent="0.2">
      <c r="AC5536" s="20"/>
      <c r="AE5536" s="22"/>
      <c r="AF5536" s="22"/>
    </row>
    <row r="5537" spans="29:32" x14ac:dyDescent="0.2">
      <c r="AC5537" s="20"/>
      <c r="AE5537" s="22"/>
      <c r="AF5537" s="22"/>
    </row>
    <row r="5538" spans="29:32" x14ac:dyDescent="0.2">
      <c r="AC5538" s="20"/>
      <c r="AE5538" s="22"/>
      <c r="AF5538" s="22"/>
    </row>
    <row r="5539" spans="29:32" x14ac:dyDescent="0.2">
      <c r="AC5539" s="20"/>
      <c r="AE5539" s="22"/>
      <c r="AF5539" s="22"/>
    </row>
    <row r="5540" spans="29:32" x14ac:dyDescent="0.2">
      <c r="AC5540" s="20"/>
      <c r="AE5540" s="22"/>
      <c r="AF5540" s="22"/>
    </row>
    <row r="5541" spans="29:32" x14ac:dyDescent="0.2">
      <c r="AC5541" s="20"/>
      <c r="AE5541" s="22"/>
      <c r="AF5541" s="22"/>
    </row>
    <row r="5542" spans="29:32" x14ac:dyDescent="0.2">
      <c r="AC5542" s="20"/>
      <c r="AE5542" s="22"/>
      <c r="AF5542" s="22"/>
    </row>
    <row r="5543" spans="29:32" x14ac:dyDescent="0.2">
      <c r="AC5543" s="20"/>
      <c r="AE5543" s="22"/>
      <c r="AF5543" s="22"/>
    </row>
    <row r="5544" spans="29:32" x14ac:dyDescent="0.2">
      <c r="AC5544" s="20"/>
      <c r="AE5544" s="22"/>
      <c r="AF5544" s="22"/>
    </row>
    <row r="5545" spans="29:32" x14ac:dyDescent="0.2">
      <c r="AC5545" s="20"/>
      <c r="AE5545" s="22"/>
      <c r="AF5545" s="22"/>
    </row>
    <row r="5546" spans="29:32" x14ac:dyDescent="0.2">
      <c r="AC5546" s="20"/>
      <c r="AE5546" s="22"/>
      <c r="AF5546" s="22"/>
    </row>
    <row r="5547" spans="29:32" x14ac:dyDescent="0.2">
      <c r="AC5547" s="20"/>
      <c r="AE5547" s="22"/>
      <c r="AF5547" s="22"/>
    </row>
    <row r="5548" spans="29:32" x14ac:dyDescent="0.2">
      <c r="AC5548" s="20"/>
      <c r="AE5548" s="22"/>
      <c r="AF5548" s="22"/>
    </row>
    <row r="5549" spans="29:32" x14ac:dyDescent="0.2">
      <c r="AC5549" s="20"/>
      <c r="AE5549" s="22"/>
      <c r="AF5549" s="22"/>
    </row>
    <row r="5550" spans="29:32" x14ac:dyDescent="0.2">
      <c r="AC5550" s="20"/>
      <c r="AE5550" s="22"/>
      <c r="AF5550" s="22"/>
    </row>
    <row r="5551" spans="29:32" x14ac:dyDescent="0.2">
      <c r="AC5551" s="20"/>
      <c r="AE5551" s="22"/>
      <c r="AF5551" s="22"/>
    </row>
    <row r="5552" spans="29:32" x14ac:dyDescent="0.2">
      <c r="AC5552" s="20"/>
      <c r="AE5552" s="22"/>
      <c r="AF5552" s="22"/>
    </row>
    <row r="5553" spans="29:32" x14ac:dyDescent="0.2">
      <c r="AC5553" s="20"/>
      <c r="AE5553" s="22"/>
      <c r="AF5553" s="22"/>
    </row>
    <row r="5554" spans="29:32" x14ac:dyDescent="0.2">
      <c r="AC5554" s="20"/>
      <c r="AE5554" s="22"/>
      <c r="AF5554" s="22"/>
    </row>
    <row r="5555" spans="29:32" x14ac:dyDescent="0.2">
      <c r="AC5555" s="20"/>
      <c r="AE5555" s="22"/>
      <c r="AF5555" s="22"/>
    </row>
    <row r="5556" spans="29:32" x14ac:dyDescent="0.2">
      <c r="AC5556" s="20"/>
      <c r="AE5556" s="22"/>
      <c r="AF5556" s="22"/>
    </row>
    <row r="5557" spans="29:32" x14ac:dyDescent="0.2">
      <c r="AC5557" s="20"/>
      <c r="AE5557" s="22"/>
      <c r="AF5557" s="22"/>
    </row>
    <row r="5558" spans="29:32" x14ac:dyDescent="0.2">
      <c r="AC5558" s="20"/>
      <c r="AE5558" s="22"/>
      <c r="AF5558" s="22"/>
    </row>
    <row r="5559" spans="29:32" x14ac:dyDescent="0.2">
      <c r="AC5559" s="20"/>
      <c r="AE5559" s="22"/>
      <c r="AF5559" s="22"/>
    </row>
    <row r="5560" spans="29:32" x14ac:dyDescent="0.2">
      <c r="AC5560" s="20"/>
      <c r="AE5560" s="22"/>
      <c r="AF5560" s="22"/>
    </row>
    <row r="5561" spans="29:32" x14ac:dyDescent="0.2">
      <c r="AC5561" s="20"/>
      <c r="AE5561" s="22"/>
      <c r="AF5561" s="22"/>
    </row>
    <row r="5562" spans="29:32" x14ac:dyDescent="0.2">
      <c r="AC5562" s="20"/>
      <c r="AE5562" s="22"/>
      <c r="AF5562" s="22"/>
    </row>
    <row r="5563" spans="29:32" x14ac:dyDescent="0.2">
      <c r="AC5563" s="20"/>
      <c r="AE5563" s="22"/>
      <c r="AF5563" s="22"/>
    </row>
    <row r="5564" spans="29:32" x14ac:dyDescent="0.2">
      <c r="AC5564" s="20"/>
      <c r="AE5564" s="22"/>
      <c r="AF5564" s="22"/>
    </row>
    <row r="5565" spans="29:32" x14ac:dyDescent="0.2">
      <c r="AC5565" s="20"/>
      <c r="AE5565" s="22"/>
      <c r="AF5565" s="22"/>
    </row>
    <row r="5566" spans="29:32" x14ac:dyDescent="0.2">
      <c r="AC5566" s="20"/>
      <c r="AE5566" s="22"/>
      <c r="AF5566" s="22"/>
    </row>
    <row r="5567" spans="29:32" x14ac:dyDescent="0.2">
      <c r="AC5567" s="20"/>
      <c r="AE5567" s="22"/>
      <c r="AF5567" s="22"/>
    </row>
    <row r="5568" spans="29:32" x14ac:dyDescent="0.2">
      <c r="AC5568" s="20"/>
      <c r="AE5568" s="22"/>
      <c r="AF5568" s="22"/>
    </row>
    <row r="5569" spans="29:32" x14ac:dyDescent="0.2">
      <c r="AC5569" s="20"/>
      <c r="AE5569" s="22"/>
      <c r="AF5569" s="22"/>
    </row>
    <row r="5570" spans="29:32" x14ac:dyDescent="0.2">
      <c r="AC5570" s="20"/>
      <c r="AE5570" s="22"/>
      <c r="AF5570" s="22"/>
    </row>
    <row r="5571" spans="29:32" x14ac:dyDescent="0.2">
      <c r="AC5571" s="20"/>
      <c r="AE5571" s="22"/>
      <c r="AF5571" s="22"/>
    </row>
    <row r="5572" spans="29:32" x14ac:dyDescent="0.2">
      <c r="AC5572" s="20"/>
      <c r="AE5572" s="22"/>
      <c r="AF5572" s="22"/>
    </row>
    <row r="5573" spans="29:32" x14ac:dyDescent="0.2">
      <c r="AC5573" s="20"/>
      <c r="AE5573" s="22"/>
      <c r="AF5573" s="22"/>
    </row>
    <row r="5574" spans="29:32" x14ac:dyDescent="0.2">
      <c r="AC5574" s="20"/>
      <c r="AE5574" s="22"/>
      <c r="AF5574" s="22"/>
    </row>
    <row r="5575" spans="29:32" x14ac:dyDescent="0.2">
      <c r="AC5575" s="20"/>
      <c r="AE5575" s="22"/>
      <c r="AF5575" s="22"/>
    </row>
    <row r="5576" spans="29:32" x14ac:dyDescent="0.2">
      <c r="AC5576" s="20"/>
      <c r="AE5576" s="22"/>
      <c r="AF5576" s="22"/>
    </row>
    <row r="5577" spans="29:32" x14ac:dyDescent="0.2">
      <c r="AC5577" s="20"/>
      <c r="AE5577" s="22"/>
      <c r="AF5577" s="22"/>
    </row>
    <row r="5578" spans="29:32" x14ac:dyDescent="0.2">
      <c r="AC5578" s="20"/>
      <c r="AE5578" s="22"/>
      <c r="AF5578" s="22"/>
    </row>
    <row r="5579" spans="29:32" x14ac:dyDescent="0.2">
      <c r="AC5579" s="20"/>
      <c r="AE5579" s="22"/>
      <c r="AF5579" s="22"/>
    </row>
    <row r="5580" spans="29:32" x14ac:dyDescent="0.2">
      <c r="AC5580" s="20"/>
      <c r="AE5580" s="22"/>
      <c r="AF5580" s="22"/>
    </row>
    <row r="5581" spans="29:32" x14ac:dyDescent="0.2">
      <c r="AC5581" s="20"/>
      <c r="AE5581" s="22"/>
      <c r="AF5581" s="22"/>
    </row>
    <row r="5582" spans="29:32" x14ac:dyDescent="0.2">
      <c r="AC5582" s="20"/>
      <c r="AE5582" s="22"/>
      <c r="AF5582" s="22"/>
    </row>
    <row r="5583" spans="29:32" x14ac:dyDescent="0.2">
      <c r="AC5583" s="20"/>
      <c r="AE5583" s="22"/>
      <c r="AF5583" s="22"/>
    </row>
    <row r="5584" spans="29:32" x14ac:dyDescent="0.2">
      <c r="AC5584" s="20"/>
      <c r="AE5584" s="22"/>
      <c r="AF5584" s="22"/>
    </row>
    <row r="5585" spans="29:32" x14ac:dyDescent="0.2">
      <c r="AC5585" s="20"/>
      <c r="AE5585" s="22"/>
      <c r="AF5585" s="22"/>
    </row>
    <row r="5586" spans="29:32" x14ac:dyDescent="0.2">
      <c r="AC5586" s="20"/>
      <c r="AE5586" s="22"/>
      <c r="AF5586" s="22"/>
    </row>
    <row r="5587" spans="29:32" x14ac:dyDescent="0.2">
      <c r="AC5587" s="20"/>
      <c r="AE5587" s="22"/>
      <c r="AF5587" s="22"/>
    </row>
    <row r="5588" spans="29:32" x14ac:dyDescent="0.2">
      <c r="AC5588" s="20"/>
      <c r="AE5588" s="22"/>
      <c r="AF5588" s="22"/>
    </row>
    <row r="5589" spans="29:32" x14ac:dyDescent="0.2">
      <c r="AC5589" s="20"/>
      <c r="AE5589" s="22"/>
      <c r="AF5589" s="22"/>
    </row>
    <row r="5590" spans="29:32" x14ac:dyDescent="0.2">
      <c r="AC5590" s="20"/>
      <c r="AE5590" s="22"/>
      <c r="AF5590" s="22"/>
    </row>
    <row r="5591" spans="29:32" x14ac:dyDescent="0.2">
      <c r="AC5591" s="20"/>
      <c r="AE5591" s="22"/>
      <c r="AF5591" s="22"/>
    </row>
    <row r="5592" spans="29:32" x14ac:dyDescent="0.2">
      <c r="AC5592" s="20"/>
      <c r="AE5592" s="22"/>
      <c r="AF5592" s="22"/>
    </row>
    <row r="5593" spans="29:32" x14ac:dyDescent="0.2">
      <c r="AC5593" s="20"/>
      <c r="AE5593" s="22"/>
      <c r="AF5593" s="22"/>
    </row>
    <row r="5594" spans="29:32" x14ac:dyDescent="0.2">
      <c r="AC5594" s="20"/>
      <c r="AE5594" s="22"/>
      <c r="AF5594" s="22"/>
    </row>
    <row r="5595" spans="29:32" x14ac:dyDescent="0.2">
      <c r="AC5595" s="20"/>
      <c r="AE5595" s="22"/>
      <c r="AF5595" s="22"/>
    </row>
    <row r="5596" spans="29:32" x14ac:dyDescent="0.2">
      <c r="AC5596" s="20"/>
      <c r="AE5596" s="22"/>
      <c r="AF5596" s="22"/>
    </row>
    <row r="5597" spans="29:32" x14ac:dyDescent="0.2">
      <c r="AC5597" s="20"/>
      <c r="AE5597" s="22"/>
      <c r="AF5597" s="22"/>
    </row>
    <row r="5598" spans="29:32" x14ac:dyDescent="0.2">
      <c r="AC5598" s="20"/>
      <c r="AE5598" s="22"/>
      <c r="AF5598" s="22"/>
    </row>
    <row r="5599" spans="29:32" x14ac:dyDescent="0.2">
      <c r="AC5599" s="20"/>
      <c r="AE5599" s="22"/>
      <c r="AF5599" s="22"/>
    </row>
    <row r="5600" spans="29:32" x14ac:dyDescent="0.2">
      <c r="AC5600" s="20"/>
      <c r="AE5600" s="22"/>
      <c r="AF5600" s="22"/>
    </row>
    <row r="5601" spans="29:32" x14ac:dyDescent="0.2">
      <c r="AC5601" s="20"/>
      <c r="AE5601" s="22"/>
      <c r="AF5601" s="22"/>
    </row>
    <row r="5602" spans="29:32" x14ac:dyDescent="0.2">
      <c r="AC5602" s="20"/>
      <c r="AE5602" s="22"/>
      <c r="AF5602" s="22"/>
    </row>
    <row r="5603" spans="29:32" x14ac:dyDescent="0.2">
      <c r="AC5603" s="20"/>
      <c r="AE5603" s="22"/>
      <c r="AF5603" s="22"/>
    </row>
    <row r="5604" spans="29:32" x14ac:dyDescent="0.2">
      <c r="AC5604" s="20"/>
      <c r="AE5604" s="22"/>
      <c r="AF5604" s="22"/>
    </row>
    <row r="5605" spans="29:32" x14ac:dyDescent="0.2">
      <c r="AC5605" s="20"/>
      <c r="AE5605" s="22"/>
      <c r="AF5605" s="22"/>
    </row>
    <row r="5606" spans="29:32" x14ac:dyDescent="0.2">
      <c r="AC5606" s="20"/>
      <c r="AE5606" s="22"/>
      <c r="AF5606" s="22"/>
    </row>
    <row r="5607" spans="29:32" x14ac:dyDescent="0.2">
      <c r="AC5607" s="20"/>
      <c r="AE5607" s="22"/>
      <c r="AF5607" s="22"/>
    </row>
    <row r="5608" spans="29:32" x14ac:dyDescent="0.2">
      <c r="AC5608" s="20"/>
      <c r="AE5608" s="22"/>
      <c r="AF5608" s="22"/>
    </row>
    <row r="5609" spans="29:32" x14ac:dyDescent="0.2">
      <c r="AC5609" s="20"/>
      <c r="AE5609" s="22"/>
      <c r="AF5609" s="22"/>
    </row>
    <row r="5610" spans="29:32" x14ac:dyDescent="0.2">
      <c r="AC5610" s="20"/>
      <c r="AE5610" s="22"/>
      <c r="AF5610" s="22"/>
    </row>
    <row r="5611" spans="29:32" x14ac:dyDescent="0.2">
      <c r="AC5611" s="20"/>
      <c r="AE5611" s="22"/>
      <c r="AF5611" s="22"/>
    </row>
    <row r="5612" spans="29:32" x14ac:dyDescent="0.2">
      <c r="AC5612" s="20"/>
      <c r="AE5612" s="22"/>
      <c r="AF5612" s="22"/>
    </row>
    <row r="5613" spans="29:32" x14ac:dyDescent="0.2">
      <c r="AC5613" s="20"/>
      <c r="AE5613" s="22"/>
      <c r="AF5613" s="22"/>
    </row>
    <row r="5614" spans="29:32" x14ac:dyDescent="0.2">
      <c r="AC5614" s="20"/>
      <c r="AE5614" s="22"/>
      <c r="AF5614" s="22"/>
    </row>
    <row r="5615" spans="29:32" x14ac:dyDescent="0.2">
      <c r="AC5615" s="20"/>
      <c r="AE5615" s="22"/>
      <c r="AF5615" s="22"/>
    </row>
    <row r="5616" spans="29:32" x14ac:dyDescent="0.2">
      <c r="AC5616" s="20"/>
      <c r="AE5616" s="22"/>
      <c r="AF5616" s="22"/>
    </row>
    <row r="5617" spans="29:32" x14ac:dyDescent="0.2">
      <c r="AC5617" s="20"/>
      <c r="AE5617" s="22"/>
      <c r="AF5617" s="22"/>
    </row>
    <row r="5618" spans="29:32" x14ac:dyDescent="0.2">
      <c r="AC5618" s="20"/>
      <c r="AE5618" s="22"/>
      <c r="AF5618" s="22"/>
    </row>
    <row r="5619" spans="29:32" x14ac:dyDescent="0.2">
      <c r="AC5619" s="20"/>
      <c r="AE5619" s="22"/>
      <c r="AF5619" s="22"/>
    </row>
    <row r="5620" spans="29:32" x14ac:dyDescent="0.2">
      <c r="AC5620" s="20"/>
      <c r="AE5620" s="22"/>
      <c r="AF5620" s="22"/>
    </row>
    <row r="5621" spans="29:32" x14ac:dyDescent="0.2">
      <c r="AC5621" s="20"/>
      <c r="AE5621" s="22"/>
      <c r="AF5621" s="22"/>
    </row>
    <row r="5622" spans="29:32" x14ac:dyDescent="0.2">
      <c r="AC5622" s="20"/>
      <c r="AE5622" s="22"/>
      <c r="AF5622" s="22"/>
    </row>
    <row r="5623" spans="29:32" x14ac:dyDescent="0.2">
      <c r="AC5623" s="20"/>
      <c r="AE5623" s="22"/>
      <c r="AF5623" s="22"/>
    </row>
    <row r="5624" spans="29:32" x14ac:dyDescent="0.2">
      <c r="AC5624" s="20"/>
      <c r="AE5624" s="22"/>
      <c r="AF5624" s="22"/>
    </row>
    <row r="5625" spans="29:32" x14ac:dyDescent="0.2">
      <c r="AC5625" s="20"/>
      <c r="AE5625" s="22"/>
      <c r="AF5625" s="22"/>
    </row>
    <row r="5626" spans="29:32" x14ac:dyDescent="0.2">
      <c r="AC5626" s="20"/>
      <c r="AE5626" s="22"/>
      <c r="AF5626" s="22"/>
    </row>
    <row r="5627" spans="29:32" x14ac:dyDescent="0.2">
      <c r="AC5627" s="20"/>
      <c r="AE5627" s="22"/>
      <c r="AF5627" s="22"/>
    </row>
    <row r="5628" spans="29:32" x14ac:dyDescent="0.2">
      <c r="AC5628" s="20"/>
      <c r="AE5628" s="22"/>
      <c r="AF5628" s="22"/>
    </row>
    <row r="5629" spans="29:32" x14ac:dyDescent="0.2">
      <c r="AC5629" s="20"/>
      <c r="AE5629" s="22"/>
      <c r="AF5629" s="22"/>
    </row>
    <row r="5630" spans="29:32" x14ac:dyDescent="0.2">
      <c r="AC5630" s="20"/>
      <c r="AE5630" s="22"/>
      <c r="AF5630" s="22"/>
    </row>
    <row r="5631" spans="29:32" x14ac:dyDescent="0.2">
      <c r="AC5631" s="20"/>
      <c r="AE5631" s="22"/>
      <c r="AF5631" s="22"/>
    </row>
    <row r="5632" spans="29:32" x14ac:dyDescent="0.2">
      <c r="AC5632" s="20"/>
      <c r="AE5632" s="22"/>
      <c r="AF5632" s="22"/>
    </row>
    <row r="5633" spans="29:32" x14ac:dyDescent="0.2">
      <c r="AC5633" s="20"/>
      <c r="AE5633" s="22"/>
      <c r="AF5633" s="22"/>
    </row>
    <row r="5634" spans="29:32" x14ac:dyDescent="0.2">
      <c r="AC5634" s="20"/>
      <c r="AE5634" s="22"/>
      <c r="AF5634" s="22"/>
    </row>
    <row r="5635" spans="29:32" x14ac:dyDescent="0.2">
      <c r="AC5635" s="20"/>
      <c r="AE5635" s="22"/>
      <c r="AF5635" s="22"/>
    </row>
    <row r="5636" spans="29:32" x14ac:dyDescent="0.2">
      <c r="AC5636" s="20"/>
      <c r="AE5636" s="22"/>
      <c r="AF5636" s="22"/>
    </row>
    <row r="5637" spans="29:32" x14ac:dyDescent="0.2">
      <c r="AC5637" s="20"/>
      <c r="AE5637" s="22"/>
      <c r="AF5637" s="22"/>
    </row>
    <row r="5638" spans="29:32" x14ac:dyDescent="0.2">
      <c r="AC5638" s="20"/>
      <c r="AE5638" s="22"/>
      <c r="AF5638" s="22"/>
    </row>
    <row r="5639" spans="29:32" x14ac:dyDescent="0.2">
      <c r="AC5639" s="20"/>
      <c r="AE5639" s="22"/>
      <c r="AF5639" s="22"/>
    </row>
    <row r="5640" spans="29:32" x14ac:dyDescent="0.2">
      <c r="AC5640" s="20"/>
      <c r="AE5640" s="22"/>
      <c r="AF5640" s="22"/>
    </row>
    <row r="5641" spans="29:32" x14ac:dyDescent="0.2">
      <c r="AC5641" s="20"/>
      <c r="AE5641" s="22"/>
      <c r="AF5641" s="22"/>
    </row>
    <row r="5642" spans="29:32" x14ac:dyDescent="0.2">
      <c r="AC5642" s="20"/>
      <c r="AE5642" s="22"/>
      <c r="AF5642" s="22"/>
    </row>
    <row r="5643" spans="29:32" x14ac:dyDescent="0.2">
      <c r="AC5643" s="20"/>
      <c r="AE5643" s="22"/>
      <c r="AF5643" s="22"/>
    </row>
    <row r="5644" spans="29:32" x14ac:dyDescent="0.2">
      <c r="AC5644" s="20"/>
      <c r="AE5644" s="22"/>
      <c r="AF5644" s="22"/>
    </row>
    <row r="5645" spans="29:32" x14ac:dyDescent="0.2">
      <c r="AC5645" s="20"/>
      <c r="AE5645" s="22"/>
      <c r="AF5645" s="22"/>
    </row>
    <row r="5646" spans="29:32" x14ac:dyDescent="0.2">
      <c r="AC5646" s="20"/>
      <c r="AE5646" s="22"/>
      <c r="AF5646" s="22"/>
    </row>
    <row r="5647" spans="29:32" x14ac:dyDescent="0.2">
      <c r="AC5647" s="20"/>
      <c r="AE5647" s="22"/>
      <c r="AF5647" s="22"/>
    </row>
    <row r="5648" spans="29:32" x14ac:dyDescent="0.2">
      <c r="AC5648" s="20"/>
      <c r="AE5648" s="22"/>
      <c r="AF5648" s="22"/>
    </row>
    <row r="5649" spans="29:32" x14ac:dyDescent="0.2">
      <c r="AC5649" s="20"/>
      <c r="AE5649" s="22"/>
      <c r="AF5649" s="22"/>
    </row>
    <row r="5650" spans="29:32" x14ac:dyDescent="0.2">
      <c r="AC5650" s="20"/>
      <c r="AE5650" s="22"/>
      <c r="AF5650" s="22"/>
    </row>
    <row r="5651" spans="29:32" x14ac:dyDescent="0.2">
      <c r="AC5651" s="20"/>
      <c r="AE5651" s="22"/>
      <c r="AF5651" s="22"/>
    </row>
    <row r="5652" spans="29:32" x14ac:dyDescent="0.2">
      <c r="AC5652" s="20"/>
      <c r="AE5652" s="22"/>
      <c r="AF5652" s="22"/>
    </row>
    <row r="5653" spans="29:32" x14ac:dyDescent="0.2">
      <c r="AC5653" s="20"/>
      <c r="AE5653" s="22"/>
      <c r="AF5653" s="22"/>
    </row>
    <row r="5654" spans="29:32" x14ac:dyDescent="0.2">
      <c r="AC5654" s="20"/>
      <c r="AE5654" s="22"/>
      <c r="AF5654" s="22"/>
    </row>
    <row r="5655" spans="29:32" x14ac:dyDescent="0.2">
      <c r="AC5655" s="20"/>
      <c r="AE5655" s="22"/>
      <c r="AF5655" s="22"/>
    </row>
    <row r="5656" spans="29:32" x14ac:dyDescent="0.2">
      <c r="AC5656" s="20"/>
      <c r="AE5656" s="22"/>
      <c r="AF5656" s="22"/>
    </row>
    <row r="5657" spans="29:32" x14ac:dyDescent="0.2">
      <c r="AC5657" s="20"/>
      <c r="AE5657" s="22"/>
      <c r="AF5657" s="22"/>
    </row>
    <row r="5658" spans="29:32" x14ac:dyDescent="0.2">
      <c r="AC5658" s="20"/>
      <c r="AE5658" s="22"/>
      <c r="AF5658" s="22"/>
    </row>
    <row r="5659" spans="29:32" x14ac:dyDescent="0.2">
      <c r="AC5659" s="20"/>
      <c r="AE5659" s="22"/>
      <c r="AF5659" s="22"/>
    </row>
    <row r="5660" spans="29:32" x14ac:dyDescent="0.2">
      <c r="AC5660" s="20"/>
      <c r="AE5660" s="22"/>
      <c r="AF5660" s="22"/>
    </row>
    <row r="5661" spans="29:32" x14ac:dyDescent="0.2">
      <c r="AC5661" s="20"/>
      <c r="AE5661" s="22"/>
      <c r="AF5661" s="22"/>
    </row>
    <row r="5662" spans="29:32" x14ac:dyDescent="0.2">
      <c r="AC5662" s="20"/>
      <c r="AE5662" s="22"/>
      <c r="AF5662" s="22"/>
    </row>
    <row r="5663" spans="29:32" x14ac:dyDescent="0.2">
      <c r="AC5663" s="20"/>
      <c r="AE5663" s="22"/>
      <c r="AF5663" s="22"/>
    </row>
    <row r="5664" spans="29:32" x14ac:dyDescent="0.2">
      <c r="AC5664" s="20"/>
      <c r="AE5664" s="22"/>
      <c r="AF5664" s="22"/>
    </row>
    <row r="5665" spans="29:32" x14ac:dyDescent="0.2">
      <c r="AC5665" s="20"/>
      <c r="AE5665" s="22"/>
      <c r="AF5665" s="22"/>
    </row>
    <row r="5666" spans="29:32" x14ac:dyDescent="0.2">
      <c r="AC5666" s="20"/>
      <c r="AE5666" s="22"/>
      <c r="AF5666" s="22"/>
    </row>
    <row r="5667" spans="29:32" x14ac:dyDescent="0.2">
      <c r="AC5667" s="20"/>
      <c r="AE5667" s="22"/>
      <c r="AF5667" s="22"/>
    </row>
    <row r="5668" spans="29:32" x14ac:dyDescent="0.2">
      <c r="AC5668" s="20"/>
      <c r="AE5668" s="22"/>
      <c r="AF5668" s="22"/>
    </row>
    <row r="5669" spans="29:32" x14ac:dyDescent="0.2">
      <c r="AC5669" s="20"/>
      <c r="AE5669" s="22"/>
      <c r="AF5669" s="22"/>
    </row>
    <row r="5670" spans="29:32" x14ac:dyDescent="0.2">
      <c r="AC5670" s="20"/>
      <c r="AE5670" s="22"/>
      <c r="AF5670" s="22"/>
    </row>
    <row r="5671" spans="29:32" x14ac:dyDescent="0.2">
      <c r="AC5671" s="20"/>
      <c r="AE5671" s="22"/>
      <c r="AF5671" s="22"/>
    </row>
    <row r="5672" spans="29:32" x14ac:dyDescent="0.2">
      <c r="AC5672" s="20"/>
      <c r="AE5672" s="22"/>
      <c r="AF5672" s="22"/>
    </row>
    <row r="5673" spans="29:32" x14ac:dyDescent="0.2">
      <c r="AC5673" s="20"/>
      <c r="AE5673" s="22"/>
      <c r="AF5673" s="22"/>
    </row>
    <row r="5674" spans="29:32" x14ac:dyDescent="0.2">
      <c r="AC5674" s="20"/>
      <c r="AE5674" s="22"/>
      <c r="AF5674" s="22"/>
    </row>
    <row r="5675" spans="29:32" x14ac:dyDescent="0.2">
      <c r="AC5675" s="20"/>
      <c r="AE5675" s="22"/>
      <c r="AF5675" s="22"/>
    </row>
    <row r="5676" spans="29:32" x14ac:dyDescent="0.2">
      <c r="AC5676" s="20"/>
      <c r="AE5676" s="22"/>
      <c r="AF5676" s="22"/>
    </row>
    <row r="5677" spans="29:32" x14ac:dyDescent="0.2">
      <c r="AC5677" s="20"/>
      <c r="AE5677" s="22"/>
      <c r="AF5677" s="22"/>
    </row>
    <row r="5678" spans="29:32" x14ac:dyDescent="0.2">
      <c r="AC5678" s="20"/>
      <c r="AE5678" s="22"/>
      <c r="AF5678" s="22"/>
    </row>
    <row r="5679" spans="29:32" x14ac:dyDescent="0.2">
      <c r="AC5679" s="20"/>
      <c r="AE5679" s="22"/>
      <c r="AF5679" s="22"/>
    </row>
    <row r="5680" spans="29:32" x14ac:dyDescent="0.2">
      <c r="AC5680" s="20"/>
      <c r="AE5680" s="22"/>
      <c r="AF5680" s="22"/>
    </row>
    <row r="5681" spans="29:32" x14ac:dyDescent="0.2">
      <c r="AC5681" s="20"/>
      <c r="AE5681" s="22"/>
      <c r="AF5681" s="22"/>
    </row>
    <row r="5682" spans="29:32" x14ac:dyDescent="0.2">
      <c r="AC5682" s="20"/>
      <c r="AE5682" s="22"/>
      <c r="AF5682" s="22"/>
    </row>
    <row r="5683" spans="29:32" x14ac:dyDescent="0.2">
      <c r="AC5683" s="20"/>
      <c r="AE5683" s="22"/>
      <c r="AF5683" s="22"/>
    </row>
    <row r="5684" spans="29:32" x14ac:dyDescent="0.2">
      <c r="AC5684" s="20"/>
      <c r="AE5684" s="22"/>
      <c r="AF5684" s="22"/>
    </row>
    <row r="5685" spans="29:32" x14ac:dyDescent="0.2">
      <c r="AC5685" s="20"/>
      <c r="AE5685" s="22"/>
      <c r="AF5685" s="22"/>
    </row>
    <row r="5686" spans="29:32" x14ac:dyDescent="0.2">
      <c r="AC5686" s="20"/>
      <c r="AE5686" s="22"/>
      <c r="AF5686" s="22"/>
    </row>
    <row r="5687" spans="29:32" x14ac:dyDescent="0.2">
      <c r="AC5687" s="20"/>
      <c r="AE5687" s="22"/>
      <c r="AF5687" s="22"/>
    </row>
    <row r="5688" spans="29:32" x14ac:dyDescent="0.2">
      <c r="AC5688" s="20"/>
      <c r="AE5688" s="22"/>
      <c r="AF5688" s="22"/>
    </row>
    <row r="5689" spans="29:32" x14ac:dyDescent="0.2">
      <c r="AC5689" s="20"/>
      <c r="AE5689" s="22"/>
      <c r="AF5689" s="22"/>
    </row>
    <row r="5690" spans="29:32" x14ac:dyDescent="0.2">
      <c r="AC5690" s="20"/>
      <c r="AE5690" s="22"/>
      <c r="AF5690" s="22"/>
    </row>
    <row r="5691" spans="29:32" x14ac:dyDescent="0.2">
      <c r="AC5691" s="20"/>
      <c r="AE5691" s="22"/>
      <c r="AF5691" s="22"/>
    </row>
    <row r="5692" spans="29:32" x14ac:dyDescent="0.2">
      <c r="AC5692" s="20"/>
      <c r="AE5692" s="22"/>
      <c r="AF5692" s="22"/>
    </row>
    <row r="5693" spans="29:32" x14ac:dyDescent="0.2">
      <c r="AC5693" s="20"/>
      <c r="AE5693" s="22"/>
      <c r="AF5693" s="22"/>
    </row>
    <row r="5694" spans="29:32" x14ac:dyDescent="0.2">
      <c r="AC5694" s="20"/>
      <c r="AE5694" s="22"/>
      <c r="AF5694" s="22"/>
    </row>
    <row r="5695" spans="29:32" x14ac:dyDescent="0.2">
      <c r="AC5695" s="20"/>
      <c r="AE5695" s="22"/>
      <c r="AF5695" s="22"/>
    </row>
    <row r="5696" spans="29:32" x14ac:dyDescent="0.2">
      <c r="AC5696" s="20"/>
      <c r="AE5696" s="22"/>
      <c r="AF5696" s="22"/>
    </row>
    <row r="5697" spans="29:32" x14ac:dyDescent="0.2">
      <c r="AC5697" s="20"/>
      <c r="AE5697" s="22"/>
      <c r="AF5697" s="22"/>
    </row>
    <row r="5698" spans="29:32" x14ac:dyDescent="0.2">
      <c r="AC5698" s="20"/>
      <c r="AE5698" s="22"/>
      <c r="AF5698" s="22"/>
    </row>
    <row r="5699" spans="29:32" x14ac:dyDescent="0.2">
      <c r="AC5699" s="20"/>
      <c r="AE5699" s="22"/>
      <c r="AF5699" s="22"/>
    </row>
    <row r="5700" spans="29:32" x14ac:dyDescent="0.2">
      <c r="AC5700" s="20"/>
      <c r="AE5700" s="22"/>
      <c r="AF5700" s="22"/>
    </row>
    <row r="5701" spans="29:32" x14ac:dyDescent="0.2">
      <c r="AC5701" s="20"/>
      <c r="AE5701" s="22"/>
      <c r="AF5701" s="22"/>
    </row>
    <row r="5702" spans="29:32" x14ac:dyDescent="0.2">
      <c r="AC5702" s="20"/>
      <c r="AE5702" s="22"/>
      <c r="AF5702" s="22"/>
    </row>
    <row r="5703" spans="29:32" x14ac:dyDescent="0.2">
      <c r="AC5703" s="20"/>
      <c r="AE5703" s="22"/>
      <c r="AF5703" s="22"/>
    </row>
    <row r="5704" spans="29:32" x14ac:dyDescent="0.2">
      <c r="AC5704" s="20"/>
      <c r="AE5704" s="22"/>
      <c r="AF5704" s="22"/>
    </row>
    <row r="5705" spans="29:32" x14ac:dyDescent="0.2">
      <c r="AC5705" s="20"/>
      <c r="AE5705" s="22"/>
      <c r="AF5705" s="22"/>
    </row>
    <row r="5706" spans="29:32" x14ac:dyDescent="0.2">
      <c r="AC5706" s="20"/>
      <c r="AE5706" s="22"/>
      <c r="AF5706" s="22"/>
    </row>
    <row r="5707" spans="29:32" x14ac:dyDescent="0.2">
      <c r="AC5707" s="20"/>
      <c r="AE5707" s="22"/>
      <c r="AF5707" s="22"/>
    </row>
    <row r="5708" spans="29:32" x14ac:dyDescent="0.2">
      <c r="AC5708" s="20"/>
      <c r="AE5708" s="22"/>
      <c r="AF5708" s="22"/>
    </row>
    <row r="5709" spans="29:32" x14ac:dyDescent="0.2">
      <c r="AC5709" s="20"/>
      <c r="AE5709" s="22"/>
      <c r="AF5709" s="22"/>
    </row>
    <row r="5710" spans="29:32" x14ac:dyDescent="0.2">
      <c r="AC5710" s="20"/>
      <c r="AE5710" s="22"/>
      <c r="AF5710" s="22"/>
    </row>
    <row r="5711" spans="29:32" x14ac:dyDescent="0.2">
      <c r="AC5711" s="20"/>
      <c r="AE5711" s="22"/>
      <c r="AF5711" s="22"/>
    </row>
    <row r="5712" spans="29:32" x14ac:dyDescent="0.2">
      <c r="AC5712" s="20"/>
      <c r="AE5712" s="22"/>
      <c r="AF5712" s="22"/>
    </row>
    <row r="5713" spans="29:32" x14ac:dyDescent="0.2">
      <c r="AC5713" s="20"/>
      <c r="AE5713" s="22"/>
      <c r="AF5713" s="22"/>
    </row>
    <row r="5714" spans="29:32" x14ac:dyDescent="0.2">
      <c r="AC5714" s="20"/>
      <c r="AE5714" s="22"/>
      <c r="AF5714" s="22"/>
    </row>
    <row r="5715" spans="29:32" x14ac:dyDescent="0.2">
      <c r="AC5715" s="20"/>
      <c r="AE5715" s="22"/>
      <c r="AF5715" s="22"/>
    </row>
    <row r="5716" spans="29:32" x14ac:dyDescent="0.2">
      <c r="AC5716" s="20"/>
      <c r="AE5716" s="22"/>
      <c r="AF5716" s="22"/>
    </row>
    <row r="5717" spans="29:32" x14ac:dyDescent="0.2">
      <c r="AC5717" s="20"/>
      <c r="AE5717" s="22"/>
      <c r="AF5717" s="22"/>
    </row>
    <row r="5718" spans="29:32" x14ac:dyDescent="0.2">
      <c r="AC5718" s="20"/>
      <c r="AE5718" s="22"/>
      <c r="AF5718" s="22"/>
    </row>
    <row r="5719" spans="29:32" x14ac:dyDescent="0.2">
      <c r="AC5719" s="20"/>
      <c r="AE5719" s="22"/>
      <c r="AF5719" s="22"/>
    </row>
    <row r="5720" spans="29:32" x14ac:dyDescent="0.2">
      <c r="AC5720" s="20"/>
      <c r="AE5720" s="22"/>
      <c r="AF5720" s="22"/>
    </row>
    <row r="5721" spans="29:32" x14ac:dyDescent="0.2">
      <c r="AC5721" s="20"/>
      <c r="AE5721" s="22"/>
      <c r="AF5721" s="22"/>
    </row>
    <row r="5722" spans="29:32" x14ac:dyDescent="0.2">
      <c r="AC5722" s="20"/>
      <c r="AE5722" s="22"/>
      <c r="AF5722" s="22"/>
    </row>
    <row r="5723" spans="29:32" x14ac:dyDescent="0.2">
      <c r="AC5723" s="20"/>
      <c r="AE5723" s="22"/>
      <c r="AF5723" s="22"/>
    </row>
    <row r="5724" spans="29:32" x14ac:dyDescent="0.2">
      <c r="AC5724" s="20"/>
      <c r="AE5724" s="22"/>
      <c r="AF5724" s="22"/>
    </row>
    <row r="5725" spans="29:32" x14ac:dyDescent="0.2">
      <c r="AC5725" s="20"/>
      <c r="AE5725" s="22"/>
      <c r="AF5725" s="22"/>
    </row>
    <row r="5726" spans="29:32" x14ac:dyDescent="0.2">
      <c r="AC5726" s="20"/>
      <c r="AE5726" s="22"/>
      <c r="AF5726" s="22"/>
    </row>
    <row r="5727" spans="29:32" x14ac:dyDescent="0.2">
      <c r="AC5727" s="20"/>
      <c r="AE5727" s="22"/>
      <c r="AF5727" s="22"/>
    </row>
    <row r="5728" spans="29:32" x14ac:dyDescent="0.2">
      <c r="AC5728" s="20"/>
      <c r="AE5728" s="22"/>
      <c r="AF5728" s="22"/>
    </row>
    <row r="5729" spans="29:32" x14ac:dyDescent="0.2">
      <c r="AC5729" s="20"/>
      <c r="AE5729" s="22"/>
      <c r="AF5729" s="22"/>
    </row>
    <row r="5730" spans="29:32" x14ac:dyDescent="0.2">
      <c r="AC5730" s="20"/>
      <c r="AE5730" s="22"/>
      <c r="AF5730" s="22"/>
    </row>
    <row r="5731" spans="29:32" x14ac:dyDescent="0.2">
      <c r="AC5731" s="20"/>
      <c r="AE5731" s="22"/>
      <c r="AF5731" s="22"/>
    </row>
    <row r="5732" spans="29:32" x14ac:dyDescent="0.2">
      <c r="AC5732" s="20"/>
      <c r="AE5732" s="22"/>
      <c r="AF5732" s="22"/>
    </row>
    <row r="5733" spans="29:32" x14ac:dyDescent="0.2">
      <c r="AC5733" s="20"/>
      <c r="AE5733" s="22"/>
      <c r="AF5733" s="22"/>
    </row>
    <row r="5734" spans="29:32" x14ac:dyDescent="0.2">
      <c r="AC5734" s="20"/>
      <c r="AE5734" s="22"/>
      <c r="AF5734" s="22"/>
    </row>
    <row r="5735" spans="29:32" x14ac:dyDescent="0.2">
      <c r="AC5735" s="20"/>
      <c r="AE5735" s="22"/>
      <c r="AF5735" s="22"/>
    </row>
    <row r="5736" spans="29:32" x14ac:dyDescent="0.2">
      <c r="AC5736" s="20"/>
      <c r="AE5736" s="22"/>
      <c r="AF5736" s="22"/>
    </row>
    <row r="5737" spans="29:32" x14ac:dyDescent="0.2">
      <c r="AC5737" s="20"/>
      <c r="AE5737" s="22"/>
      <c r="AF5737" s="22"/>
    </row>
    <row r="5738" spans="29:32" x14ac:dyDescent="0.2">
      <c r="AC5738" s="20"/>
      <c r="AE5738" s="22"/>
      <c r="AF5738" s="22"/>
    </row>
    <row r="5739" spans="29:32" x14ac:dyDescent="0.2">
      <c r="AC5739" s="20"/>
      <c r="AE5739" s="22"/>
      <c r="AF5739" s="22"/>
    </row>
    <row r="5740" spans="29:32" x14ac:dyDescent="0.2">
      <c r="AC5740" s="20"/>
      <c r="AE5740" s="22"/>
      <c r="AF5740" s="22"/>
    </row>
    <row r="5741" spans="29:32" x14ac:dyDescent="0.2">
      <c r="AC5741" s="20"/>
      <c r="AE5741" s="22"/>
      <c r="AF5741" s="22"/>
    </row>
    <row r="5742" spans="29:32" x14ac:dyDescent="0.2">
      <c r="AC5742" s="20"/>
      <c r="AE5742" s="22"/>
      <c r="AF5742" s="22"/>
    </row>
    <row r="5743" spans="29:32" x14ac:dyDescent="0.2">
      <c r="AC5743" s="20"/>
      <c r="AE5743" s="22"/>
      <c r="AF5743" s="22"/>
    </row>
    <row r="5744" spans="29:32" x14ac:dyDescent="0.2">
      <c r="AC5744" s="20"/>
      <c r="AE5744" s="22"/>
      <c r="AF5744" s="22"/>
    </row>
    <row r="5745" spans="29:32" x14ac:dyDescent="0.2">
      <c r="AC5745" s="20"/>
      <c r="AE5745" s="22"/>
      <c r="AF5745" s="22"/>
    </row>
    <row r="5746" spans="29:32" x14ac:dyDescent="0.2">
      <c r="AC5746" s="20"/>
      <c r="AE5746" s="22"/>
      <c r="AF5746" s="22"/>
    </row>
    <row r="5747" spans="29:32" x14ac:dyDescent="0.2">
      <c r="AC5747" s="20"/>
      <c r="AE5747" s="22"/>
      <c r="AF5747" s="22"/>
    </row>
    <row r="5748" spans="29:32" x14ac:dyDescent="0.2">
      <c r="AC5748" s="20"/>
      <c r="AE5748" s="22"/>
      <c r="AF5748" s="22"/>
    </row>
    <row r="5749" spans="29:32" x14ac:dyDescent="0.2">
      <c r="AC5749" s="20"/>
      <c r="AE5749" s="22"/>
      <c r="AF5749" s="22"/>
    </row>
    <row r="5750" spans="29:32" x14ac:dyDescent="0.2">
      <c r="AC5750" s="20"/>
      <c r="AE5750" s="22"/>
      <c r="AF5750" s="22"/>
    </row>
    <row r="5751" spans="29:32" x14ac:dyDescent="0.2">
      <c r="AC5751" s="20"/>
      <c r="AE5751" s="22"/>
      <c r="AF5751" s="22"/>
    </row>
    <row r="5752" spans="29:32" x14ac:dyDescent="0.2">
      <c r="AC5752" s="20"/>
      <c r="AE5752" s="22"/>
      <c r="AF5752" s="22"/>
    </row>
    <row r="5753" spans="29:32" x14ac:dyDescent="0.2">
      <c r="AC5753" s="20"/>
      <c r="AE5753" s="22"/>
      <c r="AF5753" s="22"/>
    </row>
    <row r="5754" spans="29:32" x14ac:dyDescent="0.2">
      <c r="AC5754" s="20"/>
      <c r="AE5754" s="22"/>
      <c r="AF5754" s="22"/>
    </row>
    <row r="5755" spans="29:32" x14ac:dyDescent="0.2">
      <c r="AC5755" s="20"/>
      <c r="AE5755" s="22"/>
      <c r="AF5755" s="22"/>
    </row>
    <row r="5756" spans="29:32" x14ac:dyDescent="0.2">
      <c r="AC5756" s="20"/>
      <c r="AE5756" s="22"/>
      <c r="AF5756" s="22"/>
    </row>
    <row r="5757" spans="29:32" x14ac:dyDescent="0.2">
      <c r="AC5757" s="20"/>
      <c r="AE5757" s="22"/>
      <c r="AF5757" s="22"/>
    </row>
    <row r="5758" spans="29:32" x14ac:dyDescent="0.2">
      <c r="AC5758" s="20"/>
      <c r="AE5758" s="22"/>
      <c r="AF5758" s="22"/>
    </row>
    <row r="5759" spans="29:32" x14ac:dyDescent="0.2">
      <c r="AC5759" s="20"/>
      <c r="AE5759" s="22"/>
      <c r="AF5759" s="22"/>
    </row>
    <row r="5760" spans="29:32" x14ac:dyDescent="0.2">
      <c r="AC5760" s="20"/>
      <c r="AE5760" s="22"/>
      <c r="AF5760" s="22"/>
    </row>
    <row r="5761" spans="29:32" x14ac:dyDescent="0.2">
      <c r="AC5761" s="20"/>
      <c r="AE5761" s="22"/>
      <c r="AF5761" s="22"/>
    </row>
    <row r="5762" spans="29:32" x14ac:dyDescent="0.2">
      <c r="AC5762" s="20"/>
      <c r="AE5762" s="22"/>
      <c r="AF5762" s="22"/>
    </row>
    <row r="5763" spans="29:32" x14ac:dyDescent="0.2">
      <c r="AC5763" s="20"/>
      <c r="AE5763" s="22"/>
      <c r="AF5763" s="22"/>
    </row>
    <row r="5764" spans="29:32" x14ac:dyDescent="0.2">
      <c r="AC5764" s="20"/>
      <c r="AE5764" s="22"/>
      <c r="AF5764" s="22"/>
    </row>
    <row r="5765" spans="29:32" x14ac:dyDescent="0.2">
      <c r="AC5765" s="20"/>
      <c r="AE5765" s="22"/>
      <c r="AF5765" s="22"/>
    </row>
    <row r="5766" spans="29:32" x14ac:dyDescent="0.2">
      <c r="AC5766" s="20"/>
      <c r="AE5766" s="22"/>
      <c r="AF5766" s="22"/>
    </row>
    <row r="5767" spans="29:32" x14ac:dyDescent="0.2">
      <c r="AC5767" s="20"/>
      <c r="AE5767" s="22"/>
      <c r="AF5767" s="22"/>
    </row>
    <row r="5768" spans="29:32" x14ac:dyDescent="0.2">
      <c r="AC5768" s="20"/>
      <c r="AE5768" s="22"/>
      <c r="AF5768" s="22"/>
    </row>
    <row r="5769" spans="29:32" x14ac:dyDescent="0.2">
      <c r="AC5769" s="20"/>
      <c r="AE5769" s="22"/>
      <c r="AF5769" s="22"/>
    </row>
    <row r="5770" spans="29:32" x14ac:dyDescent="0.2">
      <c r="AC5770" s="20"/>
      <c r="AE5770" s="22"/>
      <c r="AF5770" s="22"/>
    </row>
    <row r="5771" spans="29:32" x14ac:dyDescent="0.2">
      <c r="AC5771" s="20"/>
      <c r="AE5771" s="22"/>
      <c r="AF5771" s="22"/>
    </row>
    <row r="5772" spans="29:32" x14ac:dyDescent="0.2">
      <c r="AC5772" s="20"/>
      <c r="AE5772" s="22"/>
      <c r="AF5772" s="22"/>
    </row>
    <row r="5773" spans="29:32" x14ac:dyDescent="0.2">
      <c r="AC5773" s="20"/>
      <c r="AE5773" s="22"/>
      <c r="AF5773" s="22"/>
    </row>
    <row r="5774" spans="29:32" x14ac:dyDescent="0.2">
      <c r="AC5774" s="20"/>
      <c r="AE5774" s="22"/>
      <c r="AF5774" s="22"/>
    </row>
    <row r="5775" spans="29:32" x14ac:dyDescent="0.2">
      <c r="AC5775" s="20"/>
      <c r="AE5775" s="22"/>
      <c r="AF5775" s="22"/>
    </row>
    <row r="5776" spans="29:32" x14ac:dyDescent="0.2">
      <c r="AC5776" s="20"/>
      <c r="AE5776" s="22"/>
      <c r="AF5776" s="22"/>
    </row>
    <row r="5777" spans="29:32" x14ac:dyDescent="0.2">
      <c r="AC5777" s="20"/>
      <c r="AE5777" s="22"/>
      <c r="AF5777" s="22"/>
    </row>
    <row r="5778" spans="29:32" x14ac:dyDescent="0.2">
      <c r="AC5778" s="20"/>
      <c r="AE5778" s="22"/>
      <c r="AF5778" s="22"/>
    </row>
    <row r="5779" spans="29:32" x14ac:dyDescent="0.2">
      <c r="AC5779" s="20"/>
      <c r="AE5779" s="22"/>
      <c r="AF5779" s="22"/>
    </row>
    <row r="5780" spans="29:32" x14ac:dyDescent="0.2">
      <c r="AC5780" s="20"/>
      <c r="AE5780" s="22"/>
      <c r="AF5780" s="22"/>
    </row>
    <row r="5781" spans="29:32" x14ac:dyDescent="0.2">
      <c r="AC5781" s="20"/>
      <c r="AE5781" s="22"/>
      <c r="AF5781" s="22"/>
    </row>
    <row r="5782" spans="29:32" x14ac:dyDescent="0.2">
      <c r="AC5782" s="20"/>
      <c r="AE5782" s="22"/>
      <c r="AF5782" s="22"/>
    </row>
    <row r="5783" spans="29:32" x14ac:dyDescent="0.2">
      <c r="AC5783" s="20"/>
      <c r="AE5783" s="22"/>
      <c r="AF5783" s="22"/>
    </row>
    <row r="5784" spans="29:32" x14ac:dyDescent="0.2">
      <c r="AC5784" s="20"/>
      <c r="AE5784" s="22"/>
      <c r="AF5784" s="22"/>
    </row>
    <row r="5785" spans="29:32" x14ac:dyDescent="0.2">
      <c r="AC5785" s="20"/>
      <c r="AE5785" s="22"/>
      <c r="AF5785" s="22"/>
    </row>
    <row r="5786" spans="29:32" x14ac:dyDescent="0.2">
      <c r="AC5786" s="20"/>
      <c r="AE5786" s="22"/>
      <c r="AF5786" s="22"/>
    </row>
    <row r="5787" spans="29:32" x14ac:dyDescent="0.2">
      <c r="AC5787" s="20"/>
      <c r="AE5787" s="22"/>
      <c r="AF5787" s="22"/>
    </row>
    <row r="5788" spans="29:32" x14ac:dyDescent="0.2">
      <c r="AC5788" s="20"/>
      <c r="AE5788" s="22"/>
      <c r="AF5788" s="22"/>
    </row>
    <row r="5789" spans="29:32" x14ac:dyDescent="0.2">
      <c r="AC5789" s="20"/>
      <c r="AE5789" s="22"/>
      <c r="AF5789" s="22"/>
    </row>
    <row r="5790" spans="29:32" x14ac:dyDescent="0.2">
      <c r="AC5790" s="20"/>
      <c r="AE5790" s="22"/>
      <c r="AF5790" s="22"/>
    </row>
    <row r="5791" spans="29:32" x14ac:dyDescent="0.2">
      <c r="AC5791" s="20"/>
      <c r="AE5791" s="22"/>
      <c r="AF5791" s="22"/>
    </row>
    <row r="5792" spans="29:32" x14ac:dyDescent="0.2">
      <c r="AC5792" s="20"/>
      <c r="AE5792" s="22"/>
      <c r="AF5792" s="22"/>
    </row>
    <row r="5793" spans="29:32" x14ac:dyDescent="0.2">
      <c r="AC5793" s="20"/>
      <c r="AE5793" s="22"/>
      <c r="AF5793" s="22"/>
    </row>
    <row r="5794" spans="29:32" x14ac:dyDescent="0.2">
      <c r="AC5794" s="20"/>
      <c r="AE5794" s="22"/>
      <c r="AF5794" s="22"/>
    </row>
    <row r="5795" spans="29:32" x14ac:dyDescent="0.2">
      <c r="AC5795" s="20"/>
      <c r="AE5795" s="22"/>
      <c r="AF5795" s="22"/>
    </row>
    <row r="5796" spans="29:32" x14ac:dyDescent="0.2">
      <c r="AC5796" s="20"/>
      <c r="AE5796" s="22"/>
      <c r="AF5796" s="22"/>
    </row>
    <row r="5797" spans="29:32" x14ac:dyDescent="0.2">
      <c r="AC5797" s="20"/>
      <c r="AE5797" s="22"/>
      <c r="AF5797" s="22"/>
    </row>
    <row r="5798" spans="29:32" x14ac:dyDescent="0.2">
      <c r="AC5798" s="20"/>
      <c r="AE5798" s="22"/>
      <c r="AF5798" s="22"/>
    </row>
    <row r="5799" spans="29:32" x14ac:dyDescent="0.2">
      <c r="AC5799" s="20"/>
      <c r="AE5799" s="22"/>
      <c r="AF5799" s="22"/>
    </row>
    <row r="5800" spans="29:32" x14ac:dyDescent="0.2">
      <c r="AC5800" s="20"/>
      <c r="AE5800" s="22"/>
      <c r="AF5800" s="22"/>
    </row>
    <row r="5801" spans="29:32" x14ac:dyDescent="0.2">
      <c r="AC5801" s="20"/>
      <c r="AE5801" s="22"/>
      <c r="AF5801" s="22"/>
    </row>
    <row r="5802" spans="29:32" x14ac:dyDescent="0.2">
      <c r="AC5802" s="20"/>
      <c r="AE5802" s="22"/>
      <c r="AF5802" s="22"/>
    </row>
    <row r="5803" spans="29:32" x14ac:dyDescent="0.2">
      <c r="AC5803" s="20"/>
      <c r="AE5803" s="22"/>
      <c r="AF5803" s="22"/>
    </row>
    <row r="5804" spans="29:32" x14ac:dyDescent="0.2">
      <c r="AC5804" s="20"/>
      <c r="AE5804" s="22"/>
      <c r="AF5804" s="22"/>
    </row>
    <row r="5805" spans="29:32" x14ac:dyDescent="0.2">
      <c r="AC5805" s="20"/>
      <c r="AE5805" s="22"/>
      <c r="AF5805" s="22"/>
    </row>
    <row r="5806" spans="29:32" x14ac:dyDescent="0.2">
      <c r="AC5806" s="20"/>
      <c r="AE5806" s="22"/>
      <c r="AF5806" s="22"/>
    </row>
    <row r="5807" spans="29:32" x14ac:dyDescent="0.2">
      <c r="AC5807" s="20"/>
      <c r="AE5807" s="22"/>
      <c r="AF5807" s="22"/>
    </row>
    <row r="5808" spans="29:32" x14ac:dyDescent="0.2">
      <c r="AC5808" s="20"/>
      <c r="AE5808" s="22"/>
      <c r="AF5808" s="22"/>
    </row>
    <row r="5809" spans="29:32" x14ac:dyDescent="0.2">
      <c r="AC5809" s="20"/>
      <c r="AE5809" s="22"/>
      <c r="AF5809" s="22"/>
    </row>
    <row r="5810" spans="29:32" x14ac:dyDescent="0.2">
      <c r="AC5810" s="20"/>
      <c r="AE5810" s="22"/>
      <c r="AF5810" s="22"/>
    </row>
    <row r="5811" spans="29:32" x14ac:dyDescent="0.2">
      <c r="AC5811" s="20"/>
      <c r="AE5811" s="22"/>
      <c r="AF5811" s="22"/>
    </row>
    <row r="5812" spans="29:32" x14ac:dyDescent="0.2">
      <c r="AC5812" s="20"/>
      <c r="AE5812" s="22"/>
      <c r="AF5812" s="22"/>
    </row>
    <row r="5813" spans="29:32" x14ac:dyDescent="0.2">
      <c r="AC5813" s="20"/>
      <c r="AE5813" s="22"/>
      <c r="AF5813" s="22"/>
    </row>
    <row r="5814" spans="29:32" x14ac:dyDescent="0.2">
      <c r="AC5814" s="20"/>
      <c r="AE5814" s="22"/>
      <c r="AF5814" s="22"/>
    </row>
    <row r="5815" spans="29:32" x14ac:dyDescent="0.2">
      <c r="AC5815" s="20"/>
      <c r="AE5815" s="22"/>
      <c r="AF5815" s="22"/>
    </row>
    <row r="5816" spans="29:32" x14ac:dyDescent="0.2">
      <c r="AC5816" s="20"/>
      <c r="AE5816" s="22"/>
      <c r="AF5816" s="22"/>
    </row>
    <row r="5817" spans="29:32" x14ac:dyDescent="0.2">
      <c r="AC5817" s="20"/>
      <c r="AE5817" s="22"/>
      <c r="AF5817" s="22"/>
    </row>
    <row r="5818" spans="29:32" x14ac:dyDescent="0.2">
      <c r="AC5818" s="20"/>
      <c r="AE5818" s="22"/>
      <c r="AF5818" s="22"/>
    </row>
    <row r="5819" spans="29:32" x14ac:dyDescent="0.2">
      <c r="AC5819" s="20"/>
      <c r="AE5819" s="22"/>
      <c r="AF5819" s="22"/>
    </row>
    <row r="5820" spans="29:32" x14ac:dyDescent="0.2">
      <c r="AC5820" s="20"/>
      <c r="AE5820" s="22"/>
      <c r="AF5820" s="22"/>
    </row>
    <row r="5821" spans="29:32" x14ac:dyDescent="0.2">
      <c r="AC5821" s="20"/>
      <c r="AE5821" s="22"/>
      <c r="AF5821" s="22"/>
    </row>
    <row r="5822" spans="29:32" x14ac:dyDescent="0.2">
      <c r="AC5822" s="20"/>
      <c r="AE5822" s="22"/>
      <c r="AF5822" s="22"/>
    </row>
    <row r="5823" spans="29:32" x14ac:dyDescent="0.2">
      <c r="AC5823" s="20"/>
      <c r="AE5823" s="22"/>
      <c r="AF5823" s="22"/>
    </row>
    <row r="5824" spans="29:32" x14ac:dyDescent="0.2">
      <c r="AC5824" s="20"/>
      <c r="AE5824" s="22"/>
      <c r="AF5824" s="22"/>
    </row>
    <row r="5825" spans="29:32" x14ac:dyDescent="0.2">
      <c r="AC5825" s="20"/>
      <c r="AE5825" s="22"/>
      <c r="AF5825" s="22"/>
    </row>
    <row r="5826" spans="29:32" x14ac:dyDescent="0.2">
      <c r="AC5826" s="20"/>
      <c r="AE5826" s="22"/>
      <c r="AF5826" s="22"/>
    </row>
    <row r="5827" spans="29:32" x14ac:dyDescent="0.2">
      <c r="AC5827" s="20"/>
      <c r="AE5827" s="22"/>
      <c r="AF5827" s="22"/>
    </row>
    <row r="5828" spans="29:32" x14ac:dyDescent="0.2">
      <c r="AC5828" s="20"/>
      <c r="AE5828" s="22"/>
      <c r="AF5828" s="22"/>
    </row>
    <row r="5829" spans="29:32" x14ac:dyDescent="0.2">
      <c r="AC5829" s="20"/>
      <c r="AE5829" s="22"/>
      <c r="AF5829" s="22"/>
    </row>
    <row r="5830" spans="29:32" x14ac:dyDescent="0.2">
      <c r="AC5830" s="20"/>
      <c r="AE5830" s="22"/>
      <c r="AF5830" s="22"/>
    </row>
    <row r="5831" spans="29:32" x14ac:dyDescent="0.2">
      <c r="AC5831" s="20"/>
      <c r="AE5831" s="22"/>
      <c r="AF5831" s="22"/>
    </row>
    <row r="5832" spans="29:32" x14ac:dyDescent="0.2">
      <c r="AC5832" s="20"/>
      <c r="AE5832" s="22"/>
      <c r="AF5832" s="22"/>
    </row>
    <row r="5833" spans="29:32" x14ac:dyDescent="0.2">
      <c r="AC5833" s="20"/>
      <c r="AE5833" s="22"/>
      <c r="AF5833" s="22"/>
    </row>
    <row r="5834" spans="29:32" x14ac:dyDescent="0.2">
      <c r="AC5834" s="20"/>
      <c r="AE5834" s="22"/>
      <c r="AF5834" s="22"/>
    </row>
    <row r="5835" spans="29:32" x14ac:dyDescent="0.2">
      <c r="AC5835" s="20"/>
      <c r="AE5835" s="22"/>
      <c r="AF5835" s="22"/>
    </row>
    <row r="5836" spans="29:32" x14ac:dyDescent="0.2">
      <c r="AC5836" s="20"/>
      <c r="AE5836" s="22"/>
      <c r="AF5836" s="22"/>
    </row>
    <row r="5837" spans="29:32" x14ac:dyDescent="0.2">
      <c r="AC5837" s="20"/>
      <c r="AE5837" s="22"/>
      <c r="AF5837" s="22"/>
    </row>
    <row r="5838" spans="29:32" x14ac:dyDescent="0.2">
      <c r="AC5838" s="20"/>
      <c r="AE5838" s="22"/>
      <c r="AF5838" s="22"/>
    </row>
    <row r="5839" spans="29:32" x14ac:dyDescent="0.2">
      <c r="AC5839" s="20"/>
      <c r="AE5839" s="22"/>
      <c r="AF5839" s="22"/>
    </row>
    <row r="5840" spans="29:32" x14ac:dyDescent="0.2">
      <c r="AC5840" s="20"/>
      <c r="AE5840" s="22"/>
      <c r="AF5840" s="22"/>
    </row>
    <row r="5841" spans="29:32" x14ac:dyDescent="0.2">
      <c r="AC5841" s="20"/>
      <c r="AE5841" s="22"/>
      <c r="AF5841" s="22"/>
    </row>
    <row r="5842" spans="29:32" x14ac:dyDescent="0.2">
      <c r="AC5842" s="20"/>
      <c r="AE5842" s="22"/>
      <c r="AF5842" s="22"/>
    </row>
    <row r="5843" spans="29:32" x14ac:dyDescent="0.2">
      <c r="AC5843" s="20"/>
      <c r="AE5843" s="22"/>
      <c r="AF5843" s="22"/>
    </row>
    <row r="5844" spans="29:32" x14ac:dyDescent="0.2">
      <c r="AC5844" s="20"/>
      <c r="AE5844" s="22"/>
      <c r="AF5844" s="22"/>
    </row>
    <row r="5845" spans="29:32" x14ac:dyDescent="0.2">
      <c r="AC5845" s="20"/>
      <c r="AE5845" s="22"/>
      <c r="AF5845" s="22"/>
    </row>
    <row r="5846" spans="29:32" x14ac:dyDescent="0.2">
      <c r="AC5846" s="20"/>
      <c r="AE5846" s="22"/>
      <c r="AF5846" s="22"/>
    </row>
    <row r="5847" spans="29:32" x14ac:dyDescent="0.2">
      <c r="AC5847" s="20"/>
      <c r="AE5847" s="22"/>
      <c r="AF5847" s="22"/>
    </row>
    <row r="5848" spans="29:32" x14ac:dyDescent="0.2">
      <c r="AC5848" s="20"/>
      <c r="AE5848" s="22"/>
      <c r="AF5848" s="22"/>
    </row>
    <row r="5849" spans="29:32" x14ac:dyDescent="0.2">
      <c r="AC5849" s="20"/>
      <c r="AE5849" s="22"/>
      <c r="AF5849" s="22"/>
    </row>
    <row r="5850" spans="29:32" x14ac:dyDescent="0.2">
      <c r="AC5850" s="20"/>
      <c r="AE5850" s="22"/>
      <c r="AF5850" s="22"/>
    </row>
    <row r="5851" spans="29:32" x14ac:dyDescent="0.2">
      <c r="AC5851" s="20"/>
      <c r="AE5851" s="22"/>
      <c r="AF5851" s="22"/>
    </row>
    <row r="5852" spans="29:32" x14ac:dyDescent="0.2">
      <c r="AC5852" s="20"/>
      <c r="AE5852" s="22"/>
      <c r="AF5852" s="22"/>
    </row>
    <row r="5853" spans="29:32" x14ac:dyDescent="0.2">
      <c r="AC5853" s="20"/>
      <c r="AE5853" s="22"/>
      <c r="AF5853" s="22"/>
    </row>
    <row r="5854" spans="29:32" x14ac:dyDescent="0.2">
      <c r="AC5854" s="20"/>
      <c r="AE5854" s="22"/>
      <c r="AF5854" s="22"/>
    </row>
    <row r="5855" spans="29:32" x14ac:dyDescent="0.2">
      <c r="AC5855" s="20"/>
      <c r="AE5855" s="22"/>
      <c r="AF5855" s="22"/>
    </row>
    <row r="5856" spans="29:32" x14ac:dyDescent="0.2">
      <c r="AC5856" s="20"/>
      <c r="AE5856" s="22"/>
      <c r="AF5856" s="22"/>
    </row>
    <row r="5857" spans="29:32" x14ac:dyDescent="0.2">
      <c r="AC5857" s="20"/>
      <c r="AE5857" s="22"/>
      <c r="AF5857" s="22"/>
    </row>
    <row r="5858" spans="29:32" x14ac:dyDescent="0.2">
      <c r="AC5858" s="20"/>
      <c r="AE5858" s="22"/>
      <c r="AF5858" s="22"/>
    </row>
    <row r="5859" spans="29:32" x14ac:dyDescent="0.2">
      <c r="AC5859" s="20"/>
      <c r="AE5859" s="22"/>
      <c r="AF5859" s="22"/>
    </row>
    <row r="5860" spans="29:32" x14ac:dyDescent="0.2">
      <c r="AC5860" s="20"/>
      <c r="AE5860" s="22"/>
      <c r="AF5860" s="22"/>
    </row>
    <row r="5861" spans="29:32" x14ac:dyDescent="0.2">
      <c r="AC5861" s="20"/>
      <c r="AE5861" s="22"/>
      <c r="AF5861" s="22"/>
    </row>
    <row r="5862" spans="29:32" x14ac:dyDescent="0.2">
      <c r="AC5862" s="20"/>
      <c r="AE5862" s="22"/>
      <c r="AF5862" s="22"/>
    </row>
    <row r="5863" spans="29:32" x14ac:dyDescent="0.2">
      <c r="AC5863" s="20"/>
      <c r="AE5863" s="22"/>
      <c r="AF5863" s="22"/>
    </row>
    <row r="5864" spans="29:32" x14ac:dyDescent="0.2">
      <c r="AC5864" s="20"/>
      <c r="AE5864" s="22"/>
      <c r="AF5864" s="22"/>
    </row>
    <row r="5865" spans="29:32" x14ac:dyDescent="0.2">
      <c r="AC5865" s="20"/>
      <c r="AE5865" s="22"/>
      <c r="AF5865" s="22"/>
    </row>
    <row r="5866" spans="29:32" x14ac:dyDescent="0.2">
      <c r="AC5866" s="20"/>
      <c r="AE5866" s="22"/>
      <c r="AF5866" s="22"/>
    </row>
    <row r="5867" spans="29:32" x14ac:dyDescent="0.2">
      <c r="AC5867" s="20"/>
      <c r="AE5867" s="22"/>
      <c r="AF5867" s="22"/>
    </row>
    <row r="5868" spans="29:32" x14ac:dyDescent="0.2">
      <c r="AC5868" s="20"/>
      <c r="AE5868" s="22"/>
      <c r="AF5868" s="22"/>
    </row>
    <row r="5869" spans="29:32" x14ac:dyDescent="0.2">
      <c r="AC5869" s="20"/>
      <c r="AE5869" s="22"/>
      <c r="AF5869" s="22"/>
    </row>
    <row r="5870" spans="29:32" x14ac:dyDescent="0.2">
      <c r="AC5870" s="20"/>
      <c r="AE5870" s="22"/>
      <c r="AF5870" s="22"/>
    </row>
    <row r="5871" spans="29:32" x14ac:dyDescent="0.2">
      <c r="AC5871" s="20"/>
      <c r="AE5871" s="22"/>
      <c r="AF5871" s="22"/>
    </row>
    <row r="5872" spans="29:32" x14ac:dyDescent="0.2">
      <c r="AC5872" s="20"/>
      <c r="AE5872" s="22"/>
      <c r="AF5872" s="22"/>
    </row>
    <row r="5873" spans="29:32" x14ac:dyDescent="0.2">
      <c r="AC5873" s="20"/>
      <c r="AE5873" s="22"/>
      <c r="AF5873" s="22"/>
    </row>
    <row r="5874" spans="29:32" x14ac:dyDescent="0.2">
      <c r="AC5874" s="20"/>
      <c r="AE5874" s="22"/>
      <c r="AF5874" s="22"/>
    </row>
    <row r="5875" spans="29:32" x14ac:dyDescent="0.2">
      <c r="AC5875" s="20"/>
      <c r="AE5875" s="22"/>
      <c r="AF5875" s="22"/>
    </row>
    <row r="5876" spans="29:32" x14ac:dyDescent="0.2">
      <c r="AC5876" s="20"/>
      <c r="AE5876" s="22"/>
      <c r="AF5876" s="22"/>
    </row>
    <row r="5877" spans="29:32" x14ac:dyDescent="0.2">
      <c r="AC5877" s="20"/>
      <c r="AE5877" s="22"/>
      <c r="AF5877" s="22"/>
    </row>
    <row r="5878" spans="29:32" x14ac:dyDescent="0.2">
      <c r="AC5878" s="20"/>
      <c r="AE5878" s="22"/>
      <c r="AF5878" s="22"/>
    </row>
    <row r="5879" spans="29:32" x14ac:dyDescent="0.2">
      <c r="AC5879" s="20"/>
      <c r="AE5879" s="22"/>
      <c r="AF5879" s="22"/>
    </row>
    <row r="5880" spans="29:32" x14ac:dyDescent="0.2">
      <c r="AC5880" s="20"/>
      <c r="AE5880" s="22"/>
      <c r="AF5880" s="22"/>
    </row>
    <row r="5881" spans="29:32" x14ac:dyDescent="0.2">
      <c r="AC5881" s="20"/>
      <c r="AE5881" s="22"/>
      <c r="AF5881" s="22"/>
    </row>
    <row r="5882" spans="29:32" x14ac:dyDescent="0.2">
      <c r="AC5882" s="20"/>
      <c r="AE5882" s="22"/>
      <c r="AF5882" s="22"/>
    </row>
    <row r="5883" spans="29:32" x14ac:dyDescent="0.2">
      <c r="AC5883" s="20"/>
      <c r="AE5883" s="22"/>
      <c r="AF5883" s="22"/>
    </row>
    <row r="5884" spans="29:32" x14ac:dyDescent="0.2">
      <c r="AC5884" s="20"/>
      <c r="AE5884" s="22"/>
      <c r="AF5884" s="22"/>
    </row>
    <row r="5885" spans="29:32" x14ac:dyDescent="0.2">
      <c r="AC5885" s="20"/>
      <c r="AE5885" s="22"/>
      <c r="AF5885" s="22"/>
    </row>
    <row r="5886" spans="29:32" x14ac:dyDescent="0.2">
      <c r="AC5886" s="20"/>
      <c r="AE5886" s="22"/>
      <c r="AF5886" s="22"/>
    </row>
    <row r="5887" spans="29:32" x14ac:dyDescent="0.2">
      <c r="AC5887" s="20"/>
      <c r="AE5887" s="22"/>
      <c r="AF5887" s="22"/>
    </row>
    <row r="5888" spans="29:32" x14ac:dyDescent="0.2">
      <c r="AC5888" s="20"/>
      <c r="AE5888" s="22"/>
      <c r="AF5888" s="22"/>
    </row>
    <row r="5889" spans="29:32" x14ac:dyDescent="0.2">
      <c r="AC5889" s="20"/>
      <c r="AE5889" s="22"/>
      <c r="AF5889" s="22"/>
    </row>
    <row r="5890" spans="29:32" x14ac:dyDescent="0.2">
      <c r="AC5890" s="20"/>
      <c r="AE5890" s="22"/>
      <c r="AF5890" s="22"/>
    </row>
    <row r="5891" spans="29:32" x14ac:dyDescent="0.2">
      <c r="AC5891" s="20"/>
      <c r="AE5891" s="22"/>
      <c r="AF5891" s="22"/>
    </row>
    <row r="5892" spans="29:32" x14ac:dyDescent="0.2">
      <c r="AC5892" s="20"/>
      <c r="AE5892" s="22"/>
      <c r="AF5892" s="22"/>
    </row>
    <row r="5893" spans="29:32" x14ac:dyDescent="0.2">
      <c r="AC5893" s="20"/>
      <c r="AE5893" s="22"/>
      <c r="AF5893" s="22"/>
    </row>
    <row r="5894" spans="29:32" x14ac:dyDescent="0.2">
      <c r="AC5894" s="20"/>
      <c r="AE5894" s="22"/>
      <c r="AF5894" s="22"/>
    </row>
    <row r="5895" spans="29:32" x14ac:dyDescent="0.2">
      <c r="AC5895" s="20"/>
      <c r="AE5895" s="22"/>
      <c r="AF5895" s="22"/>
    </row>
    <row r="5896" spans="29:32" x14ac:dyDescent="0.2">
      <c r="AC5896" s="20"/>
      <c r="AE5896" s="22"/>
      <c r="AF5896" s="22"/>
    </row>
    <row r="5897" spans="29:32" x14ac:dyDescent="0.2">
      <c r="AC5897" s="20"/>
      <c r="AE5897" s="22"/>
      <c r="AF5897" s="22"/>
    </row>
    <row r="5898" spans="29:32" x14ac:dyDescent="0.2">
      <c r="AC5898" s="20"/>
      <c r="AE5898" s="22"/>
      <c r="AF5898" s="22"/>
    </row>
    <row r="5899" spans="29:32" x14ac:dyDescent="0.2">
      <c r="AC5899" s="20"/>
      <c r="AE5899" s="22"/>
      <c r="AF5899" s="22"/>
    </row>
    <row r="5900" spans="29:32" x14ac:dyDescent="0.2">
      <c r="AC5900" s="20"/>
      <c r="AE5900" s="22"/>
      <c r="AF5900" s="22"/>
    </row>
    <row r="5901" spans="29:32" x14ac:dyDescent="0.2">
      <c r="AC5901" s="20"/>
      <c r="AE5901" s="22"/>
      <c r="AF5901" s="22"/>
    </row>
    <row r="5902" spans="29:32" x14ac:dyDescent="0.2">
      <c r="AC5902" s="20"/>
      <c r="AE5902" s="22"/>
      <c r="AF5902" s="22"/>
    </row>
    <row r="5903" spans="29:32" x14ac:dyDescent="0.2">
      <c r="AC5903" s="20"/>
      <c r="AE5903" s="22"/>
      <c r="AF5903" s="22"/>
    </row>
    <row r="5904" spans="29:32" x14ac:dyDescent="0.2">
      <c r="AC5904" s="20"/>
      <c r="AE5904" s="22"/>
      <c r="AF5904" s="22"/>
    </row>
    <row r="5905" spans="29:32" x14ac:dyDescent="0.2">
      <c r="AC5905" s="20"/>
      <c r="AE5905" s="22"/>
      <c r="AF5905" s="22"/>
    </row>
    <row r="5906" spans="29:32" x14ac:dyDescent="0.2">
      <c r="AC5906" s="20"/>
      <c r="AE5906" s="22"/>
      <c r="AF5906" s="22"/>
    </row>
    <row r="5907" spans="29:32" x14ac:dyDescent="0.2">
      <c r="AC5907" s="20"/>
      <c r="AE5907" s="22"/>
      <c r="AF5907" s="22"/>
    </row>
    <row r="5908" spans="29:32" x14ac:dyDescent="0.2">
      <c r="AC5908" s="20"/>
      <c r="AE5908" s="22"/>
      <c r="AF5908" s="22"/>
    </row>
    <row r="5909" spans="29:32" x14ac:dyDescent="0.2">
      <c r="AC5909" s="20"/>
      <c r="AE5909" s="22"/>
      <c r="AF5909" s="22"/>
    </row>
    <row r="5910" spans="29:32" x14ac:dyDescent="0.2">
      <c r="AC5910" s="20"/>
      <c r="AE5910" s="22"/>
      <c r="AF5910" s="22"/>
    </row>
    <row r="5911" spans="29:32" x14ac:dyDescent="0.2">
      <c r="AC5911" s="20"/>
      <c r="AE5911" s="22"/>
      <c r="AF5911" s="22"/>
    </row>
    <row r="5912" spans="29:32" x14ac:dyDescent="0.2">
      <c r="AC5912" s="20"/>
      <c r="AE5912" s="22"/>
      <c r="AF5912" s="22"/>
    </row>
    <row r="5913" spans="29:32" x14ac:dyDescent="0.2">
      <c r="AC5913" s="20"/>
      <c r="AE5913" s="22"/>
      <c r="AF5913" s="22"/>
    </row>
    <row r="5914" spans="29:32" x14ac:dyDescent="0.2">
      <c r="AC5914" s="20"/>
      <c r="AE5914" s="22"/>
      <c r="AF5914" s="22"/>
    </row>
    <row r="5915" spans="29:32" x14ac:dyDescent="0.2">
      <c r="AC5915" s="20"/>
      <c r="AE5915" s="22"/>
      <c r="AF5915" s="22"/>
    </row>
    <row r="5916" spans="29:32" x14ac:dyDescent="0.2">
      <c r="AC5916" s="20"/>
      <c r="AE5916" s="22"/>
      <c r="AF5916" s="22"/>
    </row>
    <row r="5917" spans="29:32" x14ac:dyDescent="0.2">
      <c r="AC5917" s="20"/>
      <c r="AE5917" s="22"/>
      <c r="AF5917" s="22"/>
    </row>
    <row r="5918" spans="29:32" x14ac:dyDescent="0.2">
      <c r="AC5918" s="20"/>
      <c r="AE5918" s="22"/>
      <c r="AF5918" s="22"/>
    </row>
    <row r="5919" spans="29:32" x14ac:dyDescent="0.2">
      <c r="AC5919" s="20"/>
      <c r="AE5919" s="22"/>
      <c r="AF5919" s="22"/>
    </row>
    <row r="5920" spans="29:32" x14ac:dyDescent="0.2">
      <c r="AC5920" s="20"/>
      <c r="AE5920" s="22"/>
      <c r="AF5920" s="22"/>
    </row>
    <row r="5921" spans="29:32" x14ac:dyDescent="0.2">
      <c r="AC5921" s="20"/>
      <c r="AE5921" s="22"/>
      <c r="AF5921" s="22"/>
    </row>
    <row r="5922" spans="29:32" x14ac:dyDescent="0.2">
      <c r="AC5922" s="20"/>
      <c r="AE5922" s="22"/>
      <c r="AF5922" s="22"/>
    </row>
    <row r="5923" spans="29:32" x14ac:dyDescent="0.2">
      <c r="AC5923" s="20"/>
      <c r="AE5923" s="22"/>
      <c r="AF5923" s="22"/>
    </row>
    <row r="5924" spans="29:32" x14ac:dyDescent="0.2">
      <c r="AC5924" s="20"/>
      <c r="AE5924" s="22"/>
      <c r="AF5924" s="22"/>
    </row>
    <row r="5925" spans="29:32" x14ac:dyDescent="0.2">
      <c r="AC5925" s="20"/>
      <c r="AE5925" s="22"/>
      <c r="AF5925" s="22"/>
    </row>
    <row r="5926" spans="29:32" x14ac:dyDescent="0.2">
      <c r="AC5926" s="20"/>
      <c r="AE5926" s="22"/>
      <c r="AF5926" s="22"/>
    </row>
    <row r="5927" spans="29:32" x14ac:dyDescent="0.2">
      <c r="AC5927" s="20"/>
      <c r="AE5927" s="22"/>
      <c r="AF5927" s="22"/>
    </row>
    <row r="5928" spans="29:32" x14ac:dyDescent="0.2">
      <c r="AC5928" s="20"/>
      <c r="AE5928" s="22"/>
      <c r="AF5928" s="22"/>
    </row>
    <row r="5929" spans="29:32" x14ac:dyDescent="0.2">
      <c r="AC5929" s="20"/>
      <c r="AE5929" s="22"/>
      <c r="AF5929" s="22"/>
    </row>
    <row r="5930" spans="29:32" x14ac:dyDescent="0.2">
      <c r="AC5930" s="20"/>
      <c r="AE5930" s="22"/>
      <c r="AF5930" s="22"/>
    </row>
    <row r="5931" spans="29:32" x14ac:dyDescent="0.2">
      <c r="AC5931" s="20"/>
      <c r="AE5931" s="22"/>
      <c r="AF5931" s="22"/>
    </row>
    <row r="5932" spans="29:32" x14ac:dyDescent="0.2">
      <c r="AC5932" s="20"/>
      <c r="AE5932" s="22"/>
      <c r="AF5932" s="22"/>
    </row>
    <row r="5933" spans="29:32" x14ac:dyDescent="0.2">
      <c r="AC5933" s="20"/>
      <c r="AE5933" s="22"/>
      <c r="AF5933" s="22"/>
    </row>
    <row r="5934" spans="29:32" x14ac:dyDescent="0.2">
      <c r="AC5934" s="20"/>
      <c r="AE5934" s="22"/>
      <c r="AF5934" s="22"/>
    </row>
    <row r="5935" spans="29:32" x14ac:dyDescent="0.2">
      <c r="AC5935" s="20"/>
      <c r="AE5935" s="22"/>
      <c r="AF5935" s="22"/>
    </row>
    <row r="5936" spans="29:32" x14ac:dyDescent="0.2">
      <c r="AC5936" s="20"/>
      <c r="AE5936" s="22"/>
      <c r="AF5936" s="22"/>
    </row>
    <row r="5937" spans="29:32" x14ac:dyDescent="0.2">
      <c r="AC5937" s="20"/>
      <c r="AE5937" s="22"/>
      <c r="AF5937" s="22"/>
    </row>
    <row r="5938" spans="29:32" x14ac:dyDescent="0.2">
      <c r="AC5938" s="20"/>
      <c r="AE5938" s="22"/>
      <c r="AF5938" s="22"/>
    </row>
    <row r="5939" spans="29:32" x14ac:dyDescent="0.2">
      <c r="AC5939" s="20"/>
      <c r="AE5939" s="22"/>
      <c r="AF5939" s="22"/>
    </row>
    <row r="5940" spans="29:32" x14ac:dyDescent="0.2">
      <c r="AC5940" s="20"/>
      <c r="AE5940" s="22"/>
      <c r="AF5940" s="22"/>
    </row>
    <row r="5941" spans="29:32" x14ac:dyDescent="0.2">
      <c r="AC5941" s="20"/>
      <c r="AE5941" s="22"/>
      <c r="AF5941" s="22"/>
    </row>
    <row r="5942" spans="29:32" x14ac:dyDescent="0.2">
      <c r="AC5942" s="20"/>
      <c r="AE5942" s="22"/>
      <c r="AF5942" s="22"/>
    </row>
    <row r="5943" spans="29:32" x14ac:dyDescent="0.2">
      <c r="AC5943" s="20"/>
      <c r="AE5943" s="22"/>
      <c r="AF5943" s="22"/>
    </row>
    <row r="5944" spans="29:32" x14ac:dyDescent="0.2">
      <c r="AC5944" s="20"/>
      <c r="AE5944" s="22"/>
      <c r="AF5944" s="22"/>
    </row>
    <row r="5945" spans="29:32" x14ac:dyDescent="0.2">
      <c r="AC5945" s="20"/>
      <c r="AE5945" s="22"/>
      <c r="AF5945" s="22"/>
    </row>
    <row r="5946" spans="29:32" x14ac:dyDescent="0.2">
      <c r="AC5946" s="20"/>
      <c r="AE5946" s="22"/>
      <c r="AF5946" s="22"/>
    </row>
    <row r="5947" spans="29:32" x14ac:dyDescent="0.2">
      <c r="AC5947" s="20"/>
      <c r="AE5947" s="22"/>
      <c r="AF5947" s="22"/>
    </row>
    <row r="5948" spans="29:32" x14ac:dyDescent="0.2">
      <c r="AC5948" s="20"/>
      <c r="AE5948" s="22"/>
      <c r="AF5948" s="22"/>
    </row>
    <row r="5949" spans="29:32" x14ac:dyDescent="0.2">
      <c r="AC5949" s="20"/>
      <c r="AE5949" s="22"/>
      <c r="AF5949" s="22"/>
    </row>
    <row r="5950" spans="29:32" x14ac:dyDescent="0.2">
      <c r="AC5950" s="20"/>
      <c r="AE5950" s="22"/>
      <c r="AF5950" s="22"/>
    </row>
    <row r="5951" spans="29:32" x14ac:dyDescent="0.2">
      <c r="AC5951" s="20"/>
      <c r="AE5951" s="22"/>
      <c r="AF5951" s="22"/>
    </row>
    <row r="5952" spans="29:32" x14ac:dyDescent="0.2">
      <c r="AC5952" s="20"/>
      <c r="AE5952" s="22"/>
      <c r="AF5952" s="22"/>
    </row>
    <row r="5953" spans="29:32" x14ac:dyDescent="0.2">
      <c r="AC5953" s="20"/>
      <c r="AE5953" s="22"/>
      <c r="AF5953" s="22"/>
    </row>
    <row r="5954" spans="29:32" x14ac:dyDescent="0.2">
      <c r="AC5954" s="20"/>
      <c r="AE5954" s="22"/>
      <c r="AF5954" s="22"/>
    </row>
    <row r="5955" spans="29:32" x14ac:dyDescent="0.2">
      <c r="AC5955" s="20"/>
      <c r="AE5955" s="22"/>
      <c r="AF5955" s="22"/>
    </row>
    <row r="5956" spans="29:32" x14ac:dyDescent="0.2">
      <c r="AC5956" s="20"/>
      <c r="AE5956" s="22"/>
      <c r="AF5956" s="22"/>
    </row>
    <row r="5957" spans="29:32" x14ac:dyDescent="0.2">
      <c r="AC5957" s="20"/>
      <c r="AE5957" s="22"/>
      <c r="AF5957" s="22"/>
    </row>
    <row r="5958" spans="29:32" x14ac:dyDescent="0.2">
      <c r="AC5958" s="20"/>
      <c r="AE5958" s="22"/>
      <c r="AF5958" s="22"/>
    </row>
    <row r="5959" spans="29:32" x14ac:dyDescent="0.2">
      <c r="AC5959" s="20"/>
      <c r="AE5959" s="22"/>
      <c r="AF5959" s="22"/>
    </row>
    <row r="5960" spans="29:32" x14ac:dyDescent="0.2">
      <c r="AC5960" s="20"/>
      <c r="AE5960" s="22"/>
      <c r="AF5960" s="22"/>
    </row>
    <row r="5961" spans="29:32" x14ac:dyDescent="0.2">
      <c r="AC5961" s="20"/>
      <c r="AE5961" s="22"/>
      <c r="AF5961" s="22"/>
    </row>
    <row r="5962" spans="29:32" x14ac:dyDescent="0.2">
      <c r="AC5962" s="20"/>
      <c r="AE5962" s="22"/>
      <c r="AF5962" s="22"/>
    </row>
    <row r="5963" spans="29:32" x14ac:dyDescent="0.2">
      <c r="AC5963" s="20"/>
      <c r="AE5963" s="22"/>
      <c r="AF5963" s="22"/>
    </row>
    <row r="5964" spans="29:32" x14ac:dyDescent="0.2">
      <c r="AC5964" s="20"/>
      <c r="AE5964" s="22"/>
      <c r="AF5964" s="22"/>
    </row>
    <row r="5965" spans="29:32" x14ac:dyDescent="0.2">
      <c r="AC5965" s="20"/>
      <c r="AE5965" s="22"/>
      <c r="AF5965" s="22"/>
    </row>
    <row r="5966" spans="29:32" x14ac:dyDescent="0.2">
      <c r="AC5966" s="20"/>
      <c r="AE5966" s="22"/>
      <c r="AF5966" s="22"/>
    </row>
    <row r="5967" spans="29:32" x14ac:dyDescent="0.2">
      <c r="AC5967" s="20"/>
      <c r="AE5967" s="22"/>
      <c r="AF5967" s="22"/>
    </row>
    <row r="5968" spans="29:32" x14ac:dyDescent="0.2">
      <c r="AC5968" s="20"/>
      <c r="AE5968" s="22"/>
      <c r="AF5968" s="22"/>
    </row>
    <row r="5969" spans="29:32" x14ac:dyDescent="0.2">
      <c r="AC5969" s="20"/>
      <c r="AE5969" s="22"/>
      <c r="AF5969" s="22"/>
    </row>
    <row r="5970" spans="29:32" x14ac:dyDescent="0.2">
      <c r="AC5970" s="20"/>
      <c r="AE5970" s="22"/>
      <c r="AF5970" s="22"/>
    </row>
    <row r="5971" spans="29:32" x14ac:dyDescent="0.2">
      <c r="AC5971" s="20"/>
      <c r="AE5971" s="22"/>
      <c r="AF5971" s="22"/>
    </row>
    <row r="5972" spans="29:32" x14ac:dyDescent="0.2">
      <c r="AC5972" s="20"/>
      <c r="AE5972" s="22"/>
      <c r="AF5972" s="22"/>
    </row>
    <row r="5973" spans="29:32" x14ac:dyDescent="0.2">
      <c r="AC5973" s="20"/>
      <c r="AE5973" s="22"/>
      <c r="AF5973" s="22"/>
    </row>
    <row r="5974" spans="29:32" x14ac:dyDescent="0.2">
      <c r="AC5974" s="20"/>
      <c r="AE5974" s="22"/>
      <c r="AF5974" s="22"/>
    </row>
    <row r="5975" spans="29:32" x14ac:dyDescent="0.2">
      <c r="AC5975" s="20"/>
      <c r="AE5975" s="22"/>
      <c r="AF5975" s="22"/>
    </row>
    <row r="5976" spans="29:32" x14ac:dyDescent="0.2">
      <c r="AC5976" s="20"/>
      <c r="AE5976" s="22"/>
      <c r="AF5976" s="22"/>
    </row>
    <row r="5977" spans="29:32" x14ac:dyDescent="0.2">
      <c r="AC5977" s="20"/>
      <c r="AE5977" s="22"/>
      <c r="AF5977" s="22"/>
    </row>
    <row r="5978" spans="29:32" x14ac:dyDescent="0.2">
      <c r="AC5978" s="20"/>
      <c r="AE5978" s="22"/>
      <c r="AF5978" s="22"/>
    </row>
    <row r="5979" spans="29:32" x14ac:dyDescent="0.2">
      <c r="AC5979" s="20"/>
      <c r="AE5979" s="22"/>
      <c r="AF5979" s="22"/>
    </row>
    <row r="5980" spans="29:32" x14ac:dyDescent="0.2">
      <c r="AC5980" s="20"/>
      <c r="AE5980" s="22"/>
      <c r="AF5980" s="22"/>
    </row>
    <row r="5981" spans="29:32" x14ac:dyDescent="0.2">
      <c r="AC5981" s="20"/>
      <c r="AE5981" s="22"/>
      <c r="AF5981" s="22"/>
    </row>
    <row r="5982" spans="29:32" x14ac:dyDescent="0.2">
      <c r="AC5982" s="20"/>
      <c r="AE5982" s="22"/>
      <c r="AF5982" s="22"/>
    </row>
    <row r="5983" spans="29:32" x14ac:dyDescent="0.2">
      <c r="AC5983" s="20"/>
      <c r="AE5983" s="22"/>
      <c r="AF5983" s="22"/>
    </row>
    <row r="5984" spans="29:32" x14ac:dyDescent="0.2">
      <c r="AC5984" s="20"/>
      <c r="AE5984" s="22"/>
      <c r="AF5984" s="22"/>
    </row>
    <row r="5985" spans="29:32" x14ac:dyDescent="0.2">
      <c r="AC5985" s="20"/>
      <c r="AE5985" s="22"/>
      <c r="AF5985" s="22"/>
    </row>
    <row r="5986" spans="29:32" x14ac:dyDescent="0.2">
      <c r="AC5986" s="20"/>
      <c r="AE5986" s="22"/>
      <c r="AF5986" s="22"/>
    </row>
    <row r="5987" spans="29:32" x14ac:dyDescent="0.2">
      <c r="AC5987" s="20"/>
      <c r="AE5987" s="22"/>
      <c r="AF5987" s="22"/>
    </row>
    <row r="5988" spans="29:32" x14ac:dyDescent="0.2">
      <c r="AC5988" s="20"/>
      <c r="AE5988" s="22"/>
      <c r="AF5988" s="22"/>
    </row>
    <row r="5989" spans="29:32" x14ac:dyDescent="0.2">
      <c r="AC5989" s="20"/>
      <c r="AE5989" s="22"/>
      <c r="AF5989" s="22"/>
    </row>
    <row r="5990" spans="29:32" x14ac:dyDescent="0.2">
      <c r="AC5990" s="20"/>
      <c r="AE5990" s="22"/>
      <c r="AF5990" s="22"/>
    </row>
    <row r="5991" spans="29:32" x14ac:dyDescent="0.2">
      <c r="AC5991" s="20"/>
      <c r="AE5991" s="22"/>
      <c r="AF5991" s="22"/>
    </row>
    <row r="5992" spans="29:32" x14ac:dyDescent="0.2">
      <c r="AC5992" s="20"/>
      <c r="AE5992" s="22"/>
      <c r="AF5992" s="22"/>
    </row>
    <row r="5993" spans="29:32" x14ac:dyDescent="0.2">
      <c r="AC5993" s="20"/>
      <c r="AE5993" s="22"/>
      <c r="AF5993" s="22"/>
    </row>
    <row r="5994" spans="29:32" x14ac:dyDescent="0.2">
      <c r="AC5994" s="20"/>
      <c r="AE5994" s="22"/>
      <c r="AF5994" s="22"/>
    </row>
    <row r="5995" spans="29:32" x14ac:dyDescent="0.2">
      <c r="AC5995" s="20"/>
      <c r="AE5995" s="22"/>
      <c r="AF5995" s="22"/>
    </row>
    <row r="5996" spans="29:32" x14ac:dyDescent="0.2">
      <c r="AC5996" s="20"/>
      <c r="AE5996" s="22"/>
      <c r="AF5996" s="22"/>
    </row>
    <row r="5997" spans="29:32" x14ac:dyDescent="0.2">
      <c r="AC5997" s="20"/>
      <c r="AE5997" s="22"/>
      <c r="AF5997" s="22"/>
    </row>
    <row r="5998" spans="29:32" x14ac:dyDescent="0.2">
      <c r="AC5998" s="20"/>
      <c r="AE5998" s="22"/>
      <c r="AF5998" s="22"/>
    </row>
    <row r="5999" spans="29:32" x14ac:dyDescent="0.2">
      <c r="AC5999" s="20"/>
      <c r="AE5999" s="22"/>
      <c r="AF5999" s="22"/>
    </row>
    <row r="6000" spans="29:32" x14ac:dyDescent="0.2">
      <c r="AC6000" s="20"/>
      <c r="AE6000" s="22"/>
      <c r="AF6000" s="22"/>
    </row>
    <row r="6001" spans="29:32" x14ac:dyDescent="0.2">
      <c r="AC6001" s="20"/>
      <c r="AE6001" s="22"/>
      <c r="AF6001" s="22"/>
    </row>
    <row r="6002" spans="29:32" x14ac:dyDescent="0.2">
      <c r="AC6002" s="20"/>
      <c r="AE6002" s="22"/>
      <c r="AF6002" s="22"/>
    </row>
    <row r="6003" spans="29:32" x14ac:dyDescent="0.2">
      <c r="AC6003" s="20"/>
      <c r="AE6003" s="22"/>
      <c r="AF6003" s="22"/>
    </row>
    <row r="6004" spans="29:32" x14ac:dyDescent="0.2">
      <c r="AC6004" s="20"/>
      <c r="AE6004" s="22"/>
      <c r="AF6004" s="22"/>
    </row>
    <row r="6005" spans="29:32" x14ac:dyDescent="0.2">
      <c r="AC6005" s="20"/>
      <c r="AE6005" s="22"/>
      <c r="AF6005" s="22"/>
    </row>
    <row r="6006" spans="29:32" x14ac:dyDescent="0.2">
      <c r="AC6006" s="20"/>
      <c r="AE6006" s="22"/>
      <c r="AF6006" s="22"/>
    </row>
    <row r="6007" spans="29:32" x14ac:dyDescent="0.2">
      <c r="AC6007" s="20"/>
      <c r="AE6007" s="22"/>
      <c r="AF6007" s="22"/>
    </row>
    <row r="6008" spans="29:32" x14ac:dyDescent="0.2">
      <c r="AC6008" s="20"/>
      <c r="AE6008" s="22"/>
      <c r="AF6008" s="22"/>
    </row>
    <row r="6009" spans="29:32" x14ac:dyDescent="0.2">
      <c r="AC6009" s="20"/>
      <c r="AE6009" s="22"/>
      <c r="AF6009" s="22"/>
    </row>
    <row r="6010" spans="29:32" x14ac:dyDescent="0.2">
      <c r="AC6010" s="20"/>
      <c r="AE6010" s="22"/>
      <c r="AF6010" s="22"/>
    </row>
    <row r="6011" spans="29:32" x14ac:dyDescent="0.2">
      <c r="AC6011" s="20"/>
      <c r="AE6011" s="22"/>
      <c r="AF6011" s="22"/>
    </row>
    <row r="6012" spans="29:32" x14ac:dyDescent="0.2">
      <c r="AC6012" s="20"/>
      <c r="AE6012" s="22"/>
      <c r="AF6012" s="22"/>
    </row>
    <row r="6013" spans="29:32" x14ac:dyDescent="0.2">
      <c r="AC6013" s="20"/>
      <c r="AE6013" s="22"/>
      <c r="AF6013" s="22"/>
    </row>
    <row r="6014" spans="29:32" x14ac:dyDescent="0.2">
      <c r="AC6014" s="20"/>
      <c r="AE6014" s="22"/>
      <c r="AF6014" s="22"/>
    </row>
    <row r="6015" spans="29:32" x14ac:dyDescent="0.2">
      <c r="AC6015" s="20"/>
      <c r="AE6015" s="22"/>
      <c r="AF6015" s="22"/>
    </row>
    <row r="6016" spans="29:32" x14ac:dyDescent="0.2">
      <c r="AC6016" s="20"/>
      <c r="AE6016" s="22"/>
      <c r="AF6016" s="22"/>
    </row>
    <row r="6017" spans="29:32" x14ac:dyDescent="0.2">
      <c r="AC6017" s="20"/>
      <c r="AE6017" s="22"/>
      <c r="AF6017" s="22"/>
    </row>
    <row r="6018" spans="29:32" x14ac:dyDescent="0.2">
      <c r="AC6018" s="20"/>
      <c r="AE6018" s="22"/>
      <c r="AF6018" s="22"/>
    </row>
    <row r="6019" spans="29:32" x14ac:dyDescent="0.2">
      <c r="AC6019" s="20"/>
      <c r="AE6019" s="22"/>
      <c r="AF6019" s="22"/>
    </row>
    <row r="6020" spans="29:32" x14ac:dyDescent="0.2">
      <c r="AC6020" s="20"/>
      <c r="AE6020" s="22"/>
      <c r="AF6020" s="22"/>
    </row>
    <row r="6021" spans="29:32" x14ac:dyDescent="0.2">
      <c r="AC6021" s="20"/>
      <c r="AE6021" s="22"/>
      <c r="AF6021" s="22"/>
    </row>
    <row r="6022" spans="29:32" x14ac:dyDescent="0.2">
      <c r="AC6022" s="20"/>
      <c r="AE6022" s="22"/>
      <c r="AF6022" s="22"/>
    </row>
    <row r="6023" spans="29:32" x14ac:dyDescent="0.2">
      <c r="AC6023" s="20"/>
      <c r="AE6023" s="22"/>
      <c r="AF6023" s="22"/>
    </row>
    <row r="6024" spans="29:32" x14ac:dyDescent="0.2">
      <c r="AC6024" s="20"/>
      <c r="AE6024" s="22"/>
      <c r="AF6024" s="22"/>
    </row>
    <row r="6025" spans="29:32" x14ac:dyDescent="0.2">
      <c r="AC6025" s="20"/>
      <c r="AE6025" s="22"/>
      <c r="AF6025" s="22"/>
    </row>
    <row r="6026" spans="29:32" x14ac:dyDescent="0.2">
      <c r="AC6026" s="20"/>
      <c r="AE6026" s="22"/>
      <c r="AF6026" s="22"/>
    </row>
    <row r="6027" spans="29:32" x14ac:dyDescent="0.2">
      <c r="AC6027" s="20"/>
      <c r="AE6027" s="22"/>
      <c r="AF6027" s="22"/>
    </row>
    <row r="6028" spans="29:32" x14ac:dyDescent="0.2">
      <c r="AC6028" s="20"/>
      <c r="AE6028" s="22"/>
      <c r="AF6028" s="22"/>
    </row>
    <row r="6029" spans="29:32" x14ac:dyDescent="0.2">
      <c r="AC6029" s="20"/>
      <c r="AE6029" s="22"/>
      <c r="AF6029" s="22"/>
    </row>
    <row r="6030" spans="29:32" x14ac:dyDescent="0.2">
      <c r="AC6030" s="20"/>
      <c r="AE6030" s="22"/>
      <c r="AF6030" s="22"/>
    </row>
    <row r="6031" spans="29:32" x14ac:dyDescent="0.2">
      <c r="AC6031" s="20"/>
      <c r="AE6031" s="22"/>
      <c r="AF6031" s="22"/>
    </row>
    <row r="6032" spans="29:32" x14ac:dyDescent="0.2">
      <c r="AC6032" s="20"/>
      <c r="AE6032" s="22"/>
      <c r="AF6032" s="22"/>
    </row>
    <row r="6033" spans="29:32" x14ac:dyDescent="0.2">
      <c r="AC6033" s="20"/>
      <c r="AE6033" s="22"/>
      <c r="AF6033" s="22"/>
    </row>
    <row r="6034" spans="29:32" x14ac:dyDescent="0.2">
      <c r="AC6034" s="20"/>
      <c r="AE6034" s="22"/>
      <c r="AF6034" s="22"/>
    </row>
    <row r="6035" spans="29:32" x14ac:dyDescent="0.2">
      <c r="AC6035" s="20"/>
      <c r="AE6035" s="22"/>
      <c r="AF6035" s="22"/>
    </row>
    <row r="6036" spans="29:32" x14ac:dyDescent="0.2">
      <c r="AC6036" s="20"/>
      <c r="AE6036" s="22"/>
      <c r="AF6036" s="22"/>
    </row>
    <row r="6037" spans="29:32" x14ac:dyDescent="0.2">
      <c r="AC6037" s="20"/>
      <c r="AE6037" s="22"/>
      <c r="AF6037" s="22"/>
    </row>
    <row r="6038" spans="29:32" x14ac:dyDescent="0.2">
      <c r="AC6038" s="20"/>
      <c r="AE6038" s="22"/>
      <c r="AF6038" s="22"/>
    </row>
    <row r="6039" spans="29:32" x14ac:dyDescent="0.2">
      <c r="AC6039" s="20"/>
      <c r="AE6039" s="22"/>
      <c r="AF6039" s="22"/>
    </row>
    <row r="6040" spans="29:32" x14ac:dyDescent="0.2">
      <c r="AC6040" s="20"/>
      <c r="AE6040" s="22"/>
      <c r="AF6040" s="22"/>
    </row>
    <row r="6041" spans="29:32" x14ac:dyDescent="0.2">
      <c r="AC6041" s="20"/>
      <c r="AE6041" s="22"/>
      <c r="AF6041" s="22"/>
    </row>
    <row r="6042" spans="29:32" x14ac:dyDescent="0.2">
      <c r="AC6042" s="20"/>
      <c r="AE6042" s="22"/>
      <c r="AF6042" s="22"/>
    </row>
    <row r="6043" spans="29:32" x14ac:dyDescent="0.2">
      <c r="AC6043" s="20"/>
      <c r="AE6043" s="22"/>
      <c r="AF6043" s="22"/>
    </row>
    <row r="6044" spans="29:32" x14ac:dyDescent="0.2">
      <c r="AC6044" s="20"/>
      <c r="AE6044" s="22"/>
      <c r="AF6044" s="22"/>
    </row>
    <row r="6045" spans="29:32" x14ac:dyDescent="0.2">
      <c r="AC6045" s="20"/>
      <c r="AE6045" s="22"/>
      <c r="AF6045" s="22"/>
    </row>
    <row r="6046" spans="29:32" x14ac:dyDescent="0.2">
      <c r="AC6046" s="20"/>
      <c r="AE6046" s="22"/>
      <c r="AF6046" s="22"/>
    </row>
    <row r="6047" spans="29:32" x14ac:dyDescent="0.2">
      <c r="AC6047" s="20"/>
      <c r="AE6047" s="22"/>
      <c r="AF6047" s="22"/>
    </row>
    <row r="6048" spans="29:32" x14ac:dyDescent="0.2">
      <c r="AC6048" s="20"/>
      <c r="AE6048" s="22"/>
      <c r="AF6048" s="22"/>
    </row>
    <row r="6049" spans="29:32" x14ac:dyDescent="0.2">
      <c r="AC6049" s="20"/>
      <c r="AE6049" s="22"/>
      <c r="AF6049" s="22"/>
    </row>
    <row r="6050" spans="29:32" x14ac:dyDescent="0.2">
      <c r="AC6050" s="20"/>
      <c r="AE6050" s="22"/>
      <c r="AF6050" s="22"/>
    </row>
    <row r="6051" spans="29:32" x14ac:dyDescent="0.2">
      <c r="AC6051" s="20"/>
      <c r="AE6051" s="22"/>
      <c r="AF6051" s="22"/>
    </row>
    <row r="6052" spans="29:32" x14ac:dyDescent="0.2">
      <c r="AC6052" s="20"/>
      <c r="AE6052" s="22"/>
      <c r="AF6052" s="22"/>
    </row>
    <row r="6053" spans="29:32" x14ac:dyDescent="0.2">
      <c r="AC6053" s="20"/>
      <c r="AE6053" s="22"/>
      <c r="AF6053" s="22"/>
    </row>
    <row r="6054" spans="29:32" x14ac:dyDescent="0.2">
      <c r="AC6054" s="20"/>
      <c r="AE6054" s="22"/>
      <c r="AF6054" s="22"/>
    </row>
    <row r="6055" spans="29:32" x14ac:dyDescent="0.2">
      <c r="AC6055" s="20"/>
      <c r="AE6055" s="22"/>
      <c r="AF6055" s="22"/>
    </row>
    <row r="6056" spans="29:32" x14ac:dyDescent="0.2">
      <c r="AC6056" s="20"/>
      <c r="AE6056" s="22"/>
      <c r="AF6056" s="22"/>
    </row>
    <row r="6057" spans="29:32" x14ac:dyDescent="0.2">
      <c r="AC6057" s="20"/>
      <c r="AE6057" s="22"/>
      <c r="AF6057" s="22"/>
    </row>
    <row r="6058" spans="29:32" x14ac:dyDescent="0.2">
      <c r="AC6058" s="20"/>
      <c r="AE6058" s="22"/>
      <c r="AF6058" s="22"/>
    </row>
    <row r="6059" spans="29:32" x14ac:dyDescent="0.2">
      <c r="AC6059" s="20"/>
      <c r="AE6059" s="22"/>
      <c r="AF6059" s="22"/>
    </row>
    <row r="6060" spans="29:32" x14ac:dyDescent="0.2">
      <c r="AC6060" s="20"/>
      <c r="AE6060" s="22"/>
      <c r="AF6060" s="22"/>
    </row>
    <row r="6061" spans="29:32" x14ac:dyDescent="0.2">
      <c r="AC6061" s="20"/>
      <c r="AE6061" s="22"/>
      <c r="AF6061" s="22"/>
    </row>
    <row r="6062" spans="29:32" x14ac:dyDescent="0.2">
      <c r="AC6062" s="20"/>
      <c r="AE6062" s="22"/>
      <c r="AF6062" s="22"/>
    </row>
    <row r="6063" spans="29:32" x14ac:dyDescent="0.2">
      <c r="AC6063" s="20"/>
      <c r="AE6063" s="22"/>
      <c r="AF6063" s="22"/>
    </row>
    <row r="6064" spans="29:32" x14ac:dyDescent="0.2">
      <c r="AC6064" s="20"/>
      <c r="AE6064" s="22"/>
      <c r="AF6064" s="22"/>
    </row>
    <row r="6065" spans="29:32" x14ac:dyDescent="0.2">
      <c r="AC6065" s="20"/>
      <c r="AE6065" s="22"/>
      <c r="AF6065" s="22"/>
    </row>
    <row r="6066" spans="29:32" x14ac:dyDescent="0.2">
      <c r="AC6066" s="20"/>
      <c r="AE6066" s="22"/>
      <c r="AF6066" s="22"/>
    </row>
    <row r="6067" spans="29:32" x14ac:dyDescent="0.2">
      <c r="AC6067" s="20"/>
      <c r="AE6067" s="22"/>
      <c r="AF6067" s="22"/>
    </row>
    <row r="6068" spans="29:32" x14ac:dyDescent="0.2">
      <c r="AC6068" s="20"/>
      <c r="AE6068" s="22"/>
      <c r="AF6068" s="22"/>
    </row>
    <row r="6069" spans="29:32" x14ac:dyDescent="0.2">
      <c r="AC6069" s="20"/>
      <c r="AE6069" s="22"/>
      <c r="AF6069" s="22"/>
    </row>
    <row r="6070" spans="29:32" x14ac:dyDescent="0.2">
      <c r="AC6070" s="20"/>
      <c r="AE6070" s="22"/>
      <c r="AF6070" s="22"/>
    </row>
    <row r="6071" spans="29:32" x14ac:dyDescent="0.2">
      <c r="AC6071" s="20"/>
      <c r="AE6071" s="22"/>
      <c r="AF6071" s="22"/>
    </row>
    <row r="6072" spans="29:32" x14ac:dyDescent="0.2">
      <c r="AC6072" s="20"/>
      <c r="AE6072" s="22"/>
      <c r="AF6072" s="22"/>
    </row>
    <row r="6073" spans="29:32" x14ac:dyDescent="0.2">
      <c r="AC6073" s="20"/>
      <c r="AE6073" s="22"/>
      <c r="AF6073" s="22"/>
    </row>
    <row r="6074" spans="29:32" x14ac:dyDescent="0.2">
      <c r="AC6074" s="20"/>
      <c r="AE6074" s="22"/>
      <c r="AF6074" s="22"/>
    </row>
    <row r="6075" spans="29:32" x14ac:dyDescent="0.2">
      <c r="AC6075" s="20"/>
      <c r="AE6075" s="22"/>
      <c r="AF6075" s="22"/>
    </row>
    <row r="6076" spans="29:32" x14ac:dyDescent="0.2">
      <c r="AC6076" s="20"/>
      <c r="AE6076" s="22"/>
      <c r="AF6076" s="22"/>
    </row>
    <row r="6077" spans="29:32" x14ac:dyDescent="0.2">
      <c r="AC6077" s="20"/>
      <c r="AE6077" s="22"/>
      <c r="AF6077" s="22"/>
    </row>
    <row r="6078" spans="29:32" x14ac:dyDescent="0.2">
      <c r="AC6078" s="20"/>
      <c r="AE6078" s="22"/>
      <c r="AF6078" s="22"/>
    </row>
    <row r="6079" spans="29:32" x14ac:dyDescent="0.2">
      <c r="AC6079" s="20"/>
      <c r="AE6079" s="22"/>
      <c r="AF6079" s="22"/>
    </row>
    <row r="6080" spans="29:32" x14ac:dyDescent="0.2">
      <c r="AC6080" s="20"/>
      <c r="AE6080" s="22"/>
      <c r="AF6080" s="22"/>
    </row>
    <row r="6081" spans="29:32" x14ac:dyDescent="0.2">
      <c r="AC6081" s="20"/>
      <c r="AE6081" s="22"/>
      <c r="AF6081" s="22"/>
    </row>
    <row r="6082" spans="29:32" x14ac:dyDescent="0.2">
      <c r="AC6082" s="20"/>
      <c r="AE6082" s="22"/>
      <c r="AF6082" s="22"/>
    </row>
    <row r="6083" spans="29:32" x14ac:dyDescent="0.2">
      <c r="AC6083" s="20"/>
      <c r="AE6083" s="22"/>
      <c r="AF6083" s="22"/>
    </row>
    <row r="6084" spans="29:32" x14ac:dyDescent="0.2">
      <c r="AC6084" s="20"/>
      <c r="AE6084" s="22"/>
      <c r="AF6084" s="22"/>
    </row>
    <row r="6085" spans="29:32" x14ac:dyDescent="0.2">
      <c r="AC6085" s="20"/>
      <c r="AE6085" s="22"/>
      <c r="AF6085" s="22"/>
    </row>
    <row r="6086" spans="29:32" x14ac:dyDescent="0.2">
      <c r="AC6086" s="20"/>
      <c r="AE6086" s="22"/>
      <c r="AF6086" s="22"/>
    </row>
    <row r="6087" spans="29:32" x14ac:dyDescent="0.2">
      <c r="AC6087" s="20"/>
      <c r="AE6087" s="22"/>
      <c r="AF6087" s="22"/>
    </row>
    <row r="6088" spans="29:32" x14ac:dyDescent="0.2">
      <c r="AC6088" s="20"/>
      <c r="AE6088" s="22"/>
      <c r="AF6088" s="22"/>
    </row>
    <row r="6089" spans="29:32" x14ac:dyDescent="0.2">
      <c r="AC6089" s="20"/>
      <c r="AE6089" s="22"/>
      <c r="AF6089" s="22"/>
    </row>
    <row r="6090" spans="29:32" x14ac:dyDescent="0.2">
      <c r="AC6090" s="20"/>
      <c r="AE6090" s="22"/>
      <c r="AF6090" s="22"/>
    </row>
    <row r="6091" spans="29:32" x14ac:dyDescent="0.2">
      <c r="AC6091" s="20"/>
      <c r="AE6091" s="22"/>
      <c r="AF6091" s="22"/>
    </row>
    <row r="6092" spans="29:32" x14ac:dyDescent="0.2">
      <c r="AC6092" s="20"/>
      <c r="AE6092" s="22"/>
      <c r="AF6092" s="22"/>
    </row>
    <row r="6093" spans="29:32" x14ac:dyDescent="0.2">
      <c r="AC6093" s="20"/>
      <c r="AE6093" s="22"/>
      <c r="AF6093" s="22"/>
    </row>
    <row r="6094" spans="29:32" x14ac:dyDescent="0.2">
      <c r="AC6094" s="20"/>
      <c r="AE6094" s="22"/>
      <c r="AF6094" s="22"/>
    </row>
    <row r="6095" spans="29:32" x14ac:dyDescent="0.2">
      <c r="AC6095" s="20"/>
      <c r="AE6095" s="22"/>
      <c r="AF6095" s="22"/>
    </row>
    <row r="6096" spans="29:32" x14ac:dyDescent="0.2">
      <c r="AC6096" s="20"/>
      <c r="AE6096" s="22"/>
      <c r="AF6096" s="22"/>
    </row>
    <row r="6097" spans="29:32" x14ac:dyDescent="0.2">
      <c r="AC6097" s="20"/>
      <c r="AE6097" s="22"/>
      <c r="AF6097" s="22"/>
    </row>
    <row r="6098" spans="29:32" x14ac:dyDescent="0.2">
      <c r="AC6098" s="20"/>
      <c r="AE6098" s="22"/>
      <c r="AF6098" s="22"/>
    </row>
    <row r="6099" spans="29:32" x14ac:dyDescent="0.2">
      <c r="AC6099" s="20"/>
      <c r="AE6099" s="22"/>
      <c r="AF6099" s="22"/>
    </row>
    <row r="6100" spans="29:32" x14ac:dyDescent="0.2">
      <c r="AC6100" s="20"/>
      <c r="AE6100" s="22"/>
      <c r="AF6100" s="22"/>
    </row>
    <row r="6101" spans="29:32" x14ac:dyDescent="0.2">
      <c r="AC6101" s="20"/>
      <c r="AE6101" s="22"/>
      <c r="AF6101" s="22"/>
    </row>
    <row r="6102" spans="29:32" x14ac:dyDescent="0.2">
      <c r="AC6102" s="20"/>
      <c r="AE6102" s="22"/>
      <c r="AF6102" s="22"/>
    </row>
    <row r="6103" spans="29:32" x14ac:dyDescent="0.2">
      <c r="AC6103" s="20"/>
      <c r="AE6103" s="22"/>
      <c r="AF6103" s="22"/>
    </row>
    <row r="6104" spans="29:32" x14ac:dyDescent="0.2">
      <c r="AC6104" s="20"/>
      <c r="AE6104" s="22"/>
      <c r="AF6104" s="22"/>
    </row>
    <row r="6105" spans="29:32" x14ac:dyDescent="0.2">
      <c r="AC6105" s="20"/>
      <c r="AE6105" s="22"/>
      <c r="AF6105" s="22"/>
    </row>
    <row r="6106" spans="29:32" x14ac:dyDescent="0.2">
      <c r="AC6106" s="20"/>
      <c r="AE6106" s="22"/>
      <c r="AF6106" s="22"/>
    </row>
    <row r="6107" spans="29:32" x14ac:dyDescent="0.2">
      <c r="AC6107" s="20"/>
      <c r="AE6107" s="22"/>
      <c r="AF6107" s="22"/>
    </row>
    <row r="6108" spans="29:32" x14ac:dyDescent="0.2">
      <c r="AC6108" s="20"/>
      <c r="AE6108" s="22"/>
      <c r="AF6108" s="22"/>
    </row>
    <row r="6109" spans="29:32" x14ac:dyDescent="0.2">
      <c r="AC6109" s="20"/>
      <c r="AE6109" s="22"/>
      <c r="AF6109" s="22"/>
    </row>
    <row r="6110" spans="29:32" x14ac:dyDescent="0.2">
      <c r="AC6110" s="20"/>
      <c r="AE6110" s="22"/>
      <c r="AF6110" s="22"/>
    </row>
    <row r="6111" spans="29:32" x14ac:dyDescent="0.2">
      <c r="AC6111" s="20"/>
      <c r="AE6111" s="22"/>
      <c r="AF6111" s="22"/>
    </row>
    <row r="6112" spans="29:32" x14ac:dyDescent="0.2">
      <c r="AC6112" s="20"/>
      <c r="AE6112" s="22"/>
      <c r="AF6112" s="22"/>
    </row>
    <row r="6113" spans="29:32" x14ac:dyDescent="0.2">
      <c r="AC6113" s="20"/>
      <c r="AE6113" s="22"/>
      <c r="AF6113" s="22"/>
    </row>
    <row r="6114" spans="29:32" x14ac:dyDescent="0.2">
      <c r="AC6114" s="20"/>
      <c r="AE6114" s="22"/>
      <c r="AF6114" s="22"/>
    </row>
    <row r="6115" spans="29:32" x14ac:dyDescent="0.2">
      <c r="AC6115" s="20"/>
      <c r="AE6115" s="22"/>
      <c r="AF6115" s="22"/>
    </row>
    <row r="6116" spans="29:32" x14ac:dyDescent="0.2">
      <c r="AC6116" s="20"/>
      <c r="AE6116" s="22"/>
      <c r="AF6116" s="22"/>
    </row>
    <row r="6117" spans="29:32" x14ac:dyDescent="0.2">
      <c r="AC6117" s="20"/>
      <c r="AE6117" s="22"/>
      <c r="AF6117" s="22"/>
    </row>
    <row r="6118" spans="29:32" x14ac:dyDescent="0.2">
      <c r="AC6118" s="20"/>
      <c r="AE6118" s="22"/>
      <c r="AF6118" s="22"/>
    </row>
    <row r="6119" spans="29:32" x14ac:dyDescent="0.2">
      <c r="AC6119" s="20"/>
      <c r="AE6119" s="22"/>
      <c r="AF6119" s="22"/>
    </row>
    <row r="6120" spans="29:32" x14ac:dyDescent="0.2">
      <c r="AC6120" s="20"/>
      <c r="AE6120" s="22"/>
      <c r="AF6120" s="22"/>
    </row>
    <row r="6121" spans="29:32" x14ac:dyDescent="0.2">
      <c r="AC6121" s="20"/>
      <c r="AE6121" s="22"/>
      <c r="AF6121" s="22"/>
    </row>
    <row r="6122" spans="29:32" x14ac:dyDescent="0.2">
      <c r="AC6122" s="20"/>
      <c r="AE6122" s="22"/>
      <c r="AF6122" s="22"/>
    </row>
    <row r="6123" spans="29:32" x14ac:dyDescent="0.2">
      <c r="AC6123" s="20"/>
      <c r="AE6123" s="22"/>
      <c r="AF6123" s="22"/>
    </row>
    <row r="6124" spans="29:32" x14ac:dyDescent="0.2">
      <c r="AC6124" s="20"/>
      <c r="AE6124" s="22"/>
      <c r="AF6124" s="22"/>
    </row>
    <row r="6125" spans="29:32" x14ac:dyDescent="0.2">
      <c r="AC6125" s="20"/>
      <c r="AE6125" s="22"/>
      <c r="AF6125" s="22"/>
    </row>
    <row r="6126" spans="29:32" x14ac:dyDescent="0.2">
      <c r="AC6126" s="20"/>
      <c r="AE6126" s="22"/>
      <c r="AF6126" s="22"/>
    </row>
    <row r="6127" spans="29:32" x14ac:dyDescent="0.2">
      <c r="AC6127" s="20"/>
      <c r="AE6127" s="22"/>
      <c r="AF6127" s="22"/>
    </row>
    <row r="6128" spans="29:32" x14ac:dyDescent="0.2">
      <c r="AC6128" s="20"/>
      <c r="AE6128" s="22"/>
      <c r="AF6128" s="22"/>
    </row>
    <row r="6129" spans="29:32" x14ac:dyDescent="0.2">
      <c r="AC6129" s="20"/>
      <c r="AE6129" s="22"/>
      <c r="AF6129" s="22"/>
    </row>
    <row r="6130" spans="29:32" x14ac:dyDescent="0.2">
      <c r="AC6130" s="20"/>
      <c r="AE6130" s="22"/>
      <c r="AF6130" s="22"/>
    </row>
    <row r="6131" spans="29:32" x14ac:dyDescent="0.2">
      <c r="AC6131" s="20"/>
      <c r="AE6131" s="22"/>
      <c r="AF6131" s="22"/>
    </row>
    <row r="6132" spans="29:32" x14ac:dyDescent="0.2">
      <c r="AC6132" s="20"/>
      <c r="AE6132" s="22"/>
      <c r="AF6132" s="22"/>
    </row>
    <row r="6133" spans="29:32" x14ac:dyDescent="0.2">
      <c r="AC6133" s="20"/>
      <c r="AE6133" s="22"/>
      <c r="AF6133" s="22"/>
    </row>
    <row r="6134" spans="29:32" x14ac:dyDescent="0.2">
      <c r="AC6134" s="20"/>
      <c r="AE6134" s="22"/>
      <c r="AF6134" s="22"/>
    </row>
    <row r="6135" spans="29:32" x14ac:dyDescent="0.2">
      <c r="AC6135" s="20"/>
      <c r="AE6135" s="22"/>
      <c r="AF6135" s="22"/>
    </row>
    <row r="6136" spans="29:32" x14ac:dyDescent="0.2">
      <c r="AC6136" s="20"/>
      <c r="AE6136" s="22"/>
      <c r="AF6136" s="22"/>
    </row>
    <row r="6137" spans="29:32" x14ac:dyDescent="0.2">
      <c r="AC6137" s="20"/>
      <c r="AE6137" s="22"/>
      <c r="AF6137" s="22"/>
    </row>
    <row r="6138" spans="29:32" x14ac:dyDescent="0.2">
      <c r="AC6138" s="20"/>
      <c r="AE6138" s="22"/>
      <c r="AF6138" s="22"/>
    </row>
    <row r="6139" spans="29:32" x14ac:dyDescent="0.2">
      <c r="AC6139" s="20"/>
      <c r="AE6139" s="22"/>
      <c r="AF6139" s="22"/>
    </row>
    <row r="6140" spans="29:32" x14ac:dyDescent="0.2">
      <c r="AC6140" s="20"/>
      <c r="AE6140" s="22"/>
      <c r="AF6140" s="22"/>
    </row>
    <row r="6141" spans="29:32" x14ac:dyDescent="0.2">
      <c r="AC6141" s="20"/>
      <c r="AE6141" s="22"/>
      <c r="AF6141" s="22"/>
    </row>
    <row r="6142" spans="29:32" x14ac:dyDescent="0.2">
      <c r="AC6142" s="20"/>
      <c r="AE6142" s="22"/>
      <c r="AF6142" s="22"/>
    </row>
    <row r="6143" spans="29:32" x14ac:dyDescent="0.2">
      <c r="AC6143" s="20"/>
      <c r="AE6143" s="22"/>
      <c r="AF6143" s="22"/>
    </row>
    <row r="6144" spans="29:32" x14ac:dyDescent="0.2">
      <c r="AC6144" s="20"/>
      <c r="AE6144" s="22"/>
      <c r="AF6144" s="22"/>
    </row>
    <row r="6145" spans="29:32" x14ac:dyDescent="0.2">
      <c r="AC6145" s="20"/>
      <c r="AE6145" s="22"/>
      <c r="AF6145" s="22"/>
    </row>
    <row r="6146" spans="29:32" x14ac:dyDescent="0.2">
      <c r="AC6146" s="20"/>
      <c r="AE6146" s="22"/>
      <c r="AF6146" s="22"/>
    </row>
    <row r="6147" spans="29:32" x14ac:dyDescent="0.2">
      <c r="AC6147" s="20"/>
      <c r="AE6147" s="22"/>
      <c r="AF6147" s="22"/>
    </row>
    <row r="6148" spans="29:32" x14ac:dyDescent="0.2">
      <c r="AC6148" s="20"/>
      <c r="AE6148" s="22"/>
      <c r="AF6148" s="22"/>
    </row>
    <row r="6149" spans="29:32" x14ac:dyDescent="0.2">
      <c r="AC6149" s="20"/>
      <c r="AE6149" s="22"/>
      <c r="AF6149" s="22"/>
    </row>
    <row r="6150" spans="29:32" x14ac:dyDescent="0.2">
      <c r="AC6150" s="20"/>
      <c r="AE6150" s="22"/>
      <c r="AF6150" s="22"/>
    </row>
    <row r="6151" spans="29:32" x14ac:dyDescent="0.2">
      <c r="AC6151" s="20"/>
      <c r="AE6151" s="22"/>
      <c r="AF6151" s="22"/>
    </row>
    <row r="6152" spans="29:32" x14ac:dyDescent="0.2">
      <c r="AC6152" s="20"/>
      <c r="AE6152" s="22"/>
      <c r="AF6152" s="22"/>
    </row>
    <row r="6153" spans="29:32" x14ac:dyDescent="0.2">
      <c r="AC6153" s="20"/>
      <c r="AE6153" s="22"/>
      <c r="AF6153" s="22"/>
    </row>
    <row r="6154" spans="29:32" x14ac:dyDescent="0.2">
      <c r="AC6154" s="20"/>
      <c r="AE6154" s="22"/>
      <c r="AF6154" s="22"/>
    </row>
    <row r="6155" spans="29:32" x14ac:dyDescent="0.2">
      <c r="AC6155" s="20"/>
      <c r="AE6155" s="22"/>
      <c r="AF6155" s="22"/>
    </row>
    <row r="6156" spans="29:32" x14ac:dyDescent="0.2">
      <c r="AC6156" s="20"/>
      <c r="AE6156" s="22"/>
      <c r="AF6156" s="22"/>
    </row>
    <row r="6157" spans="29:32" x14ac:dyDescent="0.2">
      <c r="AC6157" s="20"/>
      <c r="AE6157" s="22"/>
      <c r="AF6157" s="22"/>
    </row>
    <row r="6158" spans="29:32" x14ac:dyDescent="0.2">
      <c r="AC6158" s="20"/>
      <c r="AE6158" s="22"/>
      <c r="AF6158" s="22"/>
    </row>
    <row r="6159" spans="29:32" x14ac:dyDescent="0.2">
      <c r="AC6159" s="20"/>
      <c r="AE6159" s="22"/>
      <c r="AF6159" s="22"/>
    </row>
    <row r="6160" spans="29:32" x14ac:dyDescent="0.2">
      <c r="AC6160" s="20"/>
      <c r="AE6160" s="22"/>
      <c r="AF6160" s="22"/>
    </row>
    <row r="6161" spans="29:32" x14ac:dyDescent="0.2">
      <c r="AC6161" s="20"/>
      <c r="AE6161" s="22"/>
      <c r="AF6161" s="22"/>
    </row>
    <row r="6162" spans="29:32" x14ac:dyDescent="0.2">
      <c r="AC6162" s="20"/>
      <c r="AE6162" s="22"/>
      <c r="AF6162" s="22"/>
    </row>
    <row r="6163" spans="29:32" x14ac:dyDescent="0.2">
      <c r="AC6163" s="20"/>
      <c r="AE6163" s="22"/>
      <c r="AF6163" s="22"/>
    </row>
    <row r="6164" spans="29:32" x14ac:dyDescent="0.2">
      <c r="AC6164" s="20"/>
      <c r="AE6164" s="22"/>
      <c r="AF6164" s="22"/>
    </row>
    <row r="6165" spans="29:32" x14ac:dyDescent="0.2">
      <c r="AC6165" s="20"/>
      <c r="AE6165" s="22"/>
      <c r="AF6165" s="22"/>
    </row>
    <row r="6166" spans="29:32" x14ac:dyDescent="0.2">
      <c r="AC6166" s="20"/>
      <c r="AE6166" s="22"/>
      <c r="AF6166" s="22"/>
    </row>
    <row r="6167" spans="29:32" x14ac:dyDescent="0.2">
      <c r="AC6167" s="20"/>
      <c r="AE6167" s="22"/>
      <c r="AF6167" s="22"/>
    </row>
    <row r="6168" spans="29:32" x14ac:dyDescent="0.2">
      <c r="AC6168" s="20"/>
      <c r="AE6168" s="22"/>
      <c r="AF6168" s="22"/>
    </row>
    <row r="6169" spans="29:32" x14ac:dyDescent="0.2">
      <c r="AC6169" s="20"/>
      <c r="AE6169" s="22"/>
      <c r="AF6169" s="22"/>
    </row>
    <row r="6170" spans="29:32" x14ac:dyDescent="0.2">
      <c r="AC6170" s="20"/>
      <c r="AE6170" s="22"/>
      <c r="AF6170" s="22"/>
    </row>
    <row r="6171" spans="29:32" x14ac:dyDescent="0.2">
      <c r="AC6171" s="20"/>
      <c r="AE6171" s="22"/>
      <c r="AF6171" s="22"/>
    </row>
    <row r="6172" spans="29:32" x14ac:dyDescent="0.2">
      <c r="AC6172" s="20"/>
      <c r="AE6172" s="22"/>
      <c r="AF6172" s="22"/>
    </row>
    <row r="6173" spans="29:32" x14ac:dyDescent="0.2">
      <c r="AC6173" s="20"/>
      <c r="AE6173" s="22"/>
      <c r="AF6173" s="22"/>
    </row>
    <row r="6174" spans="29:32" x14ac:dyDescent="0.2">
      <c r="AC6174" s="20"/>
      <c r="AE6174" s="22"/>
      <c r="AF6174" s="22"/>
    </row>
    <row r="6175" spans="29:32" x14ac:dyDescent="0.2">
      <c r="AC6175" s="20"/>
      <c r="AE6175" s="22"/>
      <c r="AF6175" s="22"/>
    </row>
    <row r="6176" spans="29:32" x14ac:dyDescent="0.2">
      <c r="AC6176" s="20"/>
      <c r="AE6176" s="22"/>
      <c r="AF6176" s="22"/>
    </row>
    <row r="6177" spans="29:32" x14ac:dyDescent="0.2">
      <c r="AC6177" s="20"/>
      <c r="AE6177" s="22"/>
      <c r="AF6177" s="22"/>
    </row>
    <row r="6178" spans="29:32" x14ac:dyDescent="0.2">
      <c r="AC6178" s="20"/>
      <c r="AE6178" s="22"/>
      <c r="AF6178" s="22"/>
    </row>
    <row r="6179" spans="29:32" x14ac:dyDescent="0.2">
      <c r="AC6179" s="20"/>
      <c r="AE6179" s="22"/>
      <c r="AF6179" s="22"/>
    </row>
    <row r="6180" spans="29:32" x14ac:dyDescent="0.2">
      <c r="AC6180" s="20"/>
      <c r="AE6180" s="22"/>
      <c r="AF6180" s="22"/>
    </row>
    <row r="6181" spans="29:32" x14ac:dyDescent="0.2">
      <c r="AC6181" s="20"/>
      <c r="AE6181" s="22"/>
      <c r="AF6181" s="22"/>
    </row>
    <row r="6182" spans="29:32" x14ac:dyDescent="0.2">
      <c r="AC6182" s="20"/>
      <c r="AE6182" s="22"/>
      <c r="AF6182" s="22"/>
    </row>
    <row r="6183" spans="29:32" x14ac:dyDescent="0.2">
      <c r="AC6183" s="20"/>
      <c r="AE6183" s="22"/>
      <c r="AF6183" s="22"/>
    </row>
    <row r="6184" spans="29:32" x14ac:dyDescent="0.2">
      <c r="AC6184" s="20"/>
      <c r="AE6184" s="22"/>
      <c r="AF6184" s="22"/>
    </row>
    <row r="6185" spans="29:32" x14ac:dyDescent="0.2">
      <c r="AC6185" s="20"/>
      <c r="AE6185" s="22"/>
      <c r="AF6185" s="22"/>
    </row>
    <row r="6186" spans="29:32" x14ac:dyDescent="0.2">
      <c r="AC6186" s="20"/>
      <c r="AE6186" s="22"/>
      <c r="AF6186" s="22"/>
    </row>
    <row r="6187" spans="29:32" x14ac:dyDescent="0.2">
      <c r="AC6187" s="20"/>
      <c r="AE6187" s="22"/>
      <c r="AF6187" s="22"/>
    </row>
    <row r="6188" spans="29:32" x14ac:dyDescent="0.2">
      <c r="AC6188" s="20"/>
      <c r="AE6188" s="22"/>
      <c r="AF6188" s="22"/>
    </row>
    <row r="6189" spans="29:32" x14ac:dyDescent="0.2">
      <c r="AC6189" s="20"/>
      <c r="AE6189" s="22"/>
      <c r="AF6189" s="22"/>
    </row>
    <row r="6190" spans="29:32" x14ac:dyDescent="0.2">
      <c r="AC6190" s="20"/>
      <c r="AE6190" s="22"/>
      <c r="AF6190" s="22"/>
    </row>
    <row r="6191" spans="29:32" x14ac:dyDescent="0.2">
      <c r="AC6191" s="20"/>
      <c r="AE6191" s="22"/>
      <c r="AF6191" s="22"/>
    </row>
    <row r="6192" spans="29:32" x14ac:dyDescent="0.2">
      <c r="AC6192" s="20"/>
      <c r="AE6192" s="22"/>
      <c r="AF6192" s="22"/>
    </row>
    <row r="6193" spans="29:32" x14ac:dyDescent="0.2">
      <c r="AC6193" s="20"/>
      <c r="AE6193" s="22"/>
      <c r="AF6193" s="22"/>
    </row>
    <row r="6194" spans="29:32" x14ac:dyDescent="0.2">
      <c r="AC6194" s="20"/>
      <c r="AE6194" s="22"/>
      <c r="AF6194" s="22"/>
    </row>
    <row r="6195" spans="29:32" x14ac:dyDescent="0.2">
      <c r="AC6195" s="20"/>
      <c r="AE6195" s="22"/>
      <c r="AF6195" s="22"/>
    </row>
    <row r="6196" spans="29:32" x14ac:dyDescent="0.2">
      <c r="AC6196" s="20"/>
      <c r="AE6196" s="22"/>
      <c r="AF6196" s="22"/>
    </row>
    <row r="6197" spans="29:32" x14ac:dyDescent="0.2">
      <c r="AC6197" s="20"/>
      <c r="AE6197" s="22"/>
      <c r="AF6197" s="22"/>
    </row>
    <row r="6198" spans="29:32" x14ac:dyDescent="0.2">
      <c r="AC6198" s="20"/>
      <c r="AE6198" s="22"/>
      <c r="AF6198" s="22"/>
    </row>
    <row r="6199" spans="29:32" x14ac:dyDescent="0.2">
      <c r="AC6199" s="20"/>
      <c r="AE6199" s="22"/>
      <c r="AF6199" s="22"/>
    </row>
    <row r="6200" spans="29:32" x14ac:dyDescent="0.2">
      <c r="AC6200" s="20"/>
      <c r="AE6200" s="22"/>
      <c r="AF6200" s="22"/>
    </row>
    <row r="6201" spans="29:32" x14ac:dyDescent="0.2">
      <c r="AC6201" s="20"/>
      <c r="AE6201" s="22"/>
      <c r="AF6201" s="22"/>
    </row>
    <row r="6202" spans="29:32" x14ac:dyDescent="0.2">
      <c r="AC6202" s="20"/>
      <c r="AE6202" s="22"/>
      <c r="AF6202" s="22"/>
    </row>
    <row r="6203" spans="29:32" x14ac:dyDescent="0.2">
      <c r="AC6203" s="20"/>
      <c r="AE6203" s="22"/>
      <c r="AF6203" s="22"/>
    </row>
    <row r="6204" spans="29:32" x14ac:dyDescent="0.2">
      <c r="AC6204" s="20"/>
      <c r="AE6204" s="22"/>
      <c r="AF6204" s="22"/>
    </row>
    <row r="6205" spans="29:32" x14ac:dyDescent="0.2">
      <c r="AC6205" s="20"/>
      <c r="AE6205" s="22"/>
      <c r="AF6205" s="22"/>
    </row>
    <row r="6206" spans="29:32" x14ac:dyDescent="0.2">
      <c r="AC6206" s="20"/>
      <c r="AE6206" s="22"/>
      <c r="AF6206" s="22"/>
    </row>
    <row r="6207" spans="29:32" x14ac:dyDescent="0.2">
      <c r="AC6207" s="20"/>
      <c r="AE6207" s="22"/>
      <c r="AF6207" s="22"/>
    </row>
    <row r="6208" spans="29:32" x14ac:dyDescent="0.2">
      <c r="AC6208" s="20"/>
      <c r="AE6208" s="22"/>
      <c r="AF6208" s="22"/>
    </row>
    <row r="6209" spans="29:32" x14ac:dyDescent="0.2">
      <c r="AC6209" s="20"/>
      <c r="AE6209" s="22"/>
      <c r="AF6209" s="22"/>
    </row>
    <row r="6210" spans="29:32" x14ac:dyDescent="0.2">
      <c r="AC6210" s="20"/>
      <c r="AE6210" s="22"/>
      <c r="AF6210" s="22"/>
    </row>
    <row r="6211" spans="29:32" x14ac:dyDescent="0.2">
      <c r="AC6211" s="20"/>
      <c r="AE6211" s="22"/>
      <c r="AF6211" s="22"/>
    </row>
    <row r="6212" spans="29:32" x14ac:dyDescent="0.2">
      <c r="AC6212" s="20"/>
      <c r="AE6212" s="22"/>
      <c r="AF6212" s="22"/>
    </row>
    <row r="6213" spans="29:32" x14ac:dyDescent="0.2">
      <c r="AC6213" s="20"/>
      <c r="AE6213" s="22"/>
      <c r="AF6213" s="22"/>
    </row>
    <row r="6214" spans="29:32" x14ac:dyDescent="0.2">
      <c r="AC6214" s="20"/>
      <c r="AE6214" s="22"/>
      <c r="AF6214" s="22"/>
    </row>
    <row r="6215" spans="29:32" x14ac:dyDescent="0.2">
      <c r="AC6215" s="20"/>
      <c r="AE6215" s="22"/>
      <c r="AF6215" s="22"/>
    </row>
    <row r="6216" spans="29:32" x14ac:dyDescent="0.2">
      <c r="AC6216" s="20"/>
      <c r="AE6216" s="22"/>
      <c r="AF6216" s="22"/>
    </row>
    <row r="6217" spans="29:32" x14ac:dyDescent="0.2">
      <c r="AC6217" s="20"/>
      <c r="AE6217" s="22"/>
      <c r="AF6217" s="22"/>
    </row>
    <row r="6218" spans="29:32" x14ac:dyDescent="0.2">
      <c r="AC6218" s="20"/>
      <c r="AE6218" s="22"/>
      <c r="AF6218" s="22"/>
    </row>
    <row r="6219" spans="29:32" x14ac:dyDescent="0.2">
      <c r="AC6219" s="20"/>
      <c r="AE6219" s="22"/>
      <c r="AF6219" s="22"/>
    </row>
    <row r="6220" spans="29:32" x14ac:dyDescent="0.2">
      <c r="AC6220" s="20"/>
      <c r="AE6220" s="22"/>
      <c r="AF6220" s="22"/>
    </row>
    <row r="6221" spans="29:32" x14ac:dyDescent="0.2">
      <c r="AC6221" s="20"/>
      <c r="AE6221" s="22"/>
      <c r="AF6221" s="22"/>
    </row>
    <row r="6222" spans="29:32" x14ac:dyDescent="0.2">
      <c r="AC6222" s="20"/>
      <c r="AE6222" s="22"/>
      <c r="AF6222" s="22"/>
    </row>
    <row r="6223" spans="29:32" x14ac:dyDescent="0.2">
      <c r="AC6223" s="20"/>
      <c r="AE6223" s="22"/>
      <c r="AF6223" s="22"/>
    </row>
    <row r="6224" spans="29:32" x14ac:dyDescent="0.2">
      <c r="AC6224" s="20"/>
      <c r="AE6224" s="22"/>
      <c r="AF6224" s="22"/>
    </row>
    <row r="6225" spans="29:32" x14ac:dyDescent="0.2">
      <c r="AC6225" s="20"/>
      <c r="AE6225" s="22"/>
      <c r="AF6225" s="22"/>
    </row>
    <row r="6226" spans="29:32" x14ac:dyDescent="0.2">
      <c r="AC6226" s="20"/>
      <c r="AE6226" s="22"/>
      <c r="AF6226" s="22"/>
    </row>
    <row r="6227" spans="29:32" x14ac:dyDescent="0.2">
      <c r="AC6227" s="20"/>
      <c r="AE6227" s="22"/>
      <c r="AF6227" s="22"/>
    </row>
    <row r="6228" spans="29:32" x14ac:dyDescent="0.2">
      <c r="AC6228" s="20"/>
      <c r="AE6228" s="22"/>
      <c r="AF6228" s="22"/>
    </row>
    <row r="6229" spans="29:32" x14ac:dyDescent="0.2">
      <c r="AC6229" s="20"/>
      <c r="AE6229" s="22"/>
      <c r="AF6229" s="22"/>
    </row>
    <row r="6230" spans="29:32" x14ac:dyDescent="0.2">
      <c r="AC6230" s="20"/>
      <c r="AE6230" s="22"/>
      <c r="AF6230" s="22"/>
    </row>
    <row r="6231" spans="29:32" x14ac:dyDescent="0.2">
      <c r="AC6231" s="20"/>
      <c r="AE6231" s="22"/>
      <c r="AF6231" s="22"/>
    </row>
    <row r="6232" spans="29:32" x14ac:dyDescent="0.2">
      <c r="AC6232" s="20"/>
      <c r="AE6232" s="22"/>
      <c r="AF6232" s="22"/>
    </row>
    <row r="6233" spans="29:32" x14ac:dyDescent="0.2">
      <c r="AC6233" s="20"/>
      <c r="AE6233" s="22"/>
      <c r="AF6233" s="22"/>
    </row>
    <row r="6234" spans="29:32" x14ac:dyDescent="0.2">
      <c r="AC6234" s="20"/>
      <c r="AE6234" s="22"/>
      <c r="AF6234" s="22"/>
    </row>
    <row r="6235" spans="29:32" x14ac:dyDescent="0.2">
      <c r="AC6235" s="20"/>
      <c r="AE6235" s="22"/>
      <c r="AF6235" s="22"/>
    </row>
    <row r="6236" spans="29:32" x14ac:dyDescent="0.2">
      <c r="AC6236" s="20"/>
      <c r="AE6236" s="22"/>
      <c r="AF6236" s="22"/>
    </row>
    <row r="6237" spans="29:32" x14ac:dyDescent="0.2">
      <c r="AC6237" s="20"/>
      <c r="AE6237" s="22"/>
      <c r="AF6237" s="22"/>
    </row>
    <row r="6238" spans="29:32" x14ac:dyDescent="0.2">
      <c r="AC6238" s="20"/>
      <c r="AE6238" s="22"/>
      <c r="AF6238" s="22"/>
    </row>
    <row r="6239" spans="29:32" x14ac:dyDescent="0.2">
      <c r="AC6239" s="20"/>
      <c r="AE6239" s="22"/>
      <c r="AF6239" s="22"/>
    </row>
    <row r="6240" spans="29:32" x14ac:dyDescent="0.2">
      <c r="AC6240" s="20"/>
      <c r="AE6240" s="22"/>
      <c r="AF6240" s="22"/>
    </row>
    <row r="6241" spans="29:32" x14ac:dyDescent="0.2">
      <c r="AC6241" s="20"/>
      <c r="AE6241" s="22"/>
      <c r="AF6241" s="22"/>
    </row>
    <row r="6242" spans="29:32" x14ac:dyDescent="0.2">
      <c r="AC6242" s="20"/>
      <c r="AE6242" s="22"/>
      <c r="AF6242" s="22"/>
    </row>
    <row r="6243" spans="29:32" x14ac:dyDescent="0.2">
      <c r="AC6243" s="20"/>
      <c r="AE6243" s="22"/>
      <c r="AF6243" s="22"/>
    </row>
    <row r="6244" spans="29:32" x14ac:dyDescent="0.2">
      <c r="AC6244" s="20"/>
      <c r="AE6244" s="22"/>
      <c r="AF6244" s="22"/>
    </row>
    <row r="6245" spans="29:32" x14ac:dyDescent="0.2">
      <c r="AC6245" s="20"/>
      <c r="AE6245" s="22"/>
      <c r="AF6245" s="22"/>
    </row>
    <row r="6246" spans="29:32" x14ac:dyDescent="0.2">
      <c r="AC6246" s="20"/>
      <c r="AE6246" s="22"/>
      <c r="AF6246" s="22"/>
    </row>
    <row r="6247" spans="29:32" x14ac:dyDescent="0.2">
      <c r="AC6247" s="20"/>
      <c r="AE6247" s="22"/>
      <c r="AF6247" s="22"/>
    </row>
    <row r="6248" spans="29:32" x14ac:dyDescent="0.2">
      <c r="AC6248" s="20"/>
      <c r="AE6248" s="22"/>
      <c r="AF6248" s="22"/>
    </row>
    <row r="6249" spans="29:32" x14ac:dyDescent="0.2">
      <c r="AC6249" s="20"/>
      <c r="AE6249" s="22"/>
      <c r="AF6249" s="22"/>
    </row>
    <row r="6250" spans="29:32" x14ac:dyDescent="0.2">
      <c r="AC6250" s="20"/>
      <c r="AE6250" s="22"/>
      <c r="AF6250" s="22"/>
    </row>
    <row r="6251" spans="29:32" x14ac:dyDescent="0.2">
      <c r="AC6251" s="20"/>
      <c r="AE6251" s="22"/>
      <c r="AF6251" s="22"/>
    </row>
    <row r="6252" spans="29:32" x14ac:dyDescent="0.2">
      <c r="AC6252" s="20"/>
      <c r="AE6252" s="22"/>
      <c r="AF6252" s="22"/>
    </row>
    <row r="6253" spans="29:32" x14ac:dyDescent="0.2">
      <c r="AC6253" s="20"/>
      <c r="AE6253" s="22"/>
      <c r="AF6253" s="22"/>
    </row>
    <row r="6254" spans="29:32" x14ac:dyDescent="0.2">
      <c r="AC6254" s="20"/>
      <c r="AE6254" s="22"/>
      <c r="AF6254" s="22"/>
    </row>
    <row r="6255" spans="29:32" x14ac:dyDescent="0.2">
      <c r="AC6255" s="20"/>
      <c r="AE6255" s="22"/>
      <c r="AF6255" s="22"/>
    </row>
    <row r="6256" spans="29:32" x14ac:dyDescent="0.2">
      <c r="AC6256" s="20"/>
      <c r="AE6256" s="22"/>
      <c r="AF6256" s="22"/>
    </row>
    <row r="6257" spans="29:32" x14ac:dyDescent="0.2">
      <c r="AC6257" s="20"/>
      <c r="AE6257" s="22"/>
      <c r="AF6257" s="22"/>
    </row>
    <row r="6258" spans="29:32" x14ac:dyDescent="0.2">
      <c r="AC6258" s="20"/>
      <c r="AE6258" s="22"/>
      <c r="AF6258" s="22"/>
    </row>
    <row r="6259" spans="29:32" x14ac:dyDescent="0.2">
      <c r="AC6259" s="20"/>
      <c r="AE6259" s="22"/>
      <c r="AF6259" s="22"/>
    </row>
    <row r="6260" spans="29:32" x14ac:dyDescent="0.2">
      <c r="AC6260" s="20"/>
      <c r="AE6260" s="22"/>
      <c r="AF6260" s="22"/>
    </row>
    <row r="6261" spans="29:32" x14ac:dyDescent="0.2">
      <c r="AC6261" s="20"/>
      <c r="AE6261" s="22"/>
      <c r="AF6261" s="22"/>
    </row>
    <row r="6262" spans="29:32" x14ac:dyDescent="0.2">
      <c r="AC6262" s="20"/>
      <c r="AE6262" s="22"/>
      <c r="AF6262" s="22"/>
    </row>
    <row r="6263" spans="29:32" x14ac:dyDescent="0.2">
      <c r="AC6263" s="20"/>
      <c r="AE6263" s="22"/>
      <c r="AF6263" s="22"/>
    </row>
    <row r="6264" spans="29:32" x14ac:dyDescent="0.2">
      <c r="AC6264" s="20"/>
      <c r="AE6264" s="22"/>
      <c r="AF6264" s="22"/>
    </row>
    <row r="6265" spans="29:32" x14ac:dyDescent="0.2">
      <c r="AC6265" s="20"/>
      <c r="AE6265" s="22"/>
      <c r="AF6265" s="22"/>
    </row>
    <row r="6266" spans="29:32" x14ac:dyDescent="0.2">
      <c r="AC6266" s="20"/>
      <c r="AE6266" s="22"/>
      <c r="AF6266" s="22"/>
    </row>
    <row r="6267" spans="29:32" x14ac:dyDescent="0.2">
      <c r="AC6267" s="20"/>
      <c r="AE6267" s="22"/>
      <c r="AF6267" s="22"/>
    </row>
    <row r="6268" spans="29:32" x14ac:dyDescent="0.2">
      <c r="AC6268" s="20"/>
      <c r="AE6268" s="22"/>
      <c r="AF6268" s="22"/>
    </row>
    <row r="6269" spans="29:32" x14ac:dyDescent="0.2">
      <c r="AC6269" s="20"/>
      <c r="AE6269" s="22"/>
      <c r="AF6269" s="22"/>
    </row>
    <row r="6270" spans="29:32" x14ac:dyDescent="0.2">
      <c r="AC6270" s="20"/>
      <c r="AE6270" s="22"/>
      <c r="AF6270" s="22"/>
    </row>
    <row r="6271" spans="29:32" x14ac:dyDescent="0.2">
      <c r="AC6271" s="20"/>
      <c r="AE6271" s="22"/>
      <c r="AF6271" s="22"/>
    </row>
    <row r="6272" spans="29:32" x14ac:dyDescent="0.2">
      <c r="AC6272" s="20"/>
      <c r="AE6272" s="22"/>
      <c r="AF6272" s="22"/>
    </row>
    <row r="6273" spans="29:32" x14ac:dyDescent="0.2">
      <c r="AC6273" s="20"/>
      <c r="AE6273" s="22"/>
      <c r="AF6273" s="22"/>
    </row>
    <row r="6274" spans="29:32" x14ac:dyDescent="0.2">
      <c r="AC6274" s="20"/>
      <c r="AE6274" s="22"/>
      <c r="AF6274" s="22"/>
    </row>
    <row r="6275" spans="29:32" x14ac:dyDescent="0.2">
      <c r="AC6275" s="20"/>
      <c r="AE6275" s="22"/>
      <c r="AF6275" s="22"/>
    </row>
    <row r="6276" spans="29:32" x14ac:dyDescent="0.2">
      <c r="AC6276" s="20"/>
      <c r="AE6276" s="22"/>
      <c r="AF6276" s="22"/>
    </row>
    <row r="6277" spans="29:32" x14ac:dyDescent="0.2">
      <c r="AC6277" s="20"/>
      <c r="AE6277" s="22"/>
      <c r="AF6277" s="22"/>
    </row>
    <row r="6278" spans="29:32" x14ac:dyDescent="0.2">
      <c r="AC6278" s="20"/>
      <c r="AE6278" s="22"/>
      <c r="AF6278" s="22"/>
    </row>
    <row r="6279" spans="29:32" x14ac:dyDescent="0.2">
      <c r="AC6279" s="20"/>
      <c r="AE6279" s="22"/>
      <c r="AF6279" s="22"/>
    </row>
    <row r="6280" spans="29:32" x14ac:dyDescent="0.2">
      <c r="AC6280" s="20"/>
      <c r="AE6280" s="22"/>
      <c r="AF6280" s="22"/>
    </row>
    <row r="6281" spans="29:32" x14ac:dyDescent="0.2">
      <c r="AC6281" s="20"/>
      <c r="AE6281" s="22"/>
      <c r="AF6281" s="22"/>
    </row>
    <row r="6282" spans="29:32" x14ac:dyDescent="0.2">
      <c r="AC6282" s="20"/>
      <c r="AE6282" s="22"/>
      <c r="AF6282" s="22"/>
    </row>
    <row r="6283" spans="29:32" x14ac:dyDescent="0.2">
      <c r="AC6283" s="20"/>
      <c r="AE6283" s="22"/>
      <c r="AF6283" s="22"/>
    </row>
    <row r="6284" spans="29:32" x14ac:dyDescent="0.2">
      <c r="AC6284" s="20"/>
      <c r="AE6284" s="22"/>
      <c r="AF6284" s="22"/>
    </row>
    <row r="6285" spans="29:32" x14ac:dyDescent="0.2">
      <c r="AC6285" s="20"/>
      <c r="AE6285" s="22"/>
      <c r="AF6285" s="22"/>
    </row>
    <row r="6286" spans="29:32" x14ac:dyDescent="0.2">
      <c r="AC6286" s="20"/>
      <c r="AE6286" s="22"/>
      <c r="AF6286" s="22"/>
    </row>
    <row r="6287" spans="29:32" x14ac:dyDescent="0.2">
      <c r="AC6287" s="20"/>
      <c r="AE6287" s="22"/>
      <c r="AF6287" s="22"/>
    </row>
    <row r="6288" spans="29:32" x14ac:dyDescent="0.2">
      <c r="AC6288" s="20"/>
      <c r="AE6288" s="22"/>
      <c r="AF6288" s="22"/>
    </row>
    <row r="6289" spans="29:32" x14ac:dyDescent="0.2">
      <c r="AC6289" s="20"/>
      <c r="AE6289" s="22"/>
      <c r="AF6289" s="22"/>
    </row>
    <row r="6290" spans="29:32" x14ac:dyDescent="0.2">
      <c r="AC6290" s="20"/>
      <c r="AE6290" s="22"/>
      <c r="AF6290" s="22"/>
    </row>
    <row r="6291" spans="29:32" x14ac:dyDescent="0.2">
      <c r="AC6291" s="20"/>
      <c r="AE6291" s="22"/>
      <c r="AF6291" s="22"/>
    </row>
    <row r="6292" spans="29:32" x14ac:dyDescent="0.2">
      <c r="AC6292" s="20"/>
      <c r="AE6292" s="22"/>
      <c r="AF6292" s="22"/>
    </row>
    <row r="6293" spans="29:32" x14ac:dyDescent="0.2">
      <c r="AC6293" s="20"/>
      <c r="AE6293" s="22"/>
      <c r="AF6293" s="22"/>
    </row>
    <row r="6294" spans="29:32" x14ac:dyDescent="0.2">
      <c r="AC6294" s="20"/>
      <c r="AE6294" s="22"/>
      <c r="AF6294" s="22"/>
    </row>
    <row r="6295" spans="29:32" x14ac:dyDescent="0.2">
      <c r="AC6295" s="20"/>
      <c r="AE6295" s="22"/>
      <c r="AF6295" s="22"/>
    </row>
    <row r="6296" spans="29:32" x14ac:dyDescent="0.2">
      <c r="AC6296" s="20"/>
      <c r="AE6296" s="22"/>
      <c r="AF6296" s="22"/>
    </row>
    <row r="6297" spans="29:32" x14ac:dyDescent="0.2">
      <c r="AC6297" s="20"/>
      <c r="AE6297" s="22"/>
      <c r="AF6297" s="22"/>
    </row>
    <row r="6298" spans="29:32" x14ac:dyDescent="0.2">
      <c r="AC6298" s="20"/>
      <c r="AE6298" s="22"/>
      <c r="AF6298" s="22"/>
    </row>
    <row r="6299" spans="29:32" x14ac:dyDescent="0.2">
      <c r="AC6299" s="20"/>
      <c r="AE6299" s="22"/>
      <c r="AF6299" s="22"/>
    </row>
    <row r="6300" spans="29:32" x14ac:dyDescent="0.2">
      <c r="AC6300" s="20"/>
      <c r="AE6300" s="22"/>
      <c r="AF6300" s="22"/>
    </row>
    <row r="6301" spans="29:32" x14ac:dyDescent="0.2">
      <c r="AC6301" s="20"/>
      <c r="AE6301" s="22"/>
      <c r="AF6301" s="22"/>
    </row>
    <row r="6302" spans="29:32" x14ac:dyDescent="0.2">
      <c r="AC6302" s="20"/>
      <c r="AE6302" s="22"/>
      <c r="AF6302" s="22"/>
    </row>
    <row r="6303" spans="29:32" x14ac:dyDescent="0.2">
      <c r="AC6303" s="20"/>
      <c r="AE6303" s="22"/>
      <c r="AF6303" s="22"/>
    </row>
    <row r="6304" spans="29:32" x14ac:dyDescent="0.2">
      <c r="AC6304" s="20"/>
      <c r="AE6304" s="22"/>
      <c r="AF6304" s="22"/>
    </row>
    <row r="6305" spans="29:32" x14ac:dyDescent="0.2">
      <c r="AC6305" s="20"/>
      <c r="AE6305" s="22"/>
      <c r="AF6305" s="22"/>
    </row>
    <row r="6306" spans="29:32" x14ac:dyDescent="0.2">
      <c r="AC6306" s="20"/>
      <c r="AE6306" s="22"/>
      <c r="AF6306" s="22"/>
    </row>
    <row r="6307" spans="29:32" x14ac:dyDescent="0.2">
      <c r="AC6307" s="20"/>
      <c r="AE6307" s="22"/>
      <c r="AF6307" s="22"/>
    </row>
    <row r="6308" spans="29:32" x14ac:dyDescent="0.2">
      <c r="AC6308" s="20"/>
      <c r="AE6308" s="22"/>
      <c r="AF6308" s="22"/>
    </row>
    <row r="6309" spans="29:32" x14ac:dyDescent="0.2">
      <c r="AC6309" s="20"/>
      <c r="AE6309" s="22"/>
      <c r="AF6309" s="22"/>
    </row>
    <row r="6310" spans="29:32" x14ac:dyDescent="0.2">
      <c r="AC6310" s="20"/>
      <c r="AE6310" s="22"/>
      <c r="AF6310" s="22"/>
    </row>
    <row r="6311" spans="29:32" x14ac:dyDescent="0.2">
      <c r="AC6311" s="20"/>
      <c r="AE6311" s="22"/>
      <c r="AF6311" s="22"/>
    </row>
    <row r="6312" spans="29:32" x14ac:dyDescent="0.2">
      <c r="AC6312" s="20"/>
      <c r="AE6312" s="22"/>
      <c r="AF6312" s="22"/>
    </row>
    <row r="6313" spans="29:32" x14ac:dyDescent="0.2">
      <c r="AC6313" s="20"/>
      <c r="AE6313" s="22"/>
      <c r="AF6313" s="22"/>
    </row>
    <row r="6314" spans="29:32" x14ac:dyDescent="0.2">
      <c r="AC6314" s="20"/>
      <c r="AE6314" s="22"/>
      <c r="AF6314" s="22"/>
    </row>
    <row r="6315" spans="29:32" x14ac:dyDescent="0.2">
      <c r="AC6315" s="20"/>
      <c r="AE6315" s="22"/>
      <c r="AF6315" s="22"/>
    </row>
    <row r="6316" spans="29:32" x14ac:dyDescent="0.2">
      <c r="AC6316" s="20"/>
      <c r="AE6316" s="22"/>
      <c r="AF6316" s="22"/>
    </row>
    <row r="6317" spans="29:32" x14ac:dyDescent="0.2">
      <c r="AC6317" s="20"/>
      <c r="AE6317" s="22"/>
      <c r="AF6317" s="22"/>
    </row>
    <row r="6318" spans="29:32" x14ac:dyDescent="0.2">
      <c r="AC6318" s="20"/>
      <c r="AE6318" s="22"/>
      <c r="AF6318" s="22"/>
    </row>
    <row r="6319" spans="29:32" x14ac:dyDescent="0.2">
      <c r="AC6319" s="20"/>
      <c r="AE6319" s="22"/>
      <c r="AF6319" s="22"/>
    </row>
    <row r="6320" spans="29:32" x14ac:dyDescent="0.2">
      <c r="AC6320" s="20"/>
      <c r="AE6320" s="22"/>
      <c r="AF6320" s="22"/>
    </row>
    <row r="6321" spans="29:32" x14ac:dyDescent="0.2">
      <c r="AC6321" s="20"/>
      <c r="AE6321" s="22"/>
      <c r="AF6321" s="22"/>
    </row>
    <row r="6322" spans="29:32" x14ac:dyDescent="0.2">
      <c r="AC6322" s="20"/>
      <c r="AE6322" s="22"/>
      <c r="AF6322" s="22"/>
    </row>
    <row r="6323" spans="29:32" x14ac:dyDescent="0.2">
      <c r="AC6323" s="20"/>
      <c r="AE6323" s="22"/>
      <c r="AF6323" s="22"/>
    </row>
    <row r="6324" spans="29:32" x14ac:dyDescent="0.2">
      <c r="AC6324" s="20"/>
      <c r="AE6324" s="22"/>
      <c r="AF6324" s="22"/>
    </row>
    <row r="6325" spans="29:32" x14ac:dyDescent="0.2">
      <c r="AC6325" s="20"/>
      <c r="AE6325" s="22"/>
      <c r="AF6325" s="22"/>
    </row>
    <row r="6326" spans="29:32" x14ac:dyDescent="0.2">
      <c r="AC6326" s="20"/>
      <c r="AE6326" s="22"/>
      <c r="AF6326" s="22"/>
    </row>
    <row r="6327" spans="29:32" x14ac:dyDescent="0.2">
      <c r="AC6327" s="20"/>
      <c r="AE6327" s="22"/>
      <c r="AF6327" s="22"/>
    </row>
    <row r="6328" spans="29:32" x14ac:dyDescent="0.2">
      <c r="AC6328" s="20"/>
      <c r="AE6328" s="22"/>
      <c r="AF6328" s="22"/>
    </row>
    <row r="6329" spans="29:32" x14ac:dyDescent="0.2">
      <c r="AC6329" s="20"/>
      <c r="AE6329" s="22"/>
      <c r="AF6329" s="22"/>
    </row>
    <row r="6330" spans="29:32" x14ac:dyDescent="0.2">
      <c r="AC6330" s="20"/>
      <c r="AE6330" s="22"/>
      <c r="AF6330" s="22"/>
    </row>
    <row r="6331" spans="29:32" x14ac:dyDescent="0.2">
      <c r="AC6331" s="20"/>
      <c r="AE6331" s="22"/>
      <c r="AF6331" s="22"/>
    </row>
    <row r="6332" spans="29:32" x14ac:dyDescent="0.2">
      <c r="AC6332" s="20"/>
      <c r="AE6332" s="22"/>
      <c r="AF6332" s="22"/>
    </row>
    <row r="6333" spans="29:32" x14ac:dyDescent="0.2">
      <c r="AC6333" s="20"/>
      <c r="AE6333" s="22"/>
      <c r="AF6333" s="22"/>
    </row>
    <row r="6334" spans="29:32" x14ac:dyDescent="0.2">
      <c r="AC6334" s="20"/>
      <c r="AE6334" s="22"/>
      <c r="AF6334" s="22"/>
    </row>
    <row r="6335" spans="29:32" x14ac:dyDescent="0.2">
      <c r="AC6335" s="20"/>
      <c r="AE6335" s="22"/>
      <c r="AF6335" s="22"/>
    </row>
    <row r="6336" spans="29:32" x14ac:dyDescent="0.2">
      <c r="AC6336" s="20"/>
      <c r="AE6336" s="22"/>
      <c r="AF6336" s="22"/>
    </row>
    <row r="6337" spans="29:32" x14ac:dyDescent="0.2">
      <c r="AC6337" s="20"/>
      <c r="AE6337" s="22"/>
      <c r="AF6337" s="22"/>
    </row>
    <row r="6338" spans="29:32" x14ac:dyDescent="0.2">
      <c r="AC6338" s="20"/>
      <c r="AE6338" s="22"/>
      <c r="AF6338" s="22"/>
    </row>
    <row r="6339" spans="29:32" x14ac:dyDescent="0.2">
      <c r="AC6339" s="20"/>
      <c r="AE6339" s="22"/>
      <c r="AF6339" s="22"/>
    </row>
    <row r="6340" spans="29:32" x14ac:dyDescent="0.2">
      <c r="AC6340" s="20"/>
      <c r="AE6340" s="22"/>
      <c r="AF6340" s="22"/>
    </row>
    <row r="6341" spans="29:32" x14ac:dyDescent="0.2">
      <c r="AC6341" s="20"/>
      <c r="AE6341" s="22"/>
      <c r="AF6341" s="22"/>
    </row>
    <row r="6342" spans="29:32" x14ac:dyDescent="0.2">
      <c r="AC6342" s="20"/>
      <c r="AE6342" s="22"/>
      <c r="AF6342" s="22"/>
    </row>
    <row r="6343" spans="29:32" x14ac:dyDescent="0.2">
      <c r="AC6343" s="20"/>
      <c r="AE6343" s="22"/>
      <c r="AF6343" s="22"/>
    </row>
    <row r="6344" spans="29:32" x14ac:dyDescent="0.2">
      <c r="AC6344" s="20"/>
      <c r="AE6344" s="22"/>
      <c r="AF6344" s="22"/>
    </row>
    <row r="6345" spans="29:32" x14ac:dyDescent="0.2">
      <c r="AC6345" s="20"/>
      <c r="AE6345" s="22"/>
      <c r="AF6345" s="22"/>
    </row>
    <row r="6346" spans="29:32" x14ac:dyDescent="0.2">
      <c r="AC6346" s="20"/>
      <c r="AE6346" s="22"/>
      <c r="AF6346" s="22"/>
    </row>
    <row r="6347" spans="29:32" x14ac:dyDescent="0.2">
      <c r="AC6347" s="20"/>
      <c r="AE6347" s="22"/>
      <c r="AF6347" s="22"/>
    </row>
    <row r="6348" spans="29:32" x14ac:dyDescent="0.2">
      <c r="AC6348" s="20"/>
      <c r="AE6348" s="22"/>
      <c r="AF6348" s="22"/>
    </row>
    <row r="6349" spans="29:32" x14ac:dyDescent="0.2">
      <c r="AC6349" s="20"/>
      <c r="AE6349" s="22"/>
      <c r="AF6349" s="22"/>
    </row>
    <row r="6350" spans="29:32" x14ac:dyDescent="0.2">
      <c r="AC6350" s="20"/>
      <c r="AE6350" s="22"/>
      <c r="AF6350" s="22"/>
    </row>
    <row r="6351" spans="29:32" x14ac:dyDescent="0.2">
      <c r="AC6351" s="20"/>
      <c r="AE6351" s="22"/>
      <c r="AF6351" s="22"/>
    </row>
    <row r="6352" spans="29:32" x14ac:dyDescent="0.2">
      <c r="AC6352" s="20"/>
      <c r="AE6352" s="22"/>
      <c r="AF6352" s="22"/>
    </row>
    <row r="6353" spans="29:32" x14ac:dyDescent="0.2">
      <c r="AC6353" s="20"/>
      <c r="AE6353" s="22"/>
      <c r="AF6353" s="22"/>
    </row>
    <row r="6354" spans="29:32" x14ac:dyDescent="0.2">
      <c r="AC6354" s="20"/>
      <c r="AE6354" s="22"/>
      <c r="AF6354" s="22"/>
    </row>
    <row r="6355" spans="29:32" x14ac:dyDescent="0.2">
      <c r="AC6355" s="20"/>
      <c r="AE6355" s="22"/>
      <c r="AF6355" s="22"/>
    </row>
    <row r="6356" spans="29:32" x14ac:dyDescent="0.2">
      <c r="AC6356" s="20"/>
      <c r="AE6356" s="22"/>
      <c r="AF6356" s="22"/>
    </row>
    <row r="6357" spans="29:32" x14ac:dyDescent="0.2">
      <c r="AC6357" s="20"/>
      <c r="AE6357" s="22"/>
      <c r="AF6357" s="22"/>
    </row>
    <row r="6358" spans="29:32" x14ac:dyDescent="0.2">
      <c r="AC6358" s="20"/>
      <c r="AE6358" s="22"/>
      <c r="AF6358" s="22"/>
    </row>
    <row r="6359" spans="29:32" x14ac:dyDescent="0.2">
      <c r="AC6359" s="20"/>
      <c r="AE6359" s="22"/>
      <c r="AF6359" s="22"/>
    </row>
    <row r="6360" spans="29:32" x14ac:dyDescent="0.2">
      <c r="AC6360" s="20"/>
      <c r="AE6360" s="22"/>
      <c r="AF6360" s="22"/>
    </row>
    <row r="6361" spans="29:32" x14ac:dyDescent="0.2">
      <c r="AC6361" s="20"/>
      <c r="AE6361" s="22"/>
      <c r="AF6361" s="22"/>
    </row>
    <row r="6362" spans="29:32" x14ac:dyDescent="0.2">
      <c r="AC6362" s="20"/>
      <c r="AE6362" s="22"/>
      <c r="AF6362" s="22"/>
    </row>
    <row r="6363" spans="29:32" x14ac:dyDescent="0.2">
      <c r="AC6363" s="20"/>
      <c r="AE6363" s="22"/>
      <c r="AF6363" s="22"/>
    </row>
    <row r="6364" spans="29:32" x14ac:dyDescent="0.2">
      <c r="AC6364" s="20"/>
      <c r="AE6364" s="22"/>
      <c r="AF6364" s="22"/>
    </row>
    <row r="6365" spans="29:32" x14ac:dyDescent="0.2">
      <c r="AC6365" s="20"/>
      <c r="AE6365" s="22"/>
      <c r="AF6365" s="22"/>
    </row>
    <row r="6366" spans="29:32" x14ac:dyDescent="0.2">
      <c r="AC6366" s="20"/>
      <c r="AE6366" s="22"/>
      <c r="AF6366" s="22"/>
    </row>
    <row r="6367" spans="29:32" x14ac:dyDescent="0.2">
      <c r="AC6367" s="20"/>
      <c r="AE6367" s="22"/>
      <c r="AF6367" s="22"/>
    </row>
    <row r="6368" spans="29:32" x14ac:dyDescent="0.2">
      <c r="AC6368" s="20"/>
      <c r="AE6368" s="22"/>
      <c r="AF6368" s="22"/>
    </row>
    <row r="6369" spans="29:32" x14ac:dyDescent="0.2">
      <c r="AC6369" s="20"/>
      <c r="AE6369" s="22"/>
      <c r="AF6369" s="22"/>
    </row>
    <row r="6370" spans="29:32" x14ac:dyDescent="0.2">
      <c r="AC6370" s="20"/>
      <c r="AE6370" s="22"/>
      <c r="AF6370" s="22"/>
    </row>
    <row r="6371" spans="29:32" x14ac:dyDescent="0.2">
      <c r="AC6371" s="20"/>
      <c r="AE6371" s="22"/>
      <c r="AF6371" s="22"/>
    </row>
    <row r="6372" spans="29:32" x14ac:dyDescent="0.2">
      <c r="AC6372" s="20"/>
      <c r="AE6372" s="22"/>
      <c r="AF6372" s="22"/>
    </row>
    <row r="6373" spans="29:32" x14ac:dyDescent="0.2">
      <c r="AC6373" s="20"/>
      <c r="AE6373" s="22"/>
      <c r="AF6373" s="22"/>
    </row>
    <row r="6374" spans="29:32" x14ac:dyDescent="0.2">
      <c r="AC6374" s="20"/>
      <c r="AE6374" s="22"/>
      <c r="AF6374" s="22"/>
    </row>
    <row r="6375" spans="29:32" x14ac:dyDescent="0.2">
      <c r="AC6375" s="20"/>
      <c r="AE6375" s="22"/>
      <c r="AF6375" s="22"/>
    </row>
    <row r="6376" spans="29:32" x14ac:dyDescent="0.2">
      <c r="AC6376" s="20"/>
      <c r="AE6376" s="22"/>
      <c r="AF6376" s="22"/>
    </row>
    <row r="6377" spans="29:32" x14ac:dyDescent="0.2">
      <c r="AC6377" s="20"/>
      <c r="AE6377" s="22"/>
      <c r="AF6377" s="22"/>
    </row>
    <row r="6378" spans="29:32" x14ac:dyDescent="0.2">
      <c r="AC6378" s="20"/>
      <c r="AE6378" s="22"/>
      <c r="AF6378" s="22"/>
    </row>
    <row r="6379" spans="29:32" x14ac:dyDescent="0.2">
      <c r="AC6379" s="20"/>
      <c r="AE6379" s="22"/>
      <c r="AF6379" s="22"/>
    </row>
    <row r="6380" spans="29:32" x14ac:dyDescent="0.2">
      <c r="AC6380" s="20"/>
      <c r="AE6380" s="22"/>
      <c r="AF6380" s="22"/>
    </row>
    <row r="6381" spans="29:32" x14ac:dyDescent="0.2">
      <c r="AC6381" s="20"/>
      <c r="AE6381" s="22"/>
      <c r="AF6381" s="22"/>
    </row>
    <row r="6382" spans="29:32" x14ac:dyDescent="0.2">
      <c r="AC6382" s="20"/>
      <c r="AE6382" s="22"/>
      <c r="AF6382" s="22"/>
    </row>
    <row r="6383" spans="29:32" x14ac:dyDescent="0.2">
      <c r="AC6383" s="20"/>
      <c r="AE6383" s="22"/>
      <c r="AF6383" s="22"/>
    </row>
    <row r="6384" spans="29:32" x14ac:dyDescent="0.2">
      <c r="AC6384" s="20"/>
      <c r="AE6384" s="22"/>
      <c r="AF6384" s="22"/>
    </row>
    <row r="6385" spans="29:32" x14ac:dyDescent="0.2">
      <c r="AC6385" s="20"/>
      <c r="AE6385" s="22"/>
      <c r="AF6385" s="22"/>
    </row>
    <row r="6386" spans="29:32" x14ac:dyDescent="0.2">
      <c r="AC6386" s="20"/>
      <c r="AE6386" s="22"/>
      <c r="AF6386" s="22"/>
    </row>
    <row r="6387" spans="29:32" x14ac:dyDescent="0.2">
      <c r="AC6387" s="20"/>
      <c r="AE6387" s="22"/>
      <c r="AF6387" s="22"/>
    </row>
    <row r="6388" spans="29:32" x14ac:dyDescent="0.2">
      <c r="AC6388" s="20"/>
      <c r="AE6388" s="22"/>
      <c r="AF6388" s="22"/>
    </row>
    <row r="6389" spans="29:32" x14ac:dyDescent="0.2">
      <c r="AC6389" s="20"/>
      <c r="AE6389" s="22"/>
      <c r="AF6389" s="22"/>
    </row>
    <row r="6390" spans="29:32" x14ac:dyDescent="0.2">
      <c r="AC6390" s="20"/>
      <c r="AE6390" s="22"/>
      <c r="AF6390" s="22"/>
    </row>
    <row r="6391" spans="29:32" x14ac:dyDescent="0.2">
      <c r="AC6391" s="20"/>
      <c r="AE6391" s="22"/>
      <c r="AF6391" s="22"/>
    </row>
    <row r="6392" spans="29:32" x14ac:dyDescent="0.2">
      <c r="AC6392" s="20"/>
      <c r="AE6392" s="22"/>
      <c r="AF6392" s="22"/>
    </row>
    <row r="6393" spans="29:32" x14ac:dyDescent="0.2">
      <c r="AC6393" s="20"/>
      <c r="AE6393" s="22"/>
      <c r="AF6393" s="22"/>
    </row>
    <row r="6394" spans="29:32" x14ac:dyDescent="0.2">
      <c r="AC6394" s="20"/>
      <c r="AE6394" s="22"/>
      <c r="AF6394" s="22"/>
    </row>
    <row r="6395" spans="29:32" x14ac:dyDescent="0.2">
      <c r="AC6395" s="20"/>
      <c r="AE6395" s="22"/>
      <c r="AF6395" s="22"/>
    </row>
    <row r="6396" spans="29:32" x14ac:dyDescent="0.2">
      <c r="AC6396" s="20"/>
      <c r="AE6396" s="22"/>
      <c r="AF6396" s="22"/>
    </row>
    <row r="6397" spans="29:32" x14ac:dyDescent="0.2">
      <c r="AC6397" s="20"/>
      <c r="AE6397" s="22"/>
      <c r="AF6397" s="22"/>
    </row>
    <row r="6398" spans="29:32" x14ac:dyDescent="0.2">
      <c r="AC6398" s="20"/>
      <c r="AE6398" s="22"/>
      <c r="AF6398" s="22"/>
    </row>
    <row r="6399" spans="29:32" x14ac:dyDescent="0.2">
      <c r="AC6399" s="20"/>
      <c r="AE6399" s="22"/>
      <c r="AF6399" s="22"/>
    </row>
    <row r="6400" spans="29:32" x14ac:dyDescent="0.2">
      <c r="AC6400" s="20"/>
      <c r="AE6400" s="22"/>
      <c r="AF6400" s="22"/>
    </row>
    <row r="6401" spans="29:32" x14ac:dyDescent="0.2">
      <c r="AC6401" s="20"/>
      <c r="AE6401" s="22"/>
      <c r="AF6401" s="22"/>
    </row>
    <row r="6402" spans="29:32" x14ac:dyDescent="0.2">
      <c r="AC6402" s="20"/>
      <c r="AE6402" s="22"/>
      <c r="AF6402" s="22"/>
    </row>
    <row r="6403" spans="29:32" x14ac:dyDescent="0.2">
      <c r="AC6403" s="20"/>
      <c r="AE6403" s="22"/>
      <c r="AF6403" s="22"/>
    </row>
    <row r="6404" spans="29:32" x14ac:dyDescent="0.2">
      <c r="AC6404" s="20"/>
      <c r="AE6404" s="22"/>
      <c r="AF6404" s="22"/>
    </row>
    <row r="6405" spans="29:32" x14ac:dyDescent="0.2">
      <c r="AC6405" s="20"/>
      <c r="AE6405" s="22"/>
      <c r="AF6405" s="22"/>
    </row>
    <row r="6406" spans="29:32" x14ac:dyDescent="0.2">
      <c r="AC6406" s="20"/>
      <c r="AE6406" s="22"/>
      <c r="AF6406" s="22"/>
    </row>
    <row r="6407" spans="29:32" x14ac:dyDescent="0.2">
      <c r="AC6407" s="20"/>
      <c r="AE6407" s="22"/>
      <c r="AF6407" s="22"/>
    </row>
    <row r="6408" spans="29:32" x14ac:dyDescent="0.2">
      <c r="AC6408" s="20"/>
      <c r="AE6408" s="22"/>
      <c r="AF6408" s="22"/>
    </row>
    <row r="6409" spans="29:32" x14ac:dyDescent="0.2">
      <c r="AC6409" s="20"/>
      <c r="AE6409" s="22"/>
      <c r="AF6409" s="22"/>
    </row>
    <row r="6410" spans="29:32" x14ac:dyDescent="0.2">
      <c r="AC6410" s="20"/>
      <c r="AE6410" s="22"/>
      <c r="AF6410" s="22"/>
    </row>
    <row r="6411" spans="29:32" x14ac:dyDescent="0.2">
      <c r="AC6411" s="20"/>
      <c r="AE6411" s="22"/>
      <c r="AF6411" s="22"/>
    </row>
    <row r="6412" spans="29:32" x14ac:dyDescent="0.2">
      <c r="AC6412" s="20"/>
      <c r="AE6412" s="22"/>
      <c r="AF6412" s="22"/>
    </row>
    <row r="6413" spans="29:32" x14ac:dyDescent="0.2">
      <c r="AC6413" s="20"/>
      <c r="AE6413" s="22"/>
      <c r="AF6413" s="22"/>
    </row>
    <row r="6414" spans="29:32" x14ac:dyDescent="0.2">
      <c r="AC6414" s="20"/>
      <c r="AE6414" s="22"/>
      <c r="AF6414" s="22"/>
    </row>
    <row r="6415" spans="29:32" x14ac:dyDescent="0.2">
      <c r="AC6415" s="20"/>
      <c r="AE6415" s="22"/>
      <c r="AF6415" s="22"/>
    </row>
    <row r="6416" spans="29:32" x14ac:dyDescent="0.2">
      <c r="AC6416" s="20"/>
      <c r="AE6416" s="22"/>
      <c r="AF6416" s="22"/>
    </row>
    <row r="6417" spans="29:32" x14ac:dyDescent="0.2">
      <c r="AC6417" s="20"/>
      <c r="AE6417" s="22"/>
      <c r="AF6417" s="22"/>
    </row>
    <row r="6418" spans="29:32" x14ac:dyDescent="0.2">
      <c r="AC6418" s="20"/>
      <c r="AE6418" s="22"/>
      <c r="AF6418" s="22"/>
    </row>
    <row r="6419" spans="29:32" x14ac:dyDescent="0.2">
      <c r="AC6419" s="20"/>
      <c r="AE6419" s="22"/>
      <c r="AF6419" s="22"/>
    </row>
    <row r="6420" spans="29:32" x14ac:dyDescent="0.2">
      <c r="AC6420" s="20"/>
      <c r="AE6420" s="22"/>
      <c r="AF6420" s="22"/>
    </row>
    <row r="6421" spans="29:32" x14ac:dyDescent="0.2">
      <c r="AC6421" s="20"/>
      <c r="AE6421" s="22"/>
      <c r="AF6421" s="22"/>
    </row>
    <row r="6422" spans="29:32" x14ac:dyDescent="0.2">
      <c r="AC6422" s="20"/>
      <c r="AE6422" s="22"/>
      <c r="AF6422" s="22"/>
    </row>
    <row r="6423" spans="29:32" x14ac:dyDescent="0.2">
      <c r="AC6423" s="20"/>
      <c r="AE6423" s="22"/>
      <c r="AF6423" s="22"/>
    </row>
    <row r="6424" spans="29:32" x14ac:dyDescent="0.2">
      <c r="AC6424" s="20"/>
      <c r="AE6424" s="22"/>
      <c r="AF6424" s="22"/>
    </row>
    <row r="6425" spans="29:32" x14ac:dyDescent="0.2">
      <c r="AC6425" s="20"/>
      <c r="AE6425" s="22"/>
      <c r="AF6425" s="22"/>
    </row>
    <row r="6426" spans="29:32" x14ac:dyDescent="0.2">
      <c r="AC6426" s="20"/>
      <c r="AE6426" s="22"/>
      <c r="AF6426" s="22"/>
    </row>
    <row r="6427" spans="29:32" x14ac:dyDescent="0.2">
      <c r="AC6427" s="20"/>
      <c r="AE6427" s="22"/>
      <c r="AF6427" s="22"/>
    </row>
    <row r="6428" spans="29:32" x14ac:dyDescent="0.2">
      <c r="AC6428" s="20"/>
      <c r="AE6428" s="22"/>
      <c r="AF6428" s="22"/>
    </row>
    <row r="6429" spans="29:32" x14ac:dyDescent="0.2">
      <c r="AC6429" s="20"/>
      <c r="AE6429" s="22"/>
      <c r="AF6429" s="22"/>
    </row>
    <row r="6430" spans="29:32" x14ac:dyDescent="0.2">
      <c r="AC6430" s="20"/>
      <c r="AE6430" s="22"/>
      <c r="AF6430" s="22"/>
    </row>
    <row r="6431" spans="29:32" x14ac:dyDescent="0.2">
      <c r="AC6431" s="20"/>
      <c r="AE6431" s="22"/>
      <c r="AF6431" s="22"/>
    </row>
    <row r="6432" spans="29:32" x14ac:dyDescent="0.2">
      <c r="AC6432" s="20"/>
      <c r="AE6432" s="22"/>
      <c r="AF6432" s="22"/>
    </row>
    <row r="6433" spans="29:32" x14ac:dyDescent="0.2">
      <c r="AC6433" s="20"/>
      <c r="AE6433" s="22"/>
      <c r="AF6433" s="22"/>
    </row>
    <row r="6434" spans="29:32" x14ac:dyDescent="0.2">
      <c r="AC6434" s="20"/>
      <c r="AE6434" s="22"/>
      <c r="AF6434" s="22"/>
    </row>
    <row r="6435" spans="29:32" x14ac:dyDescent="0.2">
      <c r="AC6435" s="20"/>
      <c r="AE6435" s="22"/>
      <c r="AF6435" s="22"/>
    </row>
    <row r="6436" spans="29:32" x14ac:dyDescent="0.2">
      <c r="AC6436" s="20"/>
      <c r="AE6436" s="22"/>
      <c r="AF6436" s="22"/>
    </row>
    <row r="6437" spans="29:32" x14ac:dyDescent="0.2">
      <c r="AC6437" s="20"/>
      <c r="AE6437" s="22"/>
      <c r="AF6437" s="22"/>
    </row>
    <row r="6438" spans="29:32" x14ac:dyDescent="0.2">
      <c r="AC6438" s="20"/>
      <c r="AE6438" s="22"/>
      <c r="AF6438" s="22"/>
    </row>
    <row r="6439" spans="29:32" x14ac:dyDescent="0.2">
      <c r="AC6439" s="20"/>
      <c r="AE6439" s="22"/>
      <c r="AF6439" s="22"/>
    </row>
    <row r="6440" spans="29:32" x14ac:dyDescent="0.2">
      <c r="AC6440" s="20"/>
      <c r="AE6440" s="22"/>
      <c r="AF6440" s="22"/>
    </row>
    <row r="6441" spans="29:32" x14ac:dyDescent="0.2">
      <c r="AC6441" s="20"/>
      <c r="AE6441" s="22"/>
      <c r="AF6441" s="22"/>
    </row>
    <row r="6442" spans="29:32" x14ac:dyDescent="0.2">
      <c r="AC6442" s="20"/>
      <c r="AE6442" s="22"/>
      <c r="AF6442" s="22"/>
    </row>
    <row r="6443" spans="29:32" x14ac:dyDescent="0.2">
      <c r="AC6443" s="20"/>
      <c r="AE6443" s="22"/>
      <c r="AF6443" s="22"/>
    </row>
    <row r="6444" spans="29:32" x14ac:dyDescent="0.2">
      <c r="AC6444" s="20"/>
      <c r="AE6444" s="22"/>
      <c r="AF6444" s="22"/>
    </row>
    <row r="6445" spans="29:32" x14ac:dyDescent="0.2">
      <c r="AC6445" s="20"/>
      <c r="AE6445" s="22"/>
      <c r="AF6445" s="22"/>
    </row>
    <row r="6446" spans="29:32" x14ac:dyDescent="0.2">
      <c r="AC6446" s="20"/>
      <c r="AE6446" s="22"/>
      <c r="AF6446" s="22"/>
    </row>
    <row r="6447" spans="29:32" x14ac:dyDescent="0.2">
      <c r="AC6447" s="20"/>
      <c r="AE6447" s="22"/>
      <c r="AF6447" s="22"/>
    </row>
    <row r="6448" spans="29:32" x14ac:dyDescent="0.2">
      <c r="AC6448" s="20"/>
      <c r="AE6448" s="22"/>
      <c r="AF6448" s="22"/>
    </row>
    <row r="6449" spans="29:32" x14ac:dyDescent="0.2">
      <c r="AC6449" s="20"/>
      <c r="AE6449" s="22"/>
      <c r="AF6449" s="22"/>
    </row>
    <row r="6450" spans="29:32" x14ac:dyDescent="0.2">
      <c r="AC6450" s="20"/>
      <c r="AE6450" s="22"/>
      <c r="AF6450" s="22"/>
    </row>
    <row r="6451" spans="29:32" x14ac:dyDescent="0.2">
      <c r="AC6451" s="20"/>
      <c r="AE6451" s="22"/>
      <c r="AF6451" s="22"/>
    </row>
    <row r="6452" spans="29:32" x14ac:dyDescent="0.2">
      <c r="AC6452" s="20"/>
      <c r="AE6452" s="22"/>
      <c r="AF6452" s="22"/>
    </row>
    <row r="6453" spans="29:32" x14ac:dyDescent="0.2">
      <c r="AC6453" s="20"/>
      <c r="AE6453" s="22"/>
      <c r="AF6453" s="22"/>
    </row>
    <row r="6454" spans="29:32" x14ac:dyDescent="0.2">
      <c r="AC6454" s="20"/>
      <c r="AE6454" s="22"/>
      <c r="AF6454" s="22"/>
    </row>
    <row r="6455" spans="29:32" x14ac:dyDescent="0.2">
      <c r="AC6455" s="20"/>
      <c r="AE6455" s="22"/>
      <c r="AF6455" s="22"/>
    </row>
    <row r="6456" spans="29:32" x14ac:dyDescent="0.2">
      <c r="AC6456" s="20"/>
      <c r="AE6456" s="22"/>
      <c r="AF6456" s="22"/>
    </row>
    <row r="6457" spans="29:32" x14ac:dyDescent="0.2">
      <c r="AC6457" s="20"/>
      <c r="AE6457" s="22"/>
      <c r="AF6457" s="22"/>
    </row>
    <row r="6458" spans="29:32" x14ac:dyDescent="0.2">
      <c r="AC6458" s="20"/>
      <c r="AE6458" s="22"/>
      <c r="AF6458" s="22"/>
    </row>
    <row r="6459" spans="29:32" x14ac:dyDescent="0.2">
      <c r="AC6459" s="20"/>
      <c r="AE6459" s="22"/>
      <c r="AF6459" s="22"/>
    </row>
    <row r="6460" spans="29:32" x14ac:dyDescent="0.2">
      <c r="AC6460" s="20"/>
      <c r="AE6460" s="22"/>
      <c r="AF6460" s="22"/>
    </row>
    <row r="6461" spans="29:32" x14ac:dyDescent="0.2">
      <c r="AC6461" s="20"/>
      <c r="AE6461" s="22"/>
      <c r="AF6461" s="22"/>
    </row>
    <row r="6462" spans="29:32" x14ac:dyDescent="0.2">
      <c r="AC6462" s="20"/>
      <c r="AE6462" s="22"/>
      <c r="AF6462" s="22"/>
    </row>
    <row r="6463" spans="29:32" x14ac:dyDescent="0.2">
      <c r="AC6463" s="20"/>
      <c r="AE6463" s="22"/>
      <c r="AF6463" s="22"/>
    </row>
    <row r="6464" spans="29:32" x14ac:dyDescent="0.2">
      <c r="AC6464" s="20"/>
      <c r="AE6464" s="22"/>
      <c r="AF6464" s="22"/>
    </row>
    <row r="6465" spans="29:32" x14ac:dyDescent="0.2">
      <c r="AC6465" s="20"/>
      <c r="AE6465" s="22"/>
      <c r="AF6465" s="22"/>
    </row>
    <row r="6466" spans="29:32" x14ac:dyDescent="0.2">
      <c r="AC6466" s="20"/>
      <c r="AE6466" s="22"/>
      <c r="AF6466" s="22"/>
    </row>
    <row r="6467" spans="29:32" x14ac:dyDescent="0.2">
      <c r="AC6467" s="20"/>
      <c r="AE6467" s="22"/>
      <c r="AF6467" s="22"/>
    </row>
    <row r="6468" spans="29:32" x14ac:dyDescent="0.2">
      <c r="AC6468" s="20"/>
      <c r="AE6468" s="22"/>
      <c r="AF6468" s="22"/>
    </row>
    <row r="6469" spans="29:32" x14ac:dyDescent="0.2">
      <c r="AC6469" s="20"/>
      <c r="AE6469" s="22"/>
      <c r="AF6469" s="22"/>
    </row>
    <row r="6470" spans="29:32" x14ac:dyDescent="0.2">
      <c r="AC6470" s="20"/>
      <c r="AE6470" s="22"/>
      <c r="AF6470" s="22"/>
    </row>
    <row r="6471" spans="29:32" x14ac:dyDescent="0.2">
      <c r="AC6471" s="20"/>
      <c r="AE6471" s="22"/>
      <c r="AF6471" s="22"/>
    </row>
    <row r="6472" spans="29:32" x14ac:dyDescent="0.2">
      <c r="AC6472" s="20"/>
      <c r="AE6472" s="22"/>
      <c r="AF6472" s="22"/>
    </row>
    <row r="6473" spans="29:32" x14ac:dyDescent="0.2">
      <c r="AC6473" s="20"/>
      <c r="AE6473" s="22"/>
      <c r="AF6473" s="22"/>
    </row>
    <row r="6474" spans="29:32" x14ac:dyDescent="0.2">
      <c r="AC6474" s="20"/>
      <c r="AE6474" s="22"/>
      <c r="AF6474" s="22"/>
    </row>
    <row r="6475" spans="29:32" x14ac:dyDescent="0.2">
      <c r="AC6475" s="20"/>
      <c r="AE6475" s="22"/>
      <c r="AF6475" s="22"/>
    </row>
    <row r="6476" spans="29:32" x14ac:dyDescent="0.2">
      <c r="AC6476" s="20"/>
      <c r="AE6476" s="22"/>
      <c r="AF6476" s="22"/>
    </row>
    <row r="6477" spans="29:32" x14ac:dyDescent="0.2">
      <c r="AC6477" s="20"/>
      <c r="AE6477" s="22"/>
      <c r="AF6477" s="22"/>
    </row>
    <row r="6478" spans="29:32" x14ac:dyDescent="0.2">
      <c r="AC6478" s="20"/>
      <c r="AE6478" s="22"/>
      <c r="AF6478" s="22"/>
    </row>
    <row r="6479" spans="29:32" x14ac:dyDescent="0.2">
      <c r="AC6479" s="20"/>
      <c r="AE6479" s="22"/>
      <c r="AF6479" s="22"/>
    </row>
    <row r="6480" spans="29:32" x14ac:dyDescent="0.2">
      <c r="AC6480" s="20"/>
      <c r="AE6480" s="22"/>
      <c r="AF6480" s="22"/>
    </row>
    <row r="6481" spans="29:32" x14ac:dyDescent="0.2">
      <c r="AC6481" s="20"/>
      <c r="AE6481" s="22"/>
      <c r="AF6481" s="22"/>
    </row>
    <row r="6482" spans="29:32" x14ac:dyDescent="0.2">
      <c r="AC6482" s="20"/>
      <c r="AE6482" s="22"/>
      <c r="AF6482" s="22"/>
    </row>
    <row r="6483" spans="29:32" x14ac:dyDescent="0.2">
      <c r="AC6483" s="20"/>
      <c r="AE6483" s="22"/>
      <c r="AF6483" s="22"/>
    </row>
    <row r="6484" spans="29:32" x14ac:dyDescent="0.2">
      <c r="AC6484" s="20"/>
      <c r="AE6484" s="22"/>
      <c r="AF6484" s="22"/>
    </row>
    <row r="6485" spans="29:32" x14ac:dyDescent="0.2">
      <c r="AC6485" s="20"/>
      <c r="AE6485" s="22"/>
      <c r="AF6485" s="22"/>
    </row>
    <row r="6486" spans="29:32" x14ac:dyDescent="0.2">
      <c r="AC6486" s="20"/>
      <c r="AE6486" s="22"/>
      <c r="AF6486" s="22"/>
    </row>
    <row r="6487" spans="29:32" x14ac:dyDescent="0.2">
      <c r="AC6487" s="20"/>
      <c r="AE6487" s="22"/>
      <c r="AF6487" s="22"/>
    </row>
    <row r="6488" spans="29:32" x14ac:dyDescent="0.2">
      <c r="AC6488" s="20"/>
      <c r="AE6488" s="22"/>
      <c r="AF6488" s="22"/>
    </row>
    <row r="6489" spans="29:32" x14ac:dyDescent="0.2">
      <c r="AC6489" s="20"/>
      <c r="AE6489" s="22"/>
      <c r="AF6489" s="22"/>
    </row>
    <row r="6490" spans="29:32" x14ac:dyDescent="0.2">
      <c r="AC6490" s="20"/>
      <c r="AE6490" s="22"/>
      <c r="AF6490" s="22"/>
    </row>
    <row r="6491" spans="29:32" x14ac:dyDescent="0.2">
      <c r="AC6491" s="20"/>
      <c r="AE6491" s="22"/>
      <c r="AF6491" s="22"/>
    </row>
    <row r="6492" spans="29:32" x14ac:dyDescent="0.2">
      <c r="AC6492" s="20"/>
      <c r="AE6492" s="22"/>
      <c r="AF6492" s="22"/>
    </row>
    <row r="6493" spans="29:32" x14ac:dyDescent="0.2">
      <c r="AC6493" s="20"/>
      <c r="AE6493" s="22"/>
      <c r="AF6493" s="22"/>
    </row>
    <row r="6494" spans="29:32" x14ac:dyDescent="0.2">
      <c r="AC6494" s="20"/>
      <c r="AE6494" s="22"/>
      <c r="AF6494" s="22"/>
    </row>
    <row r="6495" spans="29:32" x14ac:dyDescent="0.2">
      <c r="AC6495" s="20"/>
      <c r="AE6495" s="22"/>
      <c r="AF6495" s="22"/>
    </row>
    <row r="6496" spans="29:32" x14ac:dyDescent="0.2">
      <c r="AC6496" s="20"/>
      <c r="AE6496" s="22"/>
      <c r="AF6496" s="22"/>
    </row>
    <row r="6497" spans="29:32" x14ac:dyDescent="0.2">
      <c r="AC6497" s="20"/>
      <c r="AE6497" s="22"/>
      <c r="AF6497" s="22"/>
    </row>
    <row r="6498" spans="29:32" x14ac:dyDescent="0.2">
      <c r="AC6498" s="20"/>
      <c r="AE6498" s="22"/>
      <c r="AF6498" s="22"/>
    </row>
    <row r="6499" spans="29:32" x14ac:dyDescent="0.2">
      <c r="AC6499" s="20"/>
      <c r="AE6499" s="22"/>
      <c r="AF6499" s="22"/>
    </row>
    <row r="6500" spans="29:32" x14ac:dyDescent="0.2">
      <c r="AC6500" s="20"/>
      <c r="AE6500" s="22"/>
      <c r="AF6500" s="22"/>
    </row>
    <row r="6501" spans="29:32" x14ac:dyDescent="0.2">
      <c r="AC6501" s="20"/>
      <c r="AE6501" s="22"/>
      <c r="AF6501" s="22"/>
    </row>
    <row r="6502" spans="29:32" x14ac:dyDescent="0.2">
      <c r="AC6502" s="20"/>
      <c r="AE6502" s="22"/>
      <c r="AF6502" s="22"/>
    </row>
    <row r="6503" spans="29:32" x14ac:dyDescent="0.2">
      <c r="AC6503" s="20"/>
      <c r="AE6503" s="22"/>
      <c r="AF6503" s="22"/>
    </row>
    <row r="6504" spans="29:32" x14ac:dyDescent="0.2">
      <c r="AC6504" s="20"/>
      <c r="AE6504" s="22"/>
      <c r="AF6504" s="22"/>
    </row>
    <row r="6505" spans="29:32" x14ac:dyDescent="0.2">
      <c r="AC6505" s="20"/>
      <c r="AE6505" s="22"/>
      <c r="AF6505" s="22"/>
    </row>
    <row r="6506" spans="29:32" x14ac:dyDescent="0.2">
      <c r="AC6506" s="20"/>
      <c r="AE6506" s="22"/>
      <c r="AF6506" s="22"/>
    </row>
    <row r="6507" spans="29:32" x14ac:dyDescent="0.2">
      <c r="AC6507" s="20"/>
      <c r="AE6507" s="22"/>
      <c r="AF6507" s="22"/>
    </row>
    <row r="6508" spans="29:32" x14ac:dyDescent="0.2">
      <c r="AC6508" s="20"/>
      <c r="AE6508" s="22"/>
      <c r="AF6508" s="22"/>
    </row>
    <row r="6509" spans="29:32" x14ac:dyDescent="0.2">
      <c r="AC6509" s="20"/>
      <c r="AE6509" s="22"/>
      <c r="AF6509" s="22"/>
    </row>
    <row r="6510" spans="29:32" x14ac:dyDescent="0.2">
      <c r="AC6510" s="20"/>
      <c r="AE6510" s="22"/>
      <c r="AF6510" s="22"/>
    </row>
    <row r="6511" spans="29:32" x14ac:dyDescent="0.2">
      <c r="AC6511" s="20"/>
      <c r="AE6511" s="22"/>
      <c r="AF6511" s="22"/>
    </row>
    <row r="6512" spans="29:32" x14ac:dyDescent="0.2">
      <c r="AC6512" s="20"/>
      <c r="AE6512" s="22"/>
      <c r="AF6512" s="22"/>
    </row>
    <row r="6513" spans="29:32" x14ac:dyDescent="0.2">
      <c r="AC6513" s="20"/>
      <c r="AE6513" s="22"/>
      <c r="AF6513" s="22"/>
    </row>
    <row r="6514" spans="29:32" x14ac:dyDescent="0.2">
      <c r="AC6514" s="20"/>
      <c r="AE6514" s="22"/>
      <c r="AF6514" s="22"/>
    </row>
    <row r="6515" spans="29:32" x14ac:dyDescent="0.2">
      <c r="AC6515" s="20"/>
      <c r="AE6515" s="22"/>
      <c r="AF6515" s="22"/>
    </row>
    <row r="6516" spans="29:32" x14ac:dyDescent="0.2">
      <c r="AC6516" s="20"/>
      <c r="AE6516" s="22"/>
      <c r="AF6516" s="22"/>
    </row>
    <row r="6517" spans="29:32" x14ac:dyDescent="0.2">
      <c r="AC6517" s="20"/>
      <c r="AE6517" s="22"/>
      <c r="AF6517" s="22"/>
    </row>
    <row r="6518" spans="29:32" x14ac:dyDescent="0.2">
      <c r="AC6518" s="20"/>
      <c r="AE6518" s="22"/>
      <c r="AF6518" s="22"/>
    </row>
    <row r="6519" spans="29:32" x14ac:dyDescent="0.2">
      <c r="AC6519" s="20"/>
      <c r="AE6519" s="22"/>
      <c r="AF6519" s="22"/>
    </row>
    <row r="6520" spans="29:32" x14ac:dyDescent="0.2">
      <c r="AC6520" s="20"/>
      <c r="AE6520" s="22"/>
      <c r="AF6520" s="22"/>
    </row>
    <row r="6521" spans="29:32" x14ac:dyDescent="0.2">
      <c r="AC6521" s="20"/>
      <c r="AE6521" s="22"/>
      <c r="AF6521" s="22"/>
    </row>
    <row r="6522" spans="29:32" x14ac:dyDescent="0.2">
      <c r="AC6522" s="20"/>
      <c r="AE6522" s="22"/>
      <c r="AF6522" s="22"/>
    </row>
    <row r="6523" spans="29:32" x14ac:dyDescent="0.2">
      <c r="AC6523" s="20"/>
      <c r="AE6523" s="22"/>
      <c r="AF6523" s="22"/>
    </row>
    <row r="6524" spans="29:32" x14ac:dyDescent="0.2">
      <c r="AC6524" s="20"/>
      <c r="AE6524" s="22"/>
      <c r="AF6524" s="22"/>
    </row>
    <row r="6525" spans="29:32" x14ac:dyDescent="0.2">
      <c r="AC6525" s="20"/>
      <c r="AE6525" s="22"/>
      <c r="AF6525" s="22"/>
    </row>
    <row r="6526" spans="29:32" x14ac:dyDescent="0.2">
      <c r="AC6526" s="20"/>
      <c r="AE6526" s="22"/>
      <c r="AF6526" s="22"/>
    </row>
    <row r="6527" spans="29:32" x14ac:dyDescent="0.2">
      <c r="AC6527" s="20"/>
      <c r="AE6527" s="22"/>
      <c r="AF6527" s="22"/>
    </row>
    <row r="6528" spans="29:32" x14ac:dyDescent="0.2">
      <c r="AC6528" s="20"/>
      <c r="AE6528" s="22"/>
      <c r="AF6528" s="22"/>
    </row>
    <row r="6529" spans="29:32" x14ac:dyDescent="0.2">
      <c r="AC6529" s="20"/>
      <c r="AE6529" s="22"/>
      <c r="AF6529" s="22"/>
    </row>
    <row r="6530" spans="29:32" x14ac:dyDescent="0.2">
      <c r="AC6530" s="20"/>
      <c r="AE6530" s="22"/>
      <c r="AF6530" s="22"/>
    </row>
    <row r="6531" spans="29:32" x14ac:dyDescent="0.2">
      <c r="AC6531" s="20"/>
      <c r="AE6531" s="22"/>
      <c r="AF6531" s="22"/>
    </row>
    <row r="6532" spans="29:32" x14ac:dyDescent="0.2">
      <c r="AC6532" s="20"/>
      <c r="AE6532" s="22"/>
      <c r="AF6532" s="22"/>
    </row>
    <row r="6533" spans="29:32" x14ac:dyDescent="0.2">
      <c r="AC6533" s="20"/>
      <c r="AE6533" s="22"/>
      <c r="AF6533" s="22"/>
    </row>
    <row r="6534" spans="29:32" x14ac:dyDescent="0.2">
      <c r="AC6534" s="20"/>
      <c r="AE6534" s="22"/>
      <c r="AF6534" s="22"/>
    </row>
    <row r="6535" spans="29:32" x14ac:dyDescent="0.2">
      <c r="AC6535" s="20"/>
      <c r="AE6535" s="22"/>
      <c r="AF6535" s="22"/>
    </row>
    <row r="6536" spans="29:32" x14ac:dyDescent="0.2">
      <c r="AC6536" s="20"/>
      <c r="AE6536" s="22"/>
      <c r="AF6536" s="22"/>
    </row>
    <row r="6537" spans="29:32" x14ac:dyDescent="0.2">
      <c r="AC6537" s="20"/>
      <c r="AE6537" s="22"/>
      <c r="AF6537" s="22"/>
    </row>
    <row r="6538" spans="29:32" x14ac:dyDescent="0.2">
      <c r="AC6538" s="20"/>
      <c r="AE6538" s="22"/>
      <c r="AF6538" s="22"/>
    </row>
    <row r="6539" spans="29:32" x14ac:dyDescent="0.2">
      <c r="AC6539" s="20"/>
      <c r="AE6539" s="22"/>
      <c r="AF6539" s="22"/>
    </row>
    <row r="6540" spans="29:32" x14ac:dyDescent="0.2">
      <c r="AC6540" s="20"/>
      <c r="AE6540" s="22"/>
      <c r="AF6540" s="22"/>
    </row>
    <row r="6541" spans="29:32" x14ac:dyDescent="0.2">
      <c r="AC6541" s="20"/>
      <c r="AE6541" s="22"/>
      <c r="AF6541" s="22"/>
    </row>
    <row r="6542" spans="29:32" x14ac:dyDescent="0.2">
      <c r="AC6542" s="20"/>
      <c r="AE6542" s="22"/>
      <c r="AF6542" s="22"/>
    </row>
    <row r="6543" spans="29:32" x14ac:dyDescent="0.2">
      <c r="AC6543" s="20"/>
      <c r="AE6543" s="22"/>
      <c r="AF6543" s="22"/>
    </row>
    <row r="6544" spans="29:32" x14ac:dyDescent="0.2">
      <c r="AC6544" s="20"/>
      <c r="AE6544" s="22"/>
      <c r="AF6544" s="22"/>
    </row>
    <row r="6545" spans="29:32" x14ac:dyDescent="0.2">
      <c r="AC6545" s="20"/>
      <c r="AE6545" s="22"/>
      <c r="AF6545" s="22"/>
    </row>
    <row r="6546" spans="29:32" x14ac:dyDescent="0.2">
      <c r="AC6546" s="20"/>
      <c r="AE6546" s="22"/>
      <c r="AF6546" s="22"/>
    </row>
    <row r="6547" spans="29:32" x14ac:dyDescent="0.2">
      <c r="AC6547" s="20"/>
      <c r="AE6547" s="22"/>
      <c r="AF6547" s="22"/>
    </row>
    <row r="6548" spans="29:32" x14ac:dyDescent="0.2">
      <c r="AC6548" s="20"/>
      <c r="AE6548" s="22"/>
      <c r="AF6548" s="22"/>
    </row>
    <row r="6549" spans="29:32" x14ac:dyDescent="0.2">
      <c r="AC6549" s="20"/>
      <c r="AE6549" s="22"/>
      <c r="AF6549" s="22"/>
    </row>
    <row r="6550" spans="29:32" x14ac:dyDescent="0.2">
      <c r="AC6550" s="20"/>
      <c r="AE6550" s="22"/>
      <c r="AF6550" s="22"/>
    </row>
    <row r="6551" spans="29:32" x14ac:dyDescent="0.2">
      <c r="AC6551" s="20"/>
      <c r="AE6551" s="22"/>
      <c r="AF6551" s="22"/>
    </row>
    <row r="6552" spans="29:32" x14ac:dyDescent="0.2">
      <c r="AC6552" s="20"/>
      <c r="AE6552" s="22"/>
      <c r="AF6552" s="22"/>
    </row>
    <row r="6553" spans="29:32" x14ac:dyDescent="0.2">
      <c r="AC6553" s="20"/>
      <c r="AE6553" s="22"/>
      <c r="AF6553" s="22"/>
    </row>
    <row r="6554" spans="29:32" x14ac:dyDescent="0.2">
      <c r="AC6554" s="20"/>
      <c r="AE6554" s="22"/>
      <c r="AF6554" s="22"/>
    </row>
    <row r="6555" spans="29:32" x14ac:dyDescent="0.2">
      <c r="AC6555" s="20"/>
      <c r="AE6555" s="22"/>
      <c r="AF6555" s="22"/>
    </row>
    <row r="6556" spans="29:32" x14ac:dyDescent="0.2">
      <c r="AC6556" s="20"/>
      <c r="AE6556" s="22"/>
      <c r="AF6556" s="22"/>
    </row>
    <row r="6557" spans="29:32" x14ac:dyDescent="0.2">
      <c r="AC6557" s="20"/>
      <c r="AE6557" s="22"/>
      <c r="AF6557" s="22"/>
    </row>
    <row r="6558" spans="29:32" x14ac:dyDescent="0.2">
      <c r="AC6558" s="20"/>
      <c r="AE6558" s="22"/>
      <c r="AF6558" s="22"/>
    </row>
    <row r="6559" spans="29:32" x14ac:dyDescent="0.2">
      <c r="AC6559" s="20"/>
      <c r="AE6559" s="22"/>
      <c r="AF6559" s="22"/>
    </row>
    <row r="6560" spans="29:32" x14ac:dyDescent="0.2">
      <c r="AC6560" s="20"/>
      <c r="AE6560" s="22"/>
      <c r="AF6560" s="22"/>
    </row>
    <row r="6561" spans="29:32" x14ac:dyDescent="0.2">
      <c r="AC6561" s="20"/>
      <c r="AE6561" s="22"/>
      <c r="AF6561" s="22"/>
    </row>
    <row r="6562" spans="29:32" x14ac:dyDescent="0.2">
      <c r="AC6562" s="20"/>
      <c r="AE6562" s="22"/>
      <c r="AF6562" s="22"/>
    </row>
    <row r="6563" spans="29:32" x14ac:dyDescent="0.2">
      <c r="AC6563" s="20"/>
      <c r="AE6563" s="22"/>
      <c r="AF6563" s="22"/>
    </row>
    <row r="6564" spans="29:32" x14ac:dyDescent="0.2">
      <c r="AC6564" s="20"/>
      <c r="AE6564" s="22"/>
      <c r="AF6564" s="22"/>
    </row>
    <row r="6565" spans="29:32" x14ac:dyDescent="0.2">
      <c r="AC6565" s="20"/>
      <c r="AE6565" s="22"/>
      <c r="AF6565" s="22"/>
    </row>
    <row r="6566" spans="29:32" x14ac:dyDescent="0.2">
      <c r="AC6566" s="20"/>
      <c r="AE6566" s="22"/>
      <c r="AF6566" s="22"/>
    </row>
    <row r="6567" spans="29:32" x14ac:dyDescent="0.2">
      <c r="AC6567" s="20"/>
      <c r="AE6567" s="22"/>
      <c r="AF6567" s="22"/>
    </row>
    <row r="6568" spans="29:32" x14ac:dyDescent="0.2">
      <c r="AC6568" s="20"/>
      <c r="AE6568" s="22"/>
      <c r="AF6568" s="22"/>
    </row>
    <row r="6569" spans="29:32" x14ac:dyDescent="0.2">
      <c r="AC6569" s="20"/>
      <c r="AE6569" s="22"/>
      <c r="AF6569" s="22"/>
    </row>
    <row r="6570" spans="29:32" x14ac:dyDescent="0.2">
      <c r="AC6570" s="20"/>
      <c r="AE6570" s="22"/>
      <c r="AF6570" s="22"/>
    </row>
    <row r="6571" spans="29:32" x14ac:dyDescent="0.2">
      <c r="AC6571" s="20"/>
      <c r="AE6571" s="22"/>
      <c r="AF6571" s="22"/>
    </row>
    <row r="6572" spans="29:32" x14ac:dyDescent="0.2">
      <c r="AC6572" s="20"/>
      <c r="AE6572" s="22"/>
      <c r="AF6572" s="22"/>
    </row>
    <row r="6573" spans="29:32" x14ac:dyDescent="0.2">
      <c r="AC6573" s="20"/>
      <c r="AE6573" s="22"/>
      <c r="AF6573" s="22"/>
    </row>
    <row r="6574" spans="29:32" x14ac:dyDescent="0.2">
      <c r="AC6574" s="20"/>
      <c r="AE6574" s="22"/>
      <c r="AF6574" s="22"/>
    </row>
    <row r="6575" spans="29:32" x14ac:dyDescent="0.2">
      <c r="AC6575" s="20"/>
      <c r="AE6575" s="22"/>
      <c r="AF6575" s="22"/>
    </row>
    <row r="6576" spans="29:32" x14ac:dyDescent="0.2">
      <c r="AC6576" s="20"/>
      <c r="AE6576" s="22"/>
      <c r="AF6576" s="22"/>
    </row>
    <row r="6577" spans="29:32" x14ac:dyDescent="0.2">
      <c r="AC6577" s="20"/>
      <c r="AE6577" s="22"/>
      <c r="AF6577" s="22"/>
    </row>
    <row r="6578" spans="29:32" x14ac:dyDescent="0.2">
      <c r="AC6578" s="20"/>
      <c r="AE6578" s="22"/>
      <c r="AF6578" s="22"/>
    </row>
    <row r="6579" spans="29:32" x14ac:dyDescent="0.2">
      <c r="AC6579" s="20"/>
      <c r="AE6579" s="22"/>
      <c r="AF6579" s="22"/>
    </row>
    <row r="6580" spans="29:32" x14ac:dyDescent="0.2">
      <c r="AC6580" s="20"/>
      <c r="AE6580" s="22"/>
      <c r="AF6580" s="22"/>
    </row>
    <row r="6581" spans="29:32" x14ac:dyDescent="0.2">
      <c r="AC6581" s="20"/>
      <c r="AE6581" s="22"/>
      <c r="AF6581" s="22"/>
    </row>
    <row r="6582" spans="29:32" x14ac:dyDescent="0.2">
      <c r="AC6582" s="20"/>
      <c r="AE6582" s="22"/>
      <c r="AF6582" s="22"/>
    </row>
    <row r="6583" spans="29:32" x14ac:dyDescent="0.2">
      <c r="AC6583" s="20"/>
      <c r="AE6583" s="22"/>
      <c r="AF6583" s="22"/>
    </row>
    <row r="6584" spans="29:32" x14ac:dyDescent="0.2">
      <c r="AC6584" s="20"/>
      <c r="AE6584" s="22"/>
      <c r="AF6584" s="22"/>
    </row>
    <row r="6585" spans="29:32" x14ac:dyDescent="0.2">
      <c r="AC6585" s="20"/>
      <c r="AE6585" s="22"/>
      <c r="AF6585" s="22"/>
    </row>
    <row r="6586" spans="29:32" x14ac:dyDescent="0.2">
      <c r="AC6586" s="20"/>
      <c r="AE6586" s="22"/>
      <c r="AF6586" s="22"/>
    </row>
    <row r="6587" spans="29:32" x14ac:dyDescent="0.2">
      <c r="AC6587" s="20"/>
      <c r="AE6587" s="22"/>
      <c r="AF6587" s="22"/>
    </row>
    <row r="6588" spans="29:32" x14ac:dyDescent="0.2">
      <c r="AC6588" s="20"/>
      <c r="AE6588" s="22"/>
      <c r="AF6588" s="22"/>
    </row>
    <row r="6589" spans="29:32" x14ac:dyDescent="0.2">
      <c r="AC6589" s="20"/>
      <c r="AE6589" s="22"/>
      <c r="AF6589" s="22"/>
    </row>
    <row r="6590" spans="29:32" x14ac:dyDescent="0.2">
      <c r="AC6590" s="20"/>
      <c r="AE6590" s="22"/>
      <c r="AF6590" s="22"/>
    </row>
    <row r="6591" spans="29:32" x14ac:dyDescent="0.2">
      <c r="AC6591" s="20"/>
      <c r="AE6591" s="22"/>
      <c r="AF6591" s="22"/>
    </row>
    <row r="6592" spans="29:32" x14ac:dyDescent="0.2">
      <c r="AC6592" s="20"/>
      <c r="AE6592" s="22"/>
      <c r="AF6592" s="22"/>
    </row>
    <row r="6593" spans="29:32" x14ac:dyDescent="0.2">
      <c r="AC6593" s="20"/>
      <c r="AE6593" s="22"/>
      <c r="AF6593" s="22"/>
    </row>
    <row r="6594" spans="29:32" x14ac:dyDescent="0.2">
      <c r="AC6594" s="20"/>
      <c r="AE6594" s="22"/>
      <c r="AF6594" s="22"/>
    </row>
    <row r="6595" spans="29:32" x14ac:dyDescent="0.2">
      <c r="AC6595" s="20"/>
      <c r="AE6595" s="22"/>
      <c r="AF6595" s="22"/>
    </row>
    <row r="6596" spans="29:32" x14ac:dyDescent="0.2">
      <c r="AC6596" s="20"/>
      <c r="AE6596" s="22"/>
      <c r="AF6596" s="22"/>
    </row>
    <row r="6597" spans="29:32" x14ac:dyDescent="0.2">
      <c r="AC6597" s="20"/>
      <c r="AE6597" s="22"/>
      <c r="AF6597" s="22"/>
    </row>
    <row r="6598" spans="29:32" x14ac:dyDescent="0.2">
      <c r="AC6598" s="20"/>
      <c r="AE6598" s="22"/>
      <c r="AF6598" s="22"/>
    </row>
    <row r="6599" spans="29:32" x14ac:dyDescent="0.2">
      <c r="AC6599" s="20"/>
      <c r="AE6599" s="22"/>
      <c r="AF6599" s="22"/>
    </row>
    <row r="6600" spans="29:32" x14ac:dyDescent="0.2">
      <c r="AC6600" s="20"/>
      <c r="AE6600" s="22"/>
      <c r="AF6600" s="22"/>
    </row>
    <row r="6601" spans="29:32" x14ac:dyDescent="0.2">
      <c r="AC6601" s="20"/>
      <c r="AE6601" s="22"/>
      <c r="AF6601" s="22"/>
    </row>
    <row r="6602" spans="29:32" x14ac:dyDescent="0.2">
      <c r="AC6602" s="20"/>
      <c r="AE6602" s="22"/>
      <c r="AF6602" s="22"/>
    </row>
    <row r="6603" spans="29:32" x14ac:dyDescent="0.2">
      <c r="AC6603" s="20"/>
      <c r="AE6603" s="22"/>
      <c r="AF6603" s="22"/>
    </row>
    <row r="6604" spans="29:32" x14ac:dyDescent="0.2">
      <c r="AC6604" s="20"/>
      <c r="AE6604" s="22"/>
      <c r="AF6604" s="22"/>
    </row>
    <row r="6605" spans="29:32" x14ac:dyDescent="0.2">
      <c r="AC6605" s="20"/>
      <c r="AE6605" s="22"/>
      <c r="AF6605" s="22"/>
    </row>
    <row r="6606" spans="29:32" x14ac:dyDescent="0.2">
      <c r="AC6606" s="20"/>
      <c r="AE6606" s="22"/>
      <c r="AF6606" s="22"/>
    </row>
    <row r="6607" spans="29:32" x14ac:dyDescent="0.2">
      <c r="AC6607" s="20"/>
      <c r="AE6607" s="22"/>
      <c r="AF6607" s="22"/>
    </row>
    <row r="6608" spans="29:32" x14ac:dyDescent="0.2">
      <c r="AC6608" s="20"/>
      <c r="AE6608" s="22"/>
      <c r="AF6608" s="22"/>
    </row>
    <row r="6609" spans="29:32" x14ac:dyDescent="0.2">
      <c r="AC6609" s="20"/>
      <c r="AE6609" s="22"/>
      <c r="AF6609" s="22"/>
    </row>
    <row r="6610" spans="29:32" x14ac:dyDescent="0.2">
      <c r="AC6610" s="20"/>
      <c r="AE6610" s="22"/>
      <c r="AF6610" s="22"/>
    </row>
    <row r="6611" spans="29:32" x14ac:dyDescent="0.2">
      <c r="AC6611" s="20"/>
      <c r="AE6611" s="22"/>
      <c r="AF6611" s="22"/>
    </row>
    <row r="6612" spans="29:32" x14ac:dyDescent="0.2">
      <c r="AC6612" s="20"/>
      <c r="AE6612" s="22"/>
      <c r="AF6612" s="22"/>
    </row>
    <row r="6613" spans="29:32" x14ac:dyDescent="0.2">
      <c r="AC6613" s="20"/>
      <c r="AE6613" s="22"/>
      <c r="AF6613" s="22"/>
    </row>
    <row r="6614" spans="29:32" x14ac:dyDescent="0.2">
      <c r="AC6614" s="20"/>
      <c r="AE6614" s="22"/>
      <c r="AF6614" s="22"/>
    </row>
    <row r="6615" spans="29:32" x14ac:dyDescent="0.2">
      <c r="AC6615" s="20"/>
      <c r="AE6615" s="22"/>
      <c r="AF6615" s="22"/>
    </row>
    <row r="6616" spans="29:32" x14ac:dyDescent="0.2">
      <c r="AC6616" s="20"/>
      <c r="AE6616" s="22"/>
      <c r="AF6616" s="22"/>
    </row>
    <row r="6617" spans="29:32" x14ac:dyDescent="0.2">
      <c r="AC6617" s="20"/>
      <c r="AE6617" s="22"/>
      <c r="AF6617" s="22"/>
    </row>
    <row r="6618" spans="29:32" x14ac:dyDescent="0.2">
      <c r="AC6618" s="20"/>
      <c r="AE6618" s="22"/>
      <c r="AF6618" s="22"/>
    </row>
    <row r="6619" spans="29:32" x14ac:dyDescent="0.2">
      <c r="AC6619" s="20"/>
      <c r="AE6619" s="22"/>
      <c r="AF6619" s="22"/>
    </row>
    <row r="6620" spans="29:32" x14ac:dyDescent="0.2">
      <c r="AC6620" s="20"/>
      <c r="AE6620" s="22"/>
      <c r="AF6620" s="22"/>
    </row>
    <row r="6621" spans="29:32" x14ac:dyDescent="0.2">
      <c r="AC6621" s="20"/>
      <c r="AE6621" s="22"/>
      <c r="AF6621" s="22"/>
    </row>
    <row r="6622" spans="29:32" x14ac:dyDescent="0.2">
      <c r="AC6622" s="20"/>
      <c r="AE6622" s="22"/>
      <c r="AF6622" s="22"/>
    </row>
    <row r="6623" spans="29:32" x14ac:dyDescent="0.2">
      <c r="AC6623" s="20"/>
      <c r="AE6623" s="22"/>
      <c r="AF6623" s="22"/>
    </row>
    <row r="6624" spans="29:32" x14ac:dyDescent="0.2">
      <c r="AC6624" s="20"/>
      <c r="AE6624" s="22"/>
      <c r="AF6624" s="22"/>
    </row>
    <row r="6625" spans="29:32" x14ac:dyDescent="0.2">
      <c r="AC6625" s="20"/>
      <c r="AE6625" s="22"/>
      <c r="AF6625" s="22"/>
    </row>
    <row r="6626" spans="29:32" x14ac:dyDescent="0.2">
      <c r="AC6626" s="20"/>
      <c r="AE6626" s="22"/>
      <c r="AF6626" s="22"/>
    </row>
    <row r="6627" spans="29:32" x14ac:dyDescent="0.2">
      <c r="AC6627" s="20"/>
      <c r="AE6627" s="22"/>
      <c r="AF6627" s="22"/>
    </row>
    <row r="6628" spans="29:32" x14ac:dyDescent="0.2">
      <c r="AC6628" s="20"/>
      <c r="AE6628" s="22"/>
      <c r="AF6628" s="22"/>
    </row>
    <row r="6629" spans="29:32" x14ac:dyDescent="0.2">
      <c r="AC6629" s="20"/>
      <c r="AE6629" s="22"/>
      <c r="AF6629" s="22"/>
    </row>
    <row r="6630" spans="29:32" x14ac:dyDescent="0.2">
      <c r="AC6630" s="20"/>
      <c r="AE6630" s="22"/>
      <c r="AF6630" s="22"/>
    </row>
    <row r="6631" spans="29:32" x14ac:dyDescent="0.2">
      <c r="AC6631" s="20"/>
      <c r="AE6631" s="22"/>
      <c r="AF6631" s="22"/>
    </row>
    <row r="6632" spans="29:32" x14ac:dyDescent="0.2">
      <c r="AC6632" s="20"/>
      <c r="AE6632" s="22"/>
      <c r="AF6632" s="22"/>
    </row>
    <row r="6633" spans="29:32" x14ac:dyDescent="0.2">
      <c r="AC6633" s="20"/>
      <c r="AE6633" s="22"/>
      <c r="AF6633" s="22"/>
    </row>
    <row r="6634" spans="29:32" x14ac:dyDescent="0.2">
      <c r="AC6634" s="20"/>
      <c r="AE6634" s="22"/>
      <c r="AF6634" s="22"/>
    </row>
    <row r="6635" spans="29:32" x14ac:dyDescent="0.2">
      <c r="AC6635" s="20"/>
      <c r="AE6635" s="22"/>
      <c r="AF6635" s="22"/>
    </row>
    <row r="6636" spans="29:32" x14ac:dyDescent="0.2">
      <c r="AC6636" s="20"/>
      <c r="AE6636" s="22"/>
      <c r="AF6636" s="22"/>
    </row>
    <row r="6637" spans="29:32" x14ac:dyDescent="0.2">
      <c r="AC6637" s="20"/>
      <c r="AE6637" s="22"/>
      <c r="AF6637" s="22"/>
    </row>
    <row r="6638" spans="29:32" x14ac:dyDescent="0.2">
      <c r="AC6638" s="20"/>
      <c r="AE6638" s="22"/>
      <c r="AF6638" s="22"/>
    </row>
    <row r="6639" spans="29:32" x14ac:dyDescent="0.2">
      <c r="AC6639" s="20"/>
      <c r="AE6639" s="22"/>
      <c r="AF6639" s="22"/>
    </row>
    <row r="6640" spans="29:32" x14ac:dyDescent="0.2">
      <c r="AC6640" s="20"/>
      <c r="AE6640" s="22"/>
      <c r="AF6640" s="22"/>
    </row>
    <row r="6641" spans="29:32" x14ac:dyDescent="0.2">
      <c r="AC6641" s="20"/>
      <c r="AE6641" s="22"/>
      <c r="AF6641" s="22"/>
    </row>
    <row r="6642" spans="29:32" x14ac:dyDescent="0.2">
      <c r="AC6642" s="20"/>
      <c r="AE6642" s="22"/>
      <c r="AF6642" s="22"/>
    </row>
    <row r="6643" spans="29:32" x14ac:dyDescent="0.2">
      <c r="AC6643" s="20"/>
      <c r="AE6643" s="22"/>
      <c r="AF6643" s="22"/>
    </row>
    <row r="6644" spans="29:32" x14ac:dyDescent="0.2">
      <c r="AC6644" s="20"/>
      <c r="AE6644" s="22"/>
      <c r="AF6644" s="22"/>
    </row>
    <row r="6645" spans="29:32" x14ac:dyDescent="0.2">
      <c r="AC6645" s="20"/>
      <c r="AE6645" s="22"/>
      <c r="AF6645" s="22"/>
    </row>
    <row r="6646" spans="29:32" x14ac:dyDescent="0.2">
      <c r="AC6646" s="20"/>
      <c r="AE6646" s="22"/>
      <c r="AF6646" s="22"/>
    </row>
    <row r="6647" spans="29:32" x14ac:dyDescent="0.2">
      <c r="AC6647" s="20"/>
      <c r="AE6647" s="22"/>
      <c r="AF6647" s="22"/>
    </row>
    <row r="6648" spans="29:32" x14ac:dyDescent="0.2">
      <c r="AC6648" s="20"/>
      <c r="AE6648" s="22"/>
      <c r="AF6648" s="22"/>
    </row>
    <row r="6649" spans="29:32" x14ac:dyDescent="0.2">
      <c r="AC6649" s="20"/>
      <c r="AE6649" s="22"/>
      <c r="AF6649" s="22"/>
    </row>
    <row r="6650" spans="29:32" x14ac:dyDescent="0.2">
      <c r="AC6650" s="20"/>
      <c r="AE6650" s="22"/>
      <c r="AF6650" s="22"/>
    </row>
    <row r="6651" spans="29:32" x14ac:dyDescent="0.2">
      <c r="AC6651" s="20"/>
      <c r="AE6651" s="22"/>
      <c r="AF6651" s="22"/>
    </row>
    <row r="6652" spans="29:32" x14ac:dyDescent="0.2">
      <c r="AC6652" s="20"/>
      <c r="AE6652" s="22"/>
      <c r="AF6652" s="22"/>
    </row>
    <row r="6653" spans="29:32" x14ac:dyDescent="0.2">
      <c r="AC6653" s="20"/>
      <c r="AE6653" s="22"/>
      <c r="AF6653" s="22"/>
    </row>
    <row r="6654" spans="29:32" x14ac:dyDescent="0.2">
      <c r="AC6654" s="20"/>
      <c r="AE6654" s="22"/>
      <c r="AF6654" s="22"/>
    </row>
    <row r="6655" spans="29:32" x14ac:dyDescent="0.2">
      <c r="AC6655" s="20"/>
      <c r="AE6655" s="22"/>
      <c r="AF6655" s="22"/>
    </row>
    <row r="6656" spans="29:32" x14ac:dyDescent="0.2">
      <c r="AC6656" s="20"/>
      <c r="AE6656" s="22"/>
      <c r="AF6656" s="22"/>
    </row>
    <row r="6657" spans="29:32" x14ac:dyDescent="0.2">
      <c r="AC6657" s="20"/>
      <c r="AE6657" s="22"/>
      <c r="AF6657" s="22"/>
    </row>
    <row r="6658" spans="29:32" x14ac:dyDescent="0.2">
      <c r="AC6658" s="20"/>
      <c r="AE6658" s="22"/>
      <c r="AF6658" s="22"/>
    </row>
    <row r="6659" spans="29:32" x14ac:dyDescent="0.2">
      <c r="AC6659" s="20"/>
      <c r="AE6659" s="22"/>
      <c r="AF6659" s="22"/>
    </row>
    <row r="6660" spans="29:32" x14ac:dyDescent="0.2">
      <c r="AC6660" s="20"/>
      <c r="AE6660" s="22"/>
      <c r="AF6660" s="22"/>
    </row>
    <row r="6661" spans="29:32" x14ac:dyDescent="0.2">
      <c r="AC6661" s="20"/>
      <c r="AE6661" s="22"/>
      <c r="AF6661" s="22"/>
    </row>
    <row r="6662" spans="29:32" x14ac:dyDescent="0.2">
      <c r="AC6662" s="20"/>
      <c r="AE6662" s="22"/>
      <c r="AF6662" s="22"/>
    </row>
    <row r="6663" spans="29:32" x14ac:dyDescent="0.2">
      <c r="AC6663" s="20"/>
      <c r="AE6663" s="22"/>
      <c r="AF6663" s="22"/>
    </row>
    <row r="6664" spans="29:32" x14ac:dyDescent="0.2">
      <c r="AC6664" s="20"/>
      <c r="AE6664" s="22"/>
      <c r="AF6664" s="22"/>
    </row>
    <row r="6665" spans="29:32" x14ac:dyDescent="0.2">
      <c r="AC6665" s="20"/>
      <c r="AE6665" s="22"/>
      <c r="AF6665" s="22"/>
    </row>
    <row r="6666" spans="29:32" x14ac:dyDescent="0.2">
      <c r="AC6666" s="20"/>
      <c r="AE6666" s="22"/>
      <c r="AF6666" s="22"/>
    </row>
    <row r="6667" spans="29:32" x14ac:dyDescent="0.2">
      <c r="AC6667" s="20"/>
      <c r="AE6667" s="22"/>
      <c r="AF6667" s="22"/>
    </row>
    <row r="6668" spans="29:32" x14ac:dyDescent="0.2">
      <c r="AC6668" s="20"/>
      <c r="AE6668" s="22"/>
      <c r="AF6668" s="22"/>
    </row>
    <row r="6669" spans="29:32" x14ac:dyDescent="0.2">
      <c r="AC6669" s="20"/>
      <c r="AE6669" s="22"/>
      <c r="AF6669" s="22"/>
    </row>
    <row r="6670" spans="29:32" x14ac:dyDescent="0.2">
      <c r="AC6670" s="20"/>
      <c r="AE6670" s="22"/>
      <c r="AF6670" s="22"/>
    </row>
    <row r="6671" spans="29:32" x14ac:dyDescent="0.2">
      <c r="AC6671" s="20"/>
      <c r="AE6671" s="22"/>
      <c r="AF6671" s="22"/>
    </row>
    <row r="6672" spans="29:32" x14ac:dyDescent="0.2">
      <c r="AC6672" s="20"/>
      <c r="AE6672" s="22"/>
      <c r="AF6672" s="22"/>
    </row>
    <row r="6673" spans="29:32" x14ac:dyDescent="0.2">
      <c r="AC6673" s="20"/>
      <c r="AE6673" s="22"/>
      <c r="AF6673" s="22"/>
    </row>
    <row r="6674" spans="29:32" x14ac:dyDescent="0.2">
      <c r="AC6674" s="20"/>
      <c r="AE6674" s="22"/>
      <c r="AF6674" s="22"/>
    </row>
    <row r="6675" spans="29:32" x14ac:dyDescent="0.2">
      <c r="AC6675" s="20"/>
      <c r="AE6675" s="22"/>
      <c r="AF6675" s="22"/>
    </row>
    <row r="6676" spans="29:32" x14ac:dyDescent="0.2">
      <c r="AC6676" s="20"/>
      <c r="AE6676" s="22"/>
      <c r="AF6676" s="22"/>
    </row>
    <row r="6677" spans="29:32" x14ac:dyDescent="0.2">
      <c r="AC6677" s="20"/>
      <c r="AE6677" s="22"/>
      <c r="AF6677" s="22"/>
    </row>
    <row r="6678" spans="29:32" x14ac:dyDescent="0.2">
      <c r="AC6678" s="20"/>
      <c r="AE6678" s="22"/>
      <c r="AF6678" s="22"/>
    </row>
    <row r="6679" spans="29:32" x14ac:dyDescent="0.2">
      <c r="AC6679" s="20"/>
      <c r="AE6679" s="22"/>
      <c r="AF6679" s="22"/>
    </row>
    <row r="6680" spans="29:32" x14ac:dyDescent="0.2">
      <c r="AC6680" s="20"/>
      <c r="AE6680" s="22"/>
      <c r="AF6680" s="22"/>
    </row>
    <row r="6681" spans="29:32" x14ac:dyDescent="0.2">
      <c r="AC6681" s="20"/>
      <c r="AE6681" s="22"/>
      <c r="AF6681" s="22"/>
    </row>
    <row r="6682" spans="29:32" x14ac:dyDescent="0.2">
      <c r="AC6682" s="20"/>
      <c r="AE6682" s="22"/>
      <c r="AF6682" s="22"/>
    </row>
    <row r="6683" spans="29:32" x14ac:dyDescent="0.2">
      <c r="AC6683" s="20"/>
      <c r="AE6683" s="22"/>
      <c r="AF6683" s="22"/>
    </row>
    <row r="6684" spans="29:32" x14ac:dyDescent="0.2">
      <c r="AC6684" s="20"/>
      <c r="AE6684" s="22"/>
      <c r="AF6684" s="22"/>
    </row>
    <row r="6685" spans="29:32" x14ac:dyDescent="0.2">
      <c r="AC6685" s="20"/>
      <c r="AE6685" s="22"/>
      <c r="AF6685" s="22"/>
    </row>
    <row r="6686" spans="29:32" x14ac:dyDescent="0.2">
      <c r="AC6686" s="20"/>
      <c r="AE6686" s="22"/>
      <c r="AF6686" s="22"/>
    </row>
    <row r="6687" spans="29:32" x14ac:dyDescent="0.2">
      <c r="AC6687" s="20"/>
      <c r="AE6687" s="22"/>
      <c r="AF6687" s="22"/>
    </row>
    <row r="6688" spans="29:32" x14ac:dyDescent="0.2">
      <c r="AC6688" s="20"/>
      <c r="AE6688" s="22"/>
      <c r="AF6688" s="22"/>
    </row>
    <row r="6689" spans="29:32" x14ac:dyDescent="0.2">
      <c r="AC6689" s="20"/>
      <c r="AE6689" s="22"/>
      <c r="AF6689" s="22"/>
    </row>
    <row r="6690" spans="29:32" x14ac:dyDescent="0.2">
      <c r="AC6690" s="20"/>
      <c r="AE6690" s="22"/>
      <c r="AF6690" s="22"/>
    </row>
    <row r="6691" spans="29:32" x14ac:dyDescent="0.2">
      <c r="AC6691" s="20"/>
      <c r="AE6691" s="22"/>
      <c r="AF6691" s="22"/>
    </row>
    <row r="6692" spans="29:32" x14ac:dyDescent="0.2">
      <c r="AC6692" s="20"/>
      <c r="AE6692" s="22"/>
      <c r="AF6692" s="22"/>
    </row>
    <row r="6693" spans="29:32" x14ac:dyDescent="0.2">
      <c r="AC6693" s="20"/>
      <c r="AE6693" s="22"/>
      <c r="AF6693" s="22"/>
    </row>
    <row r="6694" spans="29:32" x14ac:dyDescent="0.2">
      <c r="AC6694" s="20"/>
      <c r="AE6694" s="22"/>
      <c r="AF6694" s="22"/>
    </row>
    <row r="6695" spans="29:32" x14ac:dyDescent="0.2">
      <c r="AC6695" s="20"/>
      <c r="AE6695" s="22"/>
      <c r="AF6695" s="22"/>
    </row>
    <row r="6696" spans="29:32" x14ac:dyDescent="0.2">
      <c r="AC6696" s="20"/>
      <c r="AE6696" s="22"/>
      <c r="AF6696" s="22"/>
    </row>
    <row r="6697" spans="29:32" x14ac:dyDescent="0.2">
      <c r="AC6697" s="20"/>
      <c r="AE6697" s="22"/>
      <c r="AF6697" s="22"/>
    </row>
    <row r="6698" spans="29:32" x14ac:dyDescent="0.2">
      <c r="AC6698" s="20"/>
      <c r="AE6698" s="22"/>
      <c r="AF6698" s="22"/>
    </row>
    <row r="6699" spans="29:32" x14ac:dyDescent="0.2">
      <c r="AC6699" s="20"/>
      <c r="AE6699" s="22"/>
      <c r="AF6699" s="22"/>
    </row>
    <row r="6700" spans="29:32" x14ac:dyDescent="0.2">
      <c r="AC6700" s="20"/>
      <c r="AE6700" s="22"/>
      <c r="AF6700" s="22"/>
    </row>
    <row r="6701" spans="29:32" x14ac:dyDescent="0.2">
      <c r="AC6701" s="20"/>
      <c r="AE6701" s="22"/>
      <c r="AF6701" s="22"/>
    </row>
    <row r="6702" spans="29:32" x14ac:dyDescent="0.2">
      <c r="AC6702" s="20"/>
      <c r="AE6702" s="22"/>
      <c r="AF6702" s="22"/>
    </row>
    <row r="6703" spans="29:32" x14ac:dyDescent="0.2">
      <c r="AC6703" s="20"/>
      <c r="AE6703" s="22"/>
      <c r="AF6703" s="22"/>
    </row>
    <row r="6704" spans="29:32" x14ac:dyDescent="0.2">
      <c r="AC6704" s="20"/>
      <c r="AE6704" s="22"/>
      <c r="AF6704" s="22"/>
    </row>
    <row r="6705" spans="29:32" x14ac:dyDescent="0.2">
      <c r="AC6705" s="20"/>
      <c r="AE6705" s="22"/>
      <c r="AF6705" s="22"/>
    </row>
    <row r="6706" spans="29:32" x14ac:dyDescent="0.2">
      <c r="AC6706" s="20"/>
      <c r="AE6706" s="22"/>
      <c r="AF6706" s="22"/>
    </row>
    <row r="6707" spans="29:32" x14ac:dyDescent="0.2">
      <c r="AC6707" s="20"/>
      <c r="AE6707" s="22"/>
      <c r="AF6707" s="22"/>
    </row>
    <row r="6708" spans="29:32" x14ac:dyDescent="0.2">
      <c r="AC6708" s="20"/>
      <c r="AE6708" s="22"/>
      <c r="AF6708" s="22"/>
    </row>
    <row r="6709" spans="29:32" x14ac:dyDescent="0.2">
      <c r="AC6709" s="20"/>
      <c r="AE6709" s="22"/>
      <c r="AF6709" s="22"/>
    </row>
    <row r="6710" spans="29:32" x14ac:dyDescent="0.2">
      <c r="AC6710" s="20"/>
      <c r="AE6710" s="22"/>
      <c r="AF6710" s="22"/>
    </row>
    <row r="6711" spans="29:32" x14ac:dyDescent="0.2">
      <c r="AC6711" s="20"/>
      <c r="AE6711" s="22"/>
      <c r="AF6711" s="22"/>
    </row>
    <row r="6712" spans="29:32" x14ac:dyDescent="0.2">
      <c r="AC6712" s="20"/>
      <c r="AE6712" s="22"/>
      <c r="AF6712" s="22"/>
    </row>
    <row r="6713" spans="29:32" x14ac:dyDescent="0.2">
      <c r="AC6713" s="20"/>
      <c r="AE6713" s="22"/>
      <c r="AF6713" s="22"/>
    </row>
    <row r="6714" spans="29:32" x14ac:dyDescent="0.2">
      <c r="AC6714" s="20"/>
      <c r="AE6714" s="22"/>
      <c r="AF6714" s="22"/>
    </row>
    <row r="6715" spans="29:32" x14ac:dyDescent="0.2">
      <c r="AC6715" s="20"/>
      <c r="AE6715" s="22"/>
      <c r="AF6715" s="22"/>
    </row>
    <row r="6716" spans="29:32" x14ac:dyDescent="0.2">
      <c r="AC6716" s="20"/>
      <c r="AE6716" s="22"/>
      <c r="AF6716" s="22"/>
    </row>
    <row r="6717" spans="29:32" x14ac:dyDescent="0.2">
      <c r="AC6717" s="20"/>
      <c r="AE6717" s="22"/>
      <c r="AF6717" s="22"/>
    </row>
    <row r="6718" spans="29:32" x14ac:dyDescent="0.2">
      <c r="AC6718" s="20"/>
      <c r="AE6718" s="22"/>
      <c r="AF6718" s="22"/>
    </row>
    <row r="6719" spans="29:32" x14ac:dyDescent="0.2">
      <c r="AC6719" s="20"/>
      <c r="AE6719" s="22"/>
      <c r="AF6719" s="22"/>
    </row>
    <row r="6720" spans="29:32" x14ac:dyDescent="0.2">
      <c r="AC6720" s="20"/>
      <c r="AE6720" s="22"/>
      <c r="AF6720" s="22"/>
    </row>
    <row r="6721" spans="29:32" x14ac:dyDescent="0.2">
      <c r="AC6721" s="20"/>
      <c r="AE6721" s="22"/>
      <c r="AF6721" s="22"/>
    </row>
    <row r="6722" spans="29:32" x14ac:dyDescent="0.2">
      <c r="AC6722" s="20"/>
      <c r="AE6722" s="22"/>
      <c r="AF6722" s="22"/>
    </row>
    <row r="6723" spans="29:32" x14ac:dyDescent="0.2">
      <c r="AC6723" s="20"/>
      <c r="AE6723" s="22"/>
      <c r="AF6723" s="22"/>
    </row>
    <row r="6724" spans="29:32" x14ac:dyDescent="0.2">
      <c r="AC6724" s="20"/>
      <c r="AE6724" s="22"/>
      <c r="AF6724" s="22"/>
    </row>
    <row r="6725" spans="29:32" x14ac:dyDescent="0.2">
      <c r="AC6725" s="20"/>
      <c r="AE6725" s="22"/>
      <c r="AF6725" s="22"/>
    </row>
    <row r="6726" spans="29:32" x14ac:dyDescent="0.2">
      <c r="AC6726" s="20"/>
      <c r="AE6726" s="22"/>
      <c r="AF6726" s="22"/>
    </row>
    <row r="6727" spans="29:32" x14ac:dyDescent="0.2">
      <c r="AC6727" s="20"/>
      <c r="AE6727" s="22"/>
      <c r="AF6727" s="22"/>
    </row>
    <row r="6728" spans="29:32" x14ac:dyDescent="0.2">
      <c r="AC6728" s="20"/>
      <c r="AE6728" s="22"/>
      <c r="AF6728" s="22"/>
    </row>
    <row r="6729" spans="29:32" x14ac:dyDescent="0.2">
      <c r="AC6729" s="20"/>
      <c r="AE6729" s="22"/>
      <c r="AF6729" s="22"/>
    </row>
    <row r="6730" spans="29:32" x14ac:dyDescent="0.2">
      <c r="AC6730" s="20"/>
      <c r="AE6730" s="22"/>
      <c r="AF6730" s="22"/>
    </row>
    <row r="6731" spans="29:32" x14ac:dyDescent="0.2">
      <c r="AC6731" s="20"/>
      <c r="AE6731" s="22"/>
      <c r="AF6731" s="22"/>
    </row>
    <row r="6732" spans="29:32" x14ac:dyDescent="0.2">
      <c r="AC6732" s="20"/>
      <c r="AE6732" s="22"/>
      <c r="AF6732" s="22"/>
    </row>
    <row r="6733" spans="29:32" x14ac:dyDescent="0.2">
      <c r="AC6733" s="20"/>
      <c r="AE6733" s="22"/>
      <c r="AF6733" s="22"/>
    </row>
    <row r="6734" spans="29:32" x14ac:dyDescent="0.2">
      <c r="AC6734" s="20"/>
      <c r="AE6734" s="22"/>
      <c r="AF6734" s="22"/>
    </row>
    <row r="6735" spans="29:32" x14ac:dyDescent="0.2">
      <c r="AC6735" s="20"/>
      <c r="AE6735" s="22"/>
      <c r="AF6735" s="22"/>
    </row>
    <row r="6736" spans="29:32" x14ac:dyDescent="0.2">
      <c r="AC6736" s="20"/>
      <c r="AE6736" s="22"/>
      <c r="AF6736" s="22"/>
    </row>
    <row r="6737" spans="29:32" x14ac:dyDescent="0.2">
      <c r="AC6737" s="20"/>
      <c r="AE6737" s="22"/>
      <c r="AF6737" s="22"/>
    </row>
    <row r="6738" spans="29:32" x14ac:dyDescent="0.2">
      <c r="AC6738" s="20"/>
      <c r="AE6738" s="22"/>
      <c r="AF6738" s="22"/>
    </row>
    <row r="6739" spans="29:32" x14ac:dyDescent="0.2">
      <c r="AC6739" s="20"/>
      <c r="AE6739" s="22"/>
      <c r="AF6739" s="22"/>
    </row>
    <row r="6740" spans="29:32" x14ac:dyDescent="0.2">
      <c r="AC6740" s="20"/>
      <c r="AE6740" s="22"/>
      <c r="AF6740" s="22"/>
    </row>
    <row r="6741" spans="29:32" x14ac:dyDescent="0.2">
      <c r="AC6741" s="20"/>
      <c r="AE6741" s="22"/>
      <c r="AF6741" s="22"/>
    </row>
    <row r="6742" spans="29:32" x14ac:dyDescent="0.2">
      <c r="AC6742" s="20"/>
      <c r="AE6742" s="22"/>
      <c r="AF6742" s="22"/>
    </row>
    <row r="6743" spans="29:32" x14ac:dyDescent="0.2">
      <c r="AC6743" s="20"/>
      <c r="AE6743" s="22"/>
      <c r="AF6743" s="22"/>
    </row>
    <row r="6744" spans="29:32" x14ac:dyDescent="0.2">
      <c r="AC6744" s="20"/>
      <c r="AE6744" s="22"/>
      <c r="AF6744" s="22"/>
    </row>
    <row r="6745" spans="29:32" x14ac:dyDescent="0.2">
      <c r="AC6745" s="20"/>
      <c r="AE6745" s="22"/>
      <c r="AF6745" s="22"/>
    </row>
    <row r="6746" spans="29:32" x14ac:dyDescent="0.2">
      <c r="AC6746" s="20"/>
      <c r="AE6746" s="22"/>
      <c r="AF6746" s="22"/>
    </row>
    <row r="6747" spans="29:32" x14ac:dyDescent="0.2">
      <c r="AC6747" s="20"/>
      <c r="AE6747" s="22"/>
      <c r="AF6747" s="22"/>
    </row>
    <row r="6748" spans="29:32" x14ac:dyDescent="0.2">
      <c r="AC6748" s="20"/>
      <c r="AE6748" s="22"/>
      <c r="AF6748" s="22"/>
    </row>
    <row r="6749" spans="29:32" x14ac:dyDescent="0.2">
      <c r="AC6749" s="20"/>
      <c r="AE6749" s="22"/>
      <c r="AF6749" s="22"/>
    </row>
    <row r="6750" spans="29:32" x14ac:dyDescent="0.2">
      <c r="AC6750" s="20"/>
      <c r="AE6750" s="22"/>
      <c r="AF6750" s="22"/>
    </row>
    <row r="6751" spans="29:32" x14ac:dyDescent="0.2">
      <c r="AC6751" s="20"/>
      <c r="AE6751" s="22"/>
      <c r="AF6751" s="22"/>
    </row>
    <row r="6752" spans="29:32" x14ac:dyDescent="0.2">
      <c r="AC6752" s="20"/>
      <c r="AE6752" s="22"/>
      <c r="AF6752" s="22"/>
    </row>
    <row r="6753" spans="29:32" x14ac:dyDescent="0.2">
      <c r="AC6753" s="20"/>
      <c r="AE6753" s="22"/>
      <c r="AF6753" s="22"/>
    </row>
    <row r="6754" spans="29:32" x14ac:dyDescent="0.2">
      <c r="AC6754" s="20"/>
      <c r="AE6754" s="22"/>
      <c r="AF6754" s="22"/>
    </row>
    <row r="6755" spans="29:32" x14ac:dyDescent="0.2">
      <c r="AC6755" s="20"/>
      <c r="AE6755" s="22"/>
      <c r="AF6755" s="22"/>
    </row>
    <row r="6756" spans="29:32" x14ac:dyDescent="0.2">
      <c r="AC6756" s="20"/>
      <c r="AE6756" s="22"/>
      <c r="AF6756" s="22"/>
    </row>
    <row r="6757" spans="29:32" x14ac:dyDescent="0.2">
      <c r="AC6757" s="20"/>
      <c r="AE6757" s="22"/>
      <c r="AF6757" s="22"/>
    </row>
    <row r="6758" spans="29:32" x14ac:dyDescent="0.2">
      <c r="AC6758" s="20"/>
      <c r="AE6758" s="22"/>
      <c r="AF6758" s="22"/>
    </row>
    <row r="6759" spans="29:32" x14ac:dyDescent="0.2">
      <c r="AC6759" s="20"/>
      <c r="AE6759" s="22"/>
      <c r="AF6759" s="22"/>
    </row>
    <row r="6760" spans="29:32" x14ac:dyDescent="0.2">
      <c r="AC6760" s="20"/>
      <c r="AE6760" s="22"/>
      <c r="AF6760" s="22"/>
    </row>
    <row r="6761" spans="29:32" x14ac:dyDescent="0.2">
      <c r="AC6761" s="20"/>
      <c r="AE6761" s="22"/>
      <c r="AF6761" s="22"/>
    </row>
    <row r="6762" spans="29:32" x14ac:dyDescent="0.2">
      <c r="AC6762" s="20"/>
      <c r="AE6762" s="22"/>
      <c r="AF6762" s="22"/>
    </row>
    <row r="6763" spans="29:32" x14ac:dyDescent="0.2">
      <c r="AC6763" s="20"/>
      <c r="AE6763" s="22"/>
      <c r="AF6763" s="22"/>
    </row>
    <row r="6764" spans="29:32" x14ac:dyDescent="0.2">
      <c r="AC6764" s="20"/>
      <c r="AE6764" s="22"/>
      <c r="AF6764" s="22"/>
    </row>
    <row r="6765" spans="29:32" x14ac:dyDescent="0.2">
      <c r="AC6765" s="20"/>
      <c r="AE6765" s="22"/>
      <c r="AF6765" s="22"/>
    </row>
    <row r="6766" spans="29:32" x14ac:dyDescent="0.2">
      <c r="AC6766" s="20"/>
      <c r="AE6766" s="22"/>
      <c r="AF6766" s="22"/>
    </row>
    <row r="6767" spans="29:32" x14ac:dyDescent="0.2">
      <c r="AC6767" s="20"/>
      <c r="AE6767" s="22"/>
      <c r="AF6767" s="22"/>
    </row>
    <row r="6768" spans="29:32" x14ac:dyDescent="0.2">
      <c r="AC6768" s="20"/>
      <c r="AE6768" s="22"/>
      <c r="AF6768" s="22"/>
    </row>
    <row r="6769" spans="29:32" x14ac:dyDescent="0.2">
      <c r="AC6769" s="20"/>
      <c r="AE6769" s="22"/>
      <c r="AF6769" s="22"/>
    </row>
    <row r="6770" spans="29:32" x14ac:dyDescent="0.2">
      <c r="AC6770" s="20"/>
      <c r="AE6770" s="22"/>
      <c r="AF6770" s="22"/>
    </row>
    <row r="6771" spans="29:32" x14ac:dyDescent="0.2">
      <c r="AC6771" s="20"/>
      <c r="AE6771" s="22"/>
      <c r="AF6771" s="22"/>
    </row>
    <row r="6772" spans="29:32" x14ac:dyDescent="0.2">
      <c r="AC6772" s="20"/>
      <c r="AE6772" s="22"/>
      <c r="AF6772" s="22"/>
    </row>
    <row r="6773" spans="29:32" x14ac:dyDescent="0.2">
      <c r="AC6773" s="20"/>
      <c r="AE6773" s="22"/>
      <c r="AF6773" s="22"/>
    </row>
    <row r="6774" spans="29:32" x14ac:dyDescent="0.2">
      <c r="AC6774" s="20"/>
      <c r="AE6774" s="22"/>
      <c r="AF6774" s="22"/>
    </row>
    <row r="6775" spans="29:32" x14ac:dyDescent="0.2">
      <c r="AC6775" s="20"/>
      <c r="AE6775" s="22"/>
      <c r="AF6775" s="22"/>
    </row>
    <row r="6776" spans="29:32" x14ac:dyDescent="0.2">
      <c r="AC6776" s="20"/>
      <c r="AE6776" s="22"/>
      <c r="AF6776" s="22"/>
    </row>
    <row r="6777" spans="29:32" x14ac:dyDescent="0.2">
      <c r="AC6777" s="20"/>
      <c r="AE6777" s="22"/>
      <c r="AF6777" s="22"/>
    </row>
    <row r="6778" spans="29:32" x14ac:dyDescent="0.2">
      <c r="AC6778" s="20"/>
      <c r="AE6778" s="22"/>
      <c r="AF6778" s="22"/>
    </row>
    <row r="6779" spans="29:32" x14ac:dyDescent="0.2">
      <c r="AC6779" s="20"/>
      <c r="AE6779" s="22"/>
      <c r="AF6779" s="22"/>
    </row>
    <row r="6780" spans="29:32" x14ac:dyDescent="0.2">
      <c r="AC6780" s="20"/>
      <c r="AE6780" s="22"/>
      <c r="AF6780" s="22"/>
    </row>
    <row r="6781" spans="29:32" x14ac:dyDescent="0.2">
      <c r="AC6781" s="20"/>
      <c r="AE6781" s="22"/>
      <c r="AF6781" s="22"/>
    </row>
    <row r="6782" spans="29:32" x14ac:dyDescent="0.2">
      <c r="AC6782" s="20"/>
      <c r="AE6782" s="22"/>
      <c r="AF6782" s="22"/>
    </row>
    <row r="6783" spans="29:32" x14ac:dyDescent="0.2">
      <c r="AC6783" s="20"/>
      <c r="AE6783" s="22"/>
      <c r="AF6783" s="22"/>
    </row>
    <row r="6784" spans="29:32" x14ac:dyDescent="0.2">
      <c r="AC6784" s="20"/>
      <c r="AE6784" s="22"/>
      <c r="AF6784" s="22"/>
    </row>
    <row r="6785" spans="29:32" x14ac:dyDescent="0.2">
      <c r="AC6785" s="20"/>
      <c r="AE6785" s="22"/>
      <c r="AF6785" s="22"/>
    </row>
    <row r="6786" spans="29:32" x14ac:dyDescent="0.2">
      <c r="AC6786" s="20"/>
      <c r="AE6786" s="22"/>
      <c r="AF6786" s="22"/>
    </row>
    <row r="6787" spans="29:32" x14ac:dyDescent="0.2">
      <c r="AC6787" s="20"/>
      <c r="AE6787" s="22"/>
      <c r="AF6787" s="22"/>
    </row>
    <row r="6788" spans="29:32" x14ac:dyDescent="0.2">
      <c r="AC6788" s="20"/>
      <c r="AE6788" s="22"/>
      <c r="AF6788" s="22"/>
    </row>
    <row r="6789" spans="29:32" x14ac:dyDescent="0.2">
      <c r="AC6789" s="20"/>
      <c r="AE6789" s="22"/>
      <c r="AF6789" s="22"/>
    </row>
    <row r="6790" spans="29:32" x14ac:dyDescent="0.2">
      <c r="AC6790" s="20"/>
      <c r="AE6790" s="22"/>
      <c r="AF6790" s="22"/>
    </row>
    <row r="6791" spans="29:32" x14ac:dyDescent="0.2">
      <c r="AC6791" s="20"/>
      <c r="AE6791" s="22"/>
      <c r="AF6791" s="22"/>
    </row>
    <row r="6792" spans="29:32" x14ac:dyDescent="0.2">
      <c r="AC6792" s="20"/>
      <c r="AE6792" s="22"/>
      <c r="AF6792" s="22"/>
    </row>
    <row r="6793" spans="29:32" x14ac:dyDescent="0.2">
      <c r="AC6793" s="20"/>
      <c r="AE6793" s="22"/>
      <c r="AF6793" s="22"/>
    </row>
    <row r="6794" spans="29:32" x14ac:dyDescent="0.2">
      <c r="AC6794" s="20"/>
      <c r="AE6794" s="22"/>
      <c r="AF6794" s="22"/>
    </row>
    <row r="6795" spans="29:32" x14ac:dyDescent="0.2">
      <c r="AC6795" s="20"/>
      <c r="AE6795" s="22"/>
      <c r="AF6795" s="22"/>
    </row>
    <row r="6796" spans="29:32" x14ac:dyDescent="0.2">
      <c r="AC6796" s="20"/>
      <c r="AE6796" s="22"/>
      <c r="AF6796" s="22"/>
    </row>
    <row r="6797" spans="29:32" x14ac:dyDescent="0.2">
      <c r="AC6797" s="20"/>
      <c r="AE6797" s="22"/>
      <c r="AF6797" s="22"/>
    </row>
    <row r="6798" spans="29:32" x14ac:dyDescent="0.2">
      <c r="AC6798" s="20"/>
      <c r="AE6798" s="22"/>
      <c r="AF6798" s="22"/>
    </row>
    <row r="6799" spans="29:32" x14ac:dyDescent="0.2">
      <c r="AC6799" s="20"/>
      <c r="AE6799" s="22"/>
      <c r="AF6799" s="22"/>
    </row>
    <row r="6800" spans="29:32" x14ac:dyDescent="0.2">
      <c r="AC6800" s="20"/>
      <c r="AE6800" s="22"/>
      <c r="AF6800" s="22"/>
    </row>
    <row r="6801" spans="29:32" x14ac:dyDescent="0.2">
      <c r="AC6801" s="20"/>
      <c r="AE6801" s="22"/>
      <c r="AF6801" s="22"/>
    </row>
    <row r="6802" spans="29:32" x14ac:dyDescent="0.2">
      <c r="AC6802" s="20"/>
      <c r="AE6802" s="22"/>
      <c r="AF6802" s="22"/>
    </row>
    <row r="6803" spans="29:32" x14ac:dyDescent="0.2">
      <c r="AC6803" s="20"/>
      <c r="AE6803" s="22"/>
      <c r="AF6803" s="22"/>
    </row>
    <row r="6804" spans="29:32" x14ac:dyDescent="0.2">
      <c r="AC6804" s="20"/>
      <c r="AE6804" s="22"/>
      <c r="AF6804" s="22"/>
    </row>
    <row r="6805" spans="29:32" x14ac:dyDescent="0.2">
      <c r="AC6805" s="20"/>
      <c r="AE6805" s="22"/>
      <c r="AF6805" s="22"/>
    </row>
    <row r="6806" spans="29:32" x14ac:dyDescent="0.2">
      <c r="AC6806" s="20"/>
      <c r="AE6806" s="22"/>
      <c r="AF6806" s="22"/>
    </row>
    <row r="6807" spans="29:32" x14ac:dyDescent="0.2">
      <c r="AC6807" s="20"/>
      <c r="AE6807" s="22"/>
      <c r="AF6807" s="22"/>
    </row>
    <row r="6808" spans="29:32" x14ac:dyDescent="0.2">
      <c r="AC6808" s="20"/>
      <c r="AE6808" s="22"/>
      <c r="AF6808" s="22"/>
    </row>
    <row r="6809" spans="29:32" x14ac:dyDescent="0.2">
      <c r="AC6809" s="20"/>
      <c r="AE6809" s="22"/>
      <c r="AF6809" s="22"/>
    </row>
    <row r="6810" spans="29:32" x14ac:dyDescent="0.2">
      <c r="AC6810" s="20"/>
      <c r="AE6810" s="22"/>
      <c r="AF6810" s="22"/>
    </row>
    <row r="6811" spans="29:32" x14ac:dyDescent="0.2">
      <c r="AC6811" s="20"/>
      <c r="AE6811" s="22"/>
      <c r="AF6811" s="22"/>
    </row>
    <row r="6812" spans="29:32" x14ac:dyDescent="0.2">
      <c r="AC6812" s="20"/>
      <c r="AE6812" s="22"/>
      <c r="AF6812" s="22"/>
    </row>
    <row r="6813" spans="29:32" x14ac:dyDescent="0.2">
      <c r="AC6813" s="20"/>
      <c r="AE6813" s="22"/>
      <c r="AF6813" s="22"/>
    </row>
    <row r="6814" spans="29:32" x14ac:dyDescent="0.2">
      <c r="AC6814" s="20"/>
      <c r="AE6814" s="22"/>
      <c r="AF6814" s="22"/>
    </row>
    <row r="6815" spans="29:32" x14ac:dyDescent="0.2">
      <c r="AC6815" s="20"/>
      <c r="AE6815" s="22"/>
      <c r="AF6815" s="22"/>
    </row>
    <row r="6816" spans="29:32" x14ac:dyDescent="0.2">
      <c r="AC6816" s="20"/>
      <c r="AE6816" s="22"/>
      <c r="AF6816" s="22"/>
    </row>
    <row r="6817" spans="29:32" x14ac:dyDescent="0.2">
      <c r="AC6817" s="20"/>
      <c r="AE6817" s="22"/>
      <c r="AF6817" s="22"/>
    </row>
    <row r="6818" spans="29:32" x14ac:dyDescent="0.2">
      <c r="AC6818" s="20"/>
      <c r="AE6818" s="22"/>
      <c r="AF6818" s="22"/>
    </row>
    <row r="6819" spans="29:32" x14ac:dyDescent="0.2">
      <c r="AC6819" s="20"/>
      <c r="AE6819" s="22"/>
      <c r="AF6819" s="22"/>
    </row>
    <row r="6820" spans="29:32" x14ac:dyDescent="0.2">
      <c r="AC6820" s="20"/>
      <c r="AE6820" s="22"/>
      <c r="AF6820" s="22"/>
    </row>
    <row r="6821" spans="29:32" x14ac:dyDescent="0.2">
      <c r="AC6821" s="20"/>
      <c r="AE6821" s="22"/>
      <c r="AF6821" s="22"/>
    </row>
    <row r="6822" spans="29:32" x14ac:dyDescent="0.2">
      <c r="AC6822" s="20"/>
      <c r="AE6822" s="22"/>
      <c r="AF6822" s="22"/>
    </row>
    <row r="6823" spans="29:32" x14ac:dyDescent="0.2">
      <c r="AC6823" s="20"/>
      <c r="AE6823" s="22"/>
      <c r="AF6823" s="22"/>
    </row>
    <row r="6824" spans="29:32" x14ac:dyDescent="0.2">
      <c r="AC6824" s="20"/>
      <c r="AE6824" s="22"/>
      <c r="AF6824" s="22"/>
    </row>
    <row r="6825" spans="29:32" x14ac:dyDescent="0.2">
      <c r="AC6825" s="20"/>
      <c r="AE6825" s="22"/>
      <c r="AF6825" s="22"/>
    </row>
    <row r="6826" spans="29:32" x14ac:dyDescent="0.2">
      <c r="AC6826" s="20"/>
      <c r="AE6826" s="22"/>
      <c r="AF6826" s="22"/>
    </row>
    <row r="6827" spans="29:32" x14ac:dyDescent="0.2">
      <c r="AC6827" s="20"/>
      <c r="AE6827" s="22"/>
      <c r="AF6827" s="22"/>
    </row>
    <row r="6828" spans="29:32" x14ac:dyDescent="0.2">
      <c r="AC6828" s="20"/>
      <c r="AE6828" s="22"/>
      <c r="AF6828" s="22"/>
    </row>
    <row r="6829" spans="29:32" x14ac:dyDescent="0.2">
      <c r="AC6829" s="20"/>
      <c r="AE6829" s="22"/>
      <c r="AF6829" s="22"/>
    </row>
    <row r="6830" spans="29:32" x14ac:dyDescent="0.2">
      <c r="AC6830" s="20"/>
      <c r="AE6830" s="22"/>
      <c r="AF6830" s="22"/>
    </row>
    <row r="6831" spans="29:32" x14ac:dyDescent="0.2">
      <c r="AC6831" s="20"/>
      <c r="AE6831" s="22"/>
      <c r="AF6831" s="22"/>
    </row>
    <row r="6832" spans="29:32" x14ac:dyDescent="0.2">
      <c r="AC6832" s="20"/>
      <c r="AE6832" s="22"/>
      <c r="AF6832" s="22"/>
    </row>
    <row r="6833" spans="29:32" x14ac:dyDescent="0.2">
      <c r="AC6833" s="20"/>
      <c r="AE6833" s="22"/>
      <c r="AF6833" s="22"/>
    </row>
    <row r="6834" spans="29:32" x14ac:dyDescent="0.2">
      <c r="AC6834" s="20"/>
      <c r="AE6834" s="22"/>
      <c r="AF6834" s="22"/>
    </row>
    <row r="6835" spans="29:32" x14ac:dyDescent="0.2">
      <c r="AC6835" s="20"/>
      <c r="AE6835" s="22"/>
      <c r="AF6835" s="22"/>
    </row>
    <row r="6836" spans="29:32" x14ac:dyDescent="0.2">
      <c r="AC6836" s="20"/>
      <c r="AE6836" s="22"/>
      <c r="AF6836" s="22"/>
    </row>
    <row r="6837" spans="29:32" x14ac:dyDescent="0.2">
      <c r="AC6837" s="20"/>
      <c r="AE6837" s="22"/>
      <c r="AF6837" s="22"/>
    </row>
    <row r="6838" spans="29:32" x14ac:dyDescent="0.2">
      <c r="AC6838" s="20"/>
      <c r="AE6838" s="22"/>
      <c r="AF6838" s="22"/>
    </row>
    <row r="6839" spans="29:32" x14ac:dyDescent="0.2">
      <c r="AC6839" s="20"/>
      <c r="AE6839" s="22"/>
      <c r="AF6839" s="22"/>
    </row>
    <row r="6840" spans="29:32" x14ac:dyDescent="0.2">
      <c r="AC6840" s="20"/>
      <c r="AE6840" s="22"/>
      <c r="AF6840" s="22"/>
    </row>
    <row r="6841" spans="29:32" x14ac:dyDescent="0.2">
      <c r="AC6841" s="20"/>
      <c r="AE6841" s="22"/>
      <c r="AF6841" s="22"/>
    </row>
    <row r="6842" spans="29:32" x14ac:dyDescent="0.2">
      <c r="AC6842" s="20"/>
      <c r="AE6842" s="22"/>
      <c r="AF6842" s="22"/>
    </row>
    <row r="6843" spans="29:32" x14ac:dyDescent="0.2">
      <c r="AC6843" s="20"/>
      <c r="AE6843" s="22"/>
      <c r="AF6843" s="22"/>
    </row>
    <row r="6844" spans="29:32" x14ac:dyDescent="0.2">
      <c r="AC6844" s="20"/>
      <c r="AE6844" s="22"/>
      <c r="AF6844" s="22"/>
    </row>
    <row r="6845" spans="29:32" x14ac:dyDescent="0.2">
      <c r="AC6845" s="20"/>
      <c r="AE6845" s="22"/>
      <c r="AF6845" s="22"/>
    </row>
    <row r="6846" spans="29:32" x14ac:dyDescent="0.2">
      <c r="AC6846" s="20"/>
      <c r="AE6846" s="22"/>
      <c r="AF6846" s="22"/>
    </row>
    <row r="6847" spans="29:32" x14ac:dyDescent="0.2">
      <c r="AC6847" s="20"/>
      <c r="AE6847" s="22"/>
      <c r="AF6847" s="22"/>
    </row>
    <row r="6848" spans="29:32" x14ac:dyDescent="0.2">
      <c r="AC6848" s="20"/>
      <c r="AE6848" s="22"/>
      <c r="AF6848" s="22"/>
    </row>
    <row r="6849" spans="29:32" x14ac:dyDescent="0.2">
      <c r="AC6849" s="20"/>
      <c r="AE6849" s="22"/>
      <c r="AF6849" s="22"/>
    </row>
    <row r="6850" spans="29:32" x14ac:dyDescent="0.2">
      <c r="AC6850" s="20"/>
      <c r="AE6850" s="22"/>
      <c r="AF6850" s="22"/>
    </row>
    <row r="6851" spans="29:32" x14ac:dyDescent="0.2">
      <c r="AC6851" s="20"/>
      <c r="AE6851" s="22"/>
      <c r="AF6851" s="22"/>
    </row>
    <row r="6852" spans="29:32" x14ac:dyDescent="0.2">
      <c r="AC6852" s="20"/>
      <c r="AE6852" s="22"/>
      <c r="AF6852" s="22"/>
    </row>
    <row r="6853" spans="29:32" x14ac:dyDescent="0.2">
      <c r="AC6853" s="20"/>
      <c r="AE6853" s="22"/>
      <c r="AF6853" s="22"/>
    </row>
    <row r="6854" spans="29:32" x14ac:dyDescent="0.2">
      <c r="AC6854" s="20"/>
      <c r="AE6854" s="22"/>
      <c r="AF6854" s="22"/>
    </row>
    <row r="6855" spans="29:32" x14ac:dyDescent="0.2">
      <c r="AC6855" s="20"/>
      <c r="AE6855" s="22"/>
      <c r="AF6855" s="22"/>
    </row>
    <row r="6856" spans="29:32" x14ac:dyDescent="0.2">
      <c r="AC6856" s="20"/>
      <c r="AE6856" s="22"/>
      <c r="AF6856" s="22"/>
    </row>
    <row r="6857" spans="29:32" x14ac:dyDescent="0.2">
      <c r="AC6857" s="20"/>
      <c r="AE6857" s="22"/>
      <c r="AF6857" s="22"/>
    </row>
    <row r="6858" spans="29:32" x14ac:dyDescent="0.2">
      <c r="AC6858" s="20"/>
      <c r="AE6858" s="22"/>
      <c r="AF6858" s="22"/>
    </row>
    <row r="6859" spans="29:32" x14ac:dyDescent="0.2">
      <c r="AC6859" s="20"/>
      <c r="AE6859" s="22"/>
      <c r="AF6859" s="22"/>
    </row>
    <row r="6860" spans="29:32" x14ac:dyDescent="0.2">
      <c r="AC6860" s="20"/>
      <c r="AE6860" s="22"/>
      <c r="AF6860" s="22"/>
    </row>
    <row r="6861" spans="29:32" x14ac:dyDescent="0.2">
      <c r="AC6861" s="20"/>
      <c r="AE6861" s="22"/>
      <c r="AF6861" s="22"/>
    </row>
    <row r="6862" spans="29:32" x14ac:dyDescent="0.2">
      <c r="AC6862" s="20"/>
      <c r="AE6862" s="22"/>
      <c r="AF6862" s="22"/>
    </row>
    <row r="6863" spans="29:32" x14ac:dyDescent="0.2">
      <c r="AC6863" s="20"/>
      <c r="AE6863" s="22"/>
      <c r="AF6863" s="22"/>
    </row>
    <row r="6864" spans="29:32" x14ac:dyDescent="0.2">
      <c r="AC6864" s="20"/>
      <c r="AE6864" s="22"/>
      <c r="AF6864" s="22"/>
    </row>
    <row r="6865" spans="29:32" x14ac:dyDescent="0.2">
      <c r="AC6865" s="20"/>
      <c r="AE6865" s="22"/>
      <c r="AF6865" s="22"/>
    </row>
    <row r="6866" spans="29:32" x14ac:dyDescent="0.2">
      <c r="AC6866" s="20"/>
      <c r="AE6866" s="22"/>
      <c r="AF6866" s="22"/>
    </row>
    <row r="6867" spans="29:32" x14ac:dyDescent="0.2">
      <c r="AC6867" s="20"/>
      <c r="AE6867" s="22"/>
      <c r="AF6867" s="22"/>
    </row>
    <row r="6868" spans="29:32" x14ac:dyDescent="0.2">
      <c r="AC6868" s="20"/>
      <c r="AE6868" s="22"/>
      <c r="AF6868" s="22"/>
    </row>
    <row r="6869" spans="29:32" x14ac:dyDescent="0.2">
      <c r="AC6869" s="20"/>
      <c r="AE6869" s="22"/>
      <c r="AF6869" s="22"/>
    </row>
    <row r="6870" spans="29:32" x14ac:dyDescent="0.2">
      <c r="AC6870" s="20"/>
      <c r="AE6870" s="22"/>
      <c r="AF6870" s="22"/>
    </row>
    <row r="6871" spans="29:32" x14ac:dyDescent="0.2">
      <c r="AC6871" s="20"/>
      <c r="AE6871" s="22"/>
      <c r="AF6871" s="22"/>
    </row>
    <row r="6872" spans="29:32" x14ac:dyDescent="0.2">
      <c r="AC6872" s="20"/>
      <c r="AE6872" s="22"/>
      <c r="AF6872" s="22"/>
    </row>
    <row r="6873" spans="29:32" x14ac:dyDescent="0.2">
      <c r="AC6873" s="20"/>
      <c r="AE6873" s="22"/>
      <c r="AF6873" s="22"/>
    </row>
    <row r="6874" spans="29:32" x14ac:dyDescent="0.2">
      <c r="AC6874" s="20"/>
      <c r="AE6874" s="22"/>
      <c r="AF6874" s="22"/>
    </row>
    <row r="6875" spans="29:32" x14ac:dyDescent="0.2">
      <c r="AC6875" s="20"/>
      <c r="AE6875" s="22"/>
      <c r="AF6875" s="22"/>
    </row>
    <row r="6876" spans="29:32" x14ac:dyDescent="0.2">
      <c r="AC6876" s="20"/>
      <c r="AE6876" s="22"/>
      <c r="AF6876" s="22"/>
    </row>
    <row r="6877" spans="29:32" x14ac:dyDescent="0.2">
      <c r="AC6877" s="20"/>
      <c r="AE6877" s="22"/>
      <c r="AF6877" s="22"/>
    </row>
    <row r="6878" spans="29:32" x14ac:dyDescent="0.2">
      <c r="AC6878" s="20"/>
      <c r="AE6878" s="22"/>
      <c r="AF6878" s="22"/>
    </row>
    <row r="6879" spans="29:32" x14ac:dyDescent="0.2">
      <c r="AC6879" s="20"/>
      <c r="AE6879" s="22"/>
      <c r="AF6879" s="22"/>
    </row>
    <row r="6880" spans="29:32" x14ac:dyDescent="0.2">
      <c r="AC6880" s="20"/>
      <c r="AE6880" s="22"/>
      <c r="AF6880" s="22"/>
    </row>
    <row r="6881" spans="29:32" x14ac:dyDescent="0.2">
      <c r="AC6881" s="20"/>
      <c r="AE6881" s="22"/>
      <c r="AF6881" s="22"/>
    </row>
    <row r="6882" spans="29:32" x14ac:dyDescent="0.2">
      <c r="AC6882" s="20"/>
      <c r="AE6882" s="22"/>
      <c r="AF6882" s="22"/>
    </row>
    <row r="6883" spans="29:32" x14ac:dyDescent="0.2">
      <c r="AC6883" s="20"/>
      <c r="AE6883" s="22"/>
      <c r="AF6883" s="22"/>
    </row>
    <row r="6884" spans="29:32" x14ac:dyDescent="0.2">
      <c r="AC6884" s="20"/>
      <c r="AE6884" s="22"/>
      <c r="AF6884" s="22"/>
    </row>
    <row r="6885" spans="29:32" x14ac:dyDescent="0.2">
      <c r="AC6885" s="20"/>
      <c r="AE6885" s="22"/>
      <c r="AF6885" s="22"/>
    </row>
    <row r="6886" spans="29:32" x14ac:dyDescent="0.2">
      <c r="AC6886" s="20"/>
      <c r="AE6886" s="22"/>
      <c r="AF6886" s="22"/>
    </row>
    <row r="6887" spans="29:32" x14ac:dyDescent="0.2">
      <c r="AC6887" s="20"/>
      <c r="AE6887" s="22"/>
      <c r="AF6887" s="22"/>
    </row>
    <row r="6888" spans="29:32" x14ac:dyDescent="0.2">
      <c r="AC6888" s="20"/>
      <c r="AE6888" s="22"/>
      <c r="AF6888" s="22"/>
    </row>
    <row r="6889" spans="29:32" x14ac:dyDescent="0.2">
      <c r="AC6889" s="20"/>
      <c r="AE6889" s="22"/>
      <c r="AF6889" s="22"/>
    </row>
    <row r="6890" spans="29:32" x14ac:dyDescent="0.2">
      <c r="AC6890" s="20"/>
      <c r="AE6890" s="22"/>
      <c r="AF6890" s="22"/>
    </row>
    <row r="6891" spans="29:32" x14ac:dyDescent="0.2">
      <c r="AC6891" s="20"/>
      <c r="AE6891" s="22"/>
      <c r="AF6891" s="22"/>
    </row>
    <row r="6892" spans="29:32" x14ac:dyDescent="0.2">
      <c r="AC6892" s="20"/>
      <c r="AE6892" s="22"/>
      <c r="AF6892" s="22"/>
    </row>
    <row r="6893" spans="29:32" x14ac:dyDescent="0.2">
      <c r="AC6893" s="20"/>
      <c r="AE6893" s="22"/>
      <c r="AF6893" s="22"/>
    </row>
    <row r="6894" spans="29:32" x14ac:dyDescent="0.2">
      <c r="AC6894" s="20"/>
      <c r="AE6894" s="22"/>
      <c r="AF6894" s="22"/>
    </row>
    <row r="6895" spans="29:32" x14ac:dyDescent="0.2">
      <c r="AC6895" s="20"/>
      <c r="AE6895" s="22"/>
      <c r="AF6895" s="22"/>
    </row>
    <row r="6896" spans="29:32" x14ac:dyDescent="0.2">
      <c r="AC6896" s="20"/>
      <c r="AE6896" s="22"/>
      <c r="AF6896" s="22"/>
    </row>
    <row r="6897" spans="29:32" x14ac:dyDescent="0.2">
      <c r="AC6897" s="20"/>
      <c r="AE6897" s="22"/>
      <c r="AF6897" s="22"/>
    </row>
    <row r="6898" spans="29:32" x14ac:dyDescent="0.2">
      <c r="AC6898" s="20"/>
      <c r="AE6898" s="22"/>
      <c r="AF6898" s="22"/>
    </row>
    <row r="6899" spans="29:32" x14ac:dyDescent="0.2">
      <c r="AC6899" s="20"/>
      <c r="AE6899" s="22"/>
      <c r="AF6899" s="22"/>
    </row>
    <row r="6900" spans="29:32" x14ac:dyDescent="0.2">
      <c r="AC6900" s="20"/>
      <c r="AE6900" s="22"/>
      <c r="AF6900" s="22"/>
    </row>
    <row r="6901" spans="29:32" x14ac:dyDescent="0.2">
      <c r="AC6901" s="20"/>
      <c r="AE6901" s="22"/>
      <c r="AF6901" s="22"/>
    </row>
    <row r="6902" spans="29:32" x14ac:dyDescent="0.2">
      <c r="AC6902" s="20"/>
      <c r="AE6902" s="22"/>
      <c r="AF6902" s="22"/>
    </row>
    <row r="6903" spans="29:32" x14ac:dyDescent="0.2">
      <c r="AC6903" s="20"/>
      <c r="AE6903" s="22"/>
      <c r="AF6903" s="22"/>
    </row>
    <row r="6904" spans="29:32" x14ac:dyDescent="0.2">
      <c r="AC6904" s="20"/>
      <c r="AE6904" s="22"/>
      <c r="AF6904" s="22"/>
    </row>
    <row r="6905" spans="29:32" x14ac:dyDescent="0.2">
      <c r="AC6905" s="20"/>
      <c r="AE6905" s="22"/>
      <c r="AF6905" s="22"/>
    </row>
    <row r="6906" spans="29:32" x14ac:dyDescent="0.2">
      <c r="AC6906" s="20"/>
      <c r="AE6906" s="22"/>
      <c r="AF6906" s="22"/>
    </row>
    <row r="6907" spans="29:32" x14ac:dyDescent="0.2">
      <c r="AC6907" s="20"/>
      <c r="AE6907" s="22"/>
      <c r="AF6907" s="22"/>
    </row>
    <row r="6908" spans="29:32" x14ac:dyDescent="0.2">
      <c r="AC6908" s="20"/>
      <c r="AE6908" s="22"/>
      <c r="AF6908" s="22"/>
    </row>
    <row r="6909" spans="29:32" x14ac:dyDescent="0.2">
      <c r="AC6909" s="20"/>
      <c r="AE6909" s="22"/>
      <c r="AF6909" s="22"/>
    </row>
    <row r="6910" spans="29:32" x14ac:dyDescent="0.2">
      <c r="AC6910" s="20"/>
      <c r="AE6910" s="22"/>
      <c r="AF6910" s="22"/>
    </row>
    <row r="6911" spans="29:32" x14ac:dyDescent="0.2">
      <c r="AC6911" s="20"/>
      <c r="AE6911" s="22"/>
      <c r="AF6911" s="22"/>
    </row>
    <row r="6912" spans="29:32" x14ac:dyDescent="0.2">
      <c r="AC6912" s="20"/>
      <c r="AE6912" s="22"/>
      <c r="AF6912" s="22"/>
    </row>
    <row r="6913" spans="29:32" x14ac:dyDescent="0.2">
      <c r="AC6913" s="20"/>
      <c r="AE6913" s="22"/>
      <c r="AF6913" s="22"/>
    </row>
    <row r="6914" spans="29:32" x14ac:dyDescent="0.2">
      <c r="AC6914" s="20"/>
      <c r="AE6914" s="22"/>
      <c r="AF6914" s="22"/>
    </row>
    <row r="6915" spans="29:32" x14ac:dyDescent="0.2">
      <c r="AC6915" s="20"/>
      <c r="AE6915" s="22"/>
      <c r="AF6915" s="22"/>
    </row>
    <row r="6916" spans="29:32" x14ac:dyDescent="0.2">
      <c r="AC6916" s="20"/>
      <c r="AE6916" s="22"/>
      <c r="AF6916" s="22"/>
    </row>
    <row r="6917" spans="29:32" x14ac:dyDescent="0.2">
      <c r="AC6917" s="20"/>
      <c r="AE6917" s="22"/>
      <c r="AF6917" s="22"/>
    </row>
    <row r="6918" spans="29:32" x14ac:dyDescent="0.2">
      <c r="AC6918" s="20"/>
      <c r="AE6918" s="22"/>
      <c r="AF6918" s="22"/>
    </row>
    <row r="6919" spans="29:32" x14ac:dyDescent="0.2">
      <c r="AC6919" s="20"/>
      <c r="AE6919" s="22"/>
      <c r="AF6919" s="22"/>
    </row>
    <row r="6920" spans="29:32" x14ac:dyDescent="0.2">
      <c r="AC6920" s="20"/>
      <c r="AE6920" s="22"/>
      <c r="AF6920" s="22"/>
    </row>
    <row r="6921" spans="29:32" x14ac:dyDescent="0.2">
      <c r="AC6921" s="20"/>
      <c r="AE6921" s="22"/>
      <c r="AF6921" s="22"/>
    </row>
    <row r="6922" spans="29:32" x14ac:dyDescent="0.2">
      <c r="AC6922" s="20"/>
      <c r="AE6922" s="22"/>
      <c r="AF6922" s="22"/>
    </row>
    <row r="6923" spans="29:32" x14ac:dyDescent="0.2">
      <c r="AC6923" s="20"/>
      <c r="AE6923" s="22"/>
      <c r="AF6923" s="22"/>
    </row>
    <row r="6924" spans="29:32" x14ac:dyDescent="0.2">
      <c r="AC6924" s="20"/>
      <c r="AE6924" s="22"/>
      <c r="AF6924" s="22"/>
    </row>
    <row r="6925" spans="29:32" x14ac:dyDescent="0.2">
      <c r="AC6925" s="20"/>
      <c r="AE6925" s="22"/>
      <c r="AF6925" s="22"/>
    </row>
    <row r="6926" spans="29:32" x14ac:dyDescent="0.2">
      <c r="AC6926" s="20"/>
      <c r="AE6926" s="22"/>
      <c r="AF6926" s="22"/>
    </row>
    <row r="6927" spans="29:32" x14ac:dyDescent="0.2">
      <c r="AC6927" s="20"/>
      <c r="AE6927" s="22"/>
      <c r="AF6927" s="22"/>
    </row>
    <row r="6928" spans="29:32" x14ac:dyDescent="0.2">
      <c r="AC6928" s="20"/>
      <c r="AE6928" s="22"/>
      <c r="AF6928" s="22"/>
    </row>
    <row r="6929" spans="29:32" x14ac:dyDescent="0.2">
      <c r="AC6929" s="20"/>
      <c r="AE6929" s="22"/>
      <c r="AF6929" s="22"/>
    </row>
    <row r="6930" spans="29:32" x14ac:dyDescent="0.2">
      <c r="AC6930" s="20"/>
      <c r="AE6930" s="22"/>
      <c r="AF6930" s="22"/>
    </row>
    <row r="6931" spans="29:32" x14ac:dyDescent="0.2">
      <c r="AC6931" s="20"/>
      <c r="AE6931" s="22"/>
      <c r="AF6931" s="22"/>
    </row>
    <row r="6932" spans="29:32" x14ac:dyDescent="0.2">
      <c r="AC6932" s="20"/>
      <c r="AE6932" s="22"/>
      <c r="AF6932" s="22"/>
    </row>
    <row r="6933" spans="29:32" x14ac:dyDescent="0.2">
      <c r="AC6933" s="20"/>
      <c r="AE6933" s="22"/>
      <c r="AF6933" s="22"/>
    </row>
    <row r="6934" spans="29:32" x14ac:dyDescent="0.2">
      <c r="AC6934" s="20"/>
      <c r="AE6934" s="22"/>
      <c r="AF6934" s="22"/>
    </row>
    <row r="6935" spans="29:32" x14ac:dyDescent="0.2">
      <c r="AC6935" s="20"/>
      <c r="AE6935" s="22"/>
      <c r="AF6935" s="22"/>
    </row>
    <row r="6936" spans="29:32" x14ac:dyDescent="0.2">
      <c r="AC6936" s="20"/>
      <c r="AE6936" s="22"/>
      <c r="AF6936" s="22"/>
    </row>
    <row r="6937" spans="29:32" x14ac:dyDescent="0.2">
      <c r="AC6937" s="20"/>
      <c r="AE6937" s="22"/>
      <c r="AF6937" s="22"/>
    </row>
    <row r="6938" spans="29:32" x14ac:dyDescent="0.2">
      <c r="AC6938" s="20"/>
      <c r="AE6938" s="22"/>
      <c r="AF6938" s="22"/>
    </row>
    <row r="6939" spans="29:32" x14ac:dyDescent="0.2">
      <c r="AC6939" s="20"/>
      <c r="AE6939" s="22"/>
      <c r="AF6939" s="22"/>
    </row>
    <row r="6940" spans="29:32" x14ac:dyDescent="0.2">
      <c r="AC6940" s="20"/>
      <c r="AE6940" s="22"/>
      <c r="AF6940" s="22"/>
    </row>
    <row r="6941" spans="29:32" x14ac:dyDescent="0.2">
      <c r="AC6941" s="20"/>
      <c r="AE6941" s="22"/>
      <c r="AF6941" s="22"/>
    </row>
    <row r="6942" spans="29:32" x14ac:dyDescent="0.2">
      <c r="AC6942" s="20"/>
      <c r="AE6942" s="22"/>
      <c r="AF6942" s="22"/>
    </row>
    <row r="6943" spans="29:32" x14ac:dyDescent="0.2">
      <c r="AC6943" s="20"/>
      <c r="AE6943" s="22"/>
      <c r="AF6943" s="22"/>
    </row>
    <row r="6944" spans="29:32" x14ac:dyDescent="0.2">
      <c r="AC6944" s="20"/>
      <c r="AE6944" s="22"/>
      <c r="AF6944" s="22"/>
    </row>
    <row r="6945" spans="29:32" x14ac:dyDescent="0.2">
      <c r="AC6945" s="20"/>
      <c r="AE6945" s="22"/>
      <c r="AF6945" s="22"/>
    </row>
    <row r="6946" spans="29:32" x14ac:dyDescent="0.2">
      <c r="AC6946" s="20"/>
      <c r="AE6946" s="22"/>
      <c r="AF6946" s="22"/>
    </row>
    <row r="6947" spans="29:32" x14ac:dyDescent="0.2">
      <c r="AC6947" s="20"/>
      <c r="AE6947" s="22"/>
      <c r="AF6947" s="22"/>
    </row>
    <row r="6948" spans="29:32" x14ac:dyDescent="0.2">
      <c r="AC6948" s="20"/>
      <c r="AE6948" s="22"/>
      <c r="AF6948" s="22"/>
    </row>
    <row r="6949" spans="29:32" x14ac:dyDescent="0.2">
      <c r="AC6949" s="20"/>
      <c r="AE6949" s="22"/>
      <c r="AF6949" s="22"/>
    </row>
    <row r="6950" spans="29:32" x14ac:dyDescent="0.2">
      <c r="AC6950" s="20"/>
      <c r="AE6950" s="22"/>
      <c r="AF6950" s="22"/>
    </row>
    <row r="6951" spans="29:32" x14ac:dyDescent="0.2">
      <c r="AC6951" s="20"/>
      <c r="AE6951" s="22"/>
      <c r="AF6951" s="22"/>
    </row>
    <row r="6952" spans="29:32" x14ac:dyDescent="0.2">
      <c r="AC6952" s="20"/>
      <c r="AE6952" s="22"/>
      <c r="AF6952" s="22"/>
    </row>
    <row r="6953" spans="29:32" x14ac:dyDescent="0.2">
      <c r="AC6953" s="20"/>
      <c r="AE6953" s="22"/>
      <c r="AF6953" s="22"/>
    </row>
    <row r="6954" spans="29:32" x14ac:dyDescent="0.2">
      <c r="AC6954" s="20"/>
      <c r="AE6954" s="22"/>
      <c r="AF6954" s="22"/>
    </row>
    <row r="6955" spans="29:32" x14ac:dyDescent="0.2">
      <c r="AC6955" s="20"/>
      <c r="AE6955" s="22"/>
      <c r="AF6955" s="22"/>
    </row>
    <row r="6956" spans="29:32" x14ac:dyDescent="0.2">
      <c r="AC6956" s="20"/>
      <c r="AE6956" s="22"/>
      <c r="AF6956" s="22"/>
    </row>
    <row r="6957" spans="29:32" x14ac:dyDescent="0.2">
      <c r="AC6957" s="20"/>
      <c r="AE6957" s="22"/>
      <c r="AF6957" s="22"/>
    </row>
    <row r="6958" spans="29:32" x14ac:dyDescent="0.2">
      <c r="AC6958" s="20"/>
      <c r="AE6958" s="22"/>
      <c r="AF6958" s="22"/>
    </row>
    <row r="6959" spans="29:32" x14ac:dyDescent="0.2">
      <c r="AC6959" s="20"/>
      <c r="AE6959" s="22"/>
      <c r="AF6959" s="22"/>
    </row>
    <row r="6960" spans="29:32" x14ac:dyDescent="0.2">
      <c r="AC6960" s="20"/>
      <c r="AE6960" s="22"/>
      <c r="AF6960" s="22"/>
    </row>
    <row r="6961" spans="29:32" x14ac:dyDescent="0.2">
      <c r="AC6961" s="20"/>
      <c r="AE6961" s="22"/>
      <c r="AF6961" s="22"/>
    </row>
    <row r="6962" spans="29:32" x14ac:dyDescent="0.2">
      <c r="AC6962" s="20"/>
      <c r="AE6962" s="22"/>
      <c r="AF6962" s="22"/>
    </row>
    <row r="6963" spans="29:32" x14ac:dyDescent="0.2">
      <c r="AC6963" s="20"/>
      <c r="AE6963" s="22"/>
      <c r="AF6963" s="22"/>
    </row>
    <row r="6964" spans="29:32" x14ac:dyDescent="0.2">
      <c r="AC6964" s="20"/>
      <c r="AE6964" s="22"/>
      <c r="AF6964" s="22"/>
    </row>
    <row r="6965" spans="29:32" x14ac:dyDescent="0.2">
      <c r="AC6965" s="20"/>
      <c r="AE6965" s="22"/>
      <c r="AF6965" s="22"/>
    </row>
    <row r="6966" spans="29:32" x14ac:dyDescent="0.2">
      <c r="AC6966" s="20"/>
      <c r="AE6966" s="22"/>
      <c r="AF6966" s="22"/>
    </row>
    <row r="6967" spans="29:32" x14ac:dyDescent="0.2">
      <c r="AC6967" s="20"/>
      <c r="AE6967" s="22"/>
      <c r="AF6967" s="22"/>
    </row>
    <row r="6968" spans="29:32" x14ac:dyDescent="0.2">
      <c r="AC6968" s="20"/>
      <c r="AE6968" s="22"/>
      <c r="AF6968" s="22"/>
    </row>
    <row r="6969" spans="29:32" x14ac:dyDescent="0.2">
      <c r="AC6969" s="20"/>
      <c r="AE6969" s="22"/>
      <c r="AF6969" s="22"/>
    </row>
    <row r="6970" spans="29:32" x14ac:dyDescent="0.2">
      <c r="AC6970" s="20"/>
      <c r="AE6970" s="22"/>
      <c r="AF6970" s="22"/>
    </row>
    <row r="6971" spans="29:32" x14ac:dyDescent="0.2">
      <c r="AC6971" s="20"/>
      <c r="AE6971" s="22"/>
      <c r="AF6971" s="22"/>
    </row>
    <row r="6972" spans="29:32" x14ac:dyDescent="0.2">
      <c r="AC6972" s="20"/>
      <c r="AE6972" s="22"/>
      <c r="AF6972" s="22"/>
    </row>
    <row r="6973" spans="29:32" x14ac:dyDescent="0.2">
      <c r="AC6973" s="20"/>
      <c r="AE6973" s="22"/>
      <c r="AF6973" s="22"/>
    </row>
    <row r="6974" spans="29:32" x14ac:dyDescent="0.2">
      <c r="AC6974" s="20"/>
      <c r="AE6974" s="22"/>
      <c r="AF6974" s="22"/>
    </row>
    <row r="6975" spans="29:32" x14ac:dyDescent="0.2">
      <c r="AC6975" s="20"/>
      <c r="AE6975" s="22"/>
      <c r="AF6975" s="22"/>
    </row>
    <row r="6976" spans="29:32" x14ac:dyDescent="0.2">
      <c r="AC6976" s="20"/>
      <c r="AE6976" s="22"/>
      <c r="AF6976" s="22"/>
    </row>
    <row r="6977" spans="29:32" x14ac:dyDescent="0.2">
      <c r="AC6977" s="20"/>
      <c r="AE6977" s="22"/>
      <c r="AF6977" s="22"/>
    </row>
    <row r="6978" spans="29:32" x14ac:dyDescent="0.2">
      <c r="AC6978" s="20"/>
      <c r="AE6978" s="22"/>
      <c r="AF6978" s="22"/>
    </row>
    <row r="6979" spans="29:32" x14ac:dyDescent="0.2">
      <c r="AC6979" s="20"/>
      <c r="AE6979" s="22"/>
      <c r="AF6979" s="22"/>
    </row>
    <row r="6980" spans="29:32" x14ac:dyDescent="0.2">
      <c r="AC6980" s="20"/>
      <c r="AE6980" s="22"/>
      <c r="AF6980" s="22"/>
    </row>
    <row r="6981" spans="29:32" x14ac:dyDescent="0.2">
      <c r="AC6981" s="20"/>
      <c r="AE6981" s="22"/>
      <c r="AF6981" s="22"/>
    </row>
    <row r="6982" spans="29:32" x14ac:dyDescent="0.2">
      <c r="AC6982" s="20"/>
      <c r="AE6982" s="22"/>
      <c r="AF6982" s="22"/>
    </row>
    <row r="6983" spans="29:32" x14ac:dyDescent="0.2">
      <c r="AC6983" s="20"/>
      <c r="AE6983" s="22"/>
      <c r="AF6983" s="22"/>
    </row>
    <row r="6984" spans="29:32" x14ac:dyDescent="0.2">
      <c r="AC6984" s="20"/>
      <c r="AE6984" s="22"/>
      <c r="AF6984" s="22"/>
    </row>
    <row r="6985" spans="29:32" x14ac:dyDescent="0.2">
      <c r="AC6985" s="20"/>
      <c r="AE6985" s="22"/>
      <c r="AF6985" s="22"/>
    </row>
    <row r="6986" spans="29:32" x14ac:dyDescent="0.2">
      <c r="AC6986" s="20"/>
      <c r="AE6986" s="22"/>
      <c r="AF6986" s="22"/>
    </row>
    <row r="6987" spans="29:32" x14ac:dyDescent="0.2">
      <c r="AC6987" s="20"/>
      <c r="AE6987" s="22"/>
      <c r="AF6987" s="22"/>
    </row>
    <row r="6988" spans="29:32" x14ac:dyDescent="0.2">
      <c r="AC6988" s="20"/>
      <c r="AE6988" s="22"/>
      <c r="AF6988" s="22"/>
    </row>
    <row r="6989" spans="29:32" x14ac:dyDescent="0.2">
      <c r="AC6989" s="20"/>
      <c r="AE6989" s="22"/>
      <c r="AF6989" s="22"/>
    </row>
    <row r="6990" spans="29:32" x14ac:dyDescent="0.2">
      <c r="AC6990" s="20"/>
      <c r="AE6990" s="22"/>
      <c r="AF6990" s="22"/>
    </row>
    <row r="6991" spans="29:32" x14ac:dyDescent="0.2">
      <c r="AC6991" s="20"/>
      <c r="AE6991" s="22"/>
      <c r="AF6991" s="22"/>
    </row>
    <row r="6992" spans="29:32" x14ac:dyDescent="0.2">
      <c r="AC6992" s="20"/>
      <c r="AE6992" s="22"/>
      <c r="AF6992" s="22"/>
    </row>
    <row r="6993" spans="29:32" x14ac:dyDescent="0.2">
      <c r="AC6993" s="20"/>
      <c r="AE6993" s="22"/>
      <c r="AF6993" s="22"/>
    </row>
    <row r="6994" spans="29:32" x14ac:dyDescent="0.2">
      <c r="AC6994" s="20"/>
      <c r="AE6994" s="22"/>
      <c r="AF6994" s="22"/>
    </row>
    <row r="6995" spans="29:32" x14ac:dyDescent="0.2">
      <c r="AC6995" s="20"/>
      <c r="AE6995" s="22"/>
      <c r="AF6995" s="22"/>
    </row>
    <row r="6996" spans="29:32" x14ac:dyDescent="0.2">
      <c r="AC6996" s="20"/>
      <c r="AE6996" s="22"/>
      <c r="AF6996" s="22"/>
    </row>
    <row r="6997" spans="29:32" x14ac:dyDescent="0.2">
      <c r="AC6997" s="20"/>
      <c r="AE6997" s="22"/>
      <c r="AF6997" s="22"/>
    </row>
    <row r="6998" spans="29:32" x14ac:dyDescent="0.2">
      <c r="AC6998" s="20"/>
      <c r="AE6998" s="22"/>
      <c r="AF6998" s="22"/>
    </row>
    <row r="6999" spans="29:32" x14ac:dyDescent="0.2">
      <c r="AC6999" s="20"/>
      <c r="AE6999" s="22"/>
      <c r="AF6999" s="22"/>
    </row>
    <row r="7000" spans="29:32" x14ac:dyDescent="0.2">
      <c r="AC7000" s="20"/>
      <c r="AE7000" s="22"/>
      <c r="AF7000" s="22"/>
    </row>
    <row r="7001" spans="29:32" x14ac:dyDescent="0.2">
      <c r="AC7001" s="20"/>
      <c r="AE7001" s="22"/>
      <c r="AF7001" s="22"/>
    </row>
    <row r="7002" spans="29:32" x14ac:dyDescent="0.2">
      <c r="AC7002" s="20"/>
      <c r="AE7002" s="22"/>
      <c r="AF7002" s="22"/>
    </row>
    <row r="7003" spans="29:32" x14ac:dyDescent="0.2">
      <c r="AC7003" s="20"/>
      <c r="AE7003" s="22"/>
      <c r="AF7003" s="22"/>
    </row>
    <row r="7004" spans="29:32" x14ac:dyDescent="0.2">
      <c r="AC7004" s="20"/>
      <c r="AE7004" s="22"/>
      <c r="AF7004" s="22"/>
    </row>
    <row r="7005" spans="29:32" x14ac:dyDescent="0.2">
      <c r="AC7005" s="20"/>
      <c r="AE7005" s="22"/>
      <c r="AF7005" s="22"/>
    </row>
    <row r="7006" spans="29:32" x14ac:dyDescent="0.2">
      <c r="AC7006" s="20"/>
      <c r="AE7006" s="22"/>
      <c r="AF7006" s="22"/>
    </row>
    <row r="7007" spans="29:32" x14ac:dyDescent="0.2">
      <c r="AC7007" s="20"/>
      <c r="AE7007" s="22"/>
      <c r="AF7007" s="22"/>
    </row>
    <row r="7008" spans="29:32" x14ac:dyDescent="0.2">
      <c r="AC7008" s="20"/>
      <c r="AE7008" s="22"/>
      <c r="AF7008" s="22"/>
    </row>
    <row r="7009" spans="29:32" x14ac:dyDescent="0.2">
      <c r="AC7009" s="20"/>
      <c r="AE7009" s="22"/>
      <c r="AF7009" s="22"/>
    </row>
    <row r="7010" spans="29:32" x14ac:dyDescent="0.2">
      <c r="AC7010" s="20"/>
      <c r="AE7010" s="22"/>
      <c r="AF7010" s="22"/>
    </row>
    <row r="7011" spans="29:32" x14ac:dyDescent="0.2">
      <c r="AC7011" s="20"/>
      <c r="AE7011" s="22"/>
      <c r="AF7011" s="22"/>
    </row>
    <row r="7012" spans="29:32" x14ac:dyDescent="0.2">
      <c r="AC7012" s="20"/>
      <c r="AE7012" s="22"/>
      <c r="AF7012" s="22"/>
    </row>
    <row r="7013" spans="29:32" x14ac:dyDescent="0.2">
      <c r="AC7013" s="20"/>
      <c r="AE7013" s="22"/>
      <c r="AF7013" s="22"/>
    </row>
    <row r="7014" spans="29:32" x14ac:dyDescent="0.2">
      <c r="AC7014" s="20"/>
      <c r="AE7014" s="22"/>
      <c r="AF7014" s="22"/>
    </row>
    <row r="7015" spans="29:32" x14ac:dyDescent="0.2">
      <c r="AC7015" s="20"/>
      <c r="AE7015" s="22"/>
      <c r="AF7015" s="22"/>
    </row>
    <row r="7016" spans="29:32" x14ac:dyDescent="0.2">
      <c r="AC7016" s="20"/>
      <c r="AE7016" s="22"/>
      <c r="AF7016" s="22"/>
    </row>
    <row r="7017" spans="29:32" x14ac:dyDescent="0.2">
      <c r="AC7017" s="20"/>
      <c r="AE7017" s="22"/>
      <c r="AF7017" s="22"/>
    </row>
    <row r="7018" spans="29:32" x14ac:dyDescent="0.2">
      <c r="AC7018" s="20"/>
      <c r="AE7018" s="22"/>
      <c r="AF7018" s="22"/>
    </row>
    <row r="7019" spans="29:32" x14ac:dyDescent="0.2">
      <c r="AC7019" s="20"/>
      <c r="AE7019" s="22"/>
      <c r="AF7019" s="22"/>
    </row>
    <row r="7020" spans="29:32" x14ac:dyDescent="0.2">
      <c r="AC7020" s="20"/>
      <c r="AE7020" s="22"/>
      <c r="AF7020" s="22"/>
    </row>
    <row r="7021" spans="29:32" x14ac:dyDescent="0.2">
      <c r="AC7021" s="20"/>
      <c r="AE7021" s="22"/>
      <c r="AF7021" s="22"/>
    </row>
    <row r="7022" spans="29:32" x14ac:dyDescent="0.2">
      <c r="AC7022" s="20"/>
      <c r="AE7022" s="22"/>
      <c r="AF7022" s="22"/>
    </row>
    <row r="7023" spans="29:32" x14ac:dyDescent="0.2">
      <c r="AC7023" s="20"/>
      <c r="AE7023" s="22"/>
      <c r="AF7023" s="22"/>
    </row>
    <row r="7024" spans="29:32" x14ac:dyDescent="0.2">
      <c r="AC7024" s="20"/>
      <c r="AE7024" s="22"/>
      <c r="AF7024" s="22"/>
    </row>
    <row r="7025" spans="29:32" x14ac:dyDescent="0.2">
      <c r="AC7025" s="20"/>
      <c r="AE7025" s="22"/>
      <c r="AF7025" s="22"/>
    </row>
    <row r="7026" spans="29:32" x14ac:dyDescent="0.2">
      <c r="AC7026" s="20"/>
      <c r="AE7026" s="22"/>
      <c r="AF7026" s="22"/>
    </row>
    <row r="7027" spans="29:32" x14ac:dyDescent="0.2">
      <c r="AC7027" s="20"/>
      <c r="AE7027" s="22"/>
      <c r="AF7027" s="22"/>
    </row>
    <row r="7028" spans="29:32" x14ac:dyDescent="0.2">
      <c r="AC7028" s="20"/>
      <c r="AE7028" s="22"/>
      <c r="AF7028" s="22"/>
    </row>
    <row r="7029" spans="29:32" x14ac:dyDescent="0.2">
      <c r="AC7029" s="20"/>
      <c r="AE7029" s="22"/>
      <c r="AF7029" s="22"/>
    </row>
    <row r="7030" spans="29:32" x14ac:dyDescent="0.2">
      <c r="AC7030" s="20"/>
      <c r="AE7030" s="22"/>
      <c r="AF7030" s="22"/>
    </row>
    <row r="7031" spans="29:32" x14ac:dyDescent="0.2">
      <c r="AC7031" s="20"/>
      <c r="AE7031" s="22"/>
      <c r="AF7031" s="22"/>
    </row>
    <row r="7032" spans="29:32" x14ac:dyDescent="0.2">
      <c r="AC7032" s="20"/>
      <c r="AE7032" s="22"/>
      <c r="AF7032" s="22"/>
    </row>
    <row r="7033" spans="29:32" x14ac:dyDescent="0.2">
      <c r="AC7033" s="20"/>
      <c r="AE7033" s="22"/>
      <c r="AF7033" s="22"/>
    </row>
    <row r="7034" spans="29:32" x14ac:dyDescent="0.2">
      <c r="AC7034" s="20"/>
      <c r="AE7034" s="22"/>
      <c r="AF7034" s="22"/>
    </row>
    <row r="7035" spans="29:32" x14ac:dyDescent="0.2">
      <c r="AC7035" s="20"/>
      <c r="AE7035" s="22"/>
      <c r="AF7035" s="22"/>
    </row>
    <row r="7036" spans="29:32" x14ac:dyDescent="0.2">
      <c r="AC7036" s="20"/>
      <c r="AE7036" s="22"/>
      <c r="AF7036" s="22"/>
    </row>
    <row r="7037" spans="29:32" x14ac:dyDescent="0.2">
      <c r="AC7037" s="20"/>
      <c r="AE7037" s="22"/>
      <c r="AF7037" s="22"/>
    </row>
    <row r="7038" spans="29:32" x14ac:dyDescent="0.2">
      <c r="AC7038" s="20"/>
      <c r="AE7038" s="22"/>
      <c r="AF7038" s="22"/>
    </row>
    <row r="7039" spans="29:32" x14ac:dyDescent="0.2">
      <c r="AC7039" s="20"/>
      <c r="AE7039" s="22"/>
      <c r="AF7039" s="22"/>
    </row>
    <row r="7040" spans="29:32" x14ac:dyDescent="0.2">
      <c r="AC7040" s="20"/>
      <c r="AE7040" s="22"/>
      <c r="AF7040" s="22"/>
    </row>
    <row r="7041" spans="29:32" x14ac:dyDescent="0.2">
      <c r="AC7041" s="20"/>
      <c r="AE7041" s="22"/>
      <c r="AF7041" s="22"/>
    </row>
    <row r="7042" spans="29:32" x14ac:dyDescent="0.2">
      <c r="AC7042" s="20"/>
      <c r="AE7042" s="22"/>
      <c r="AF7042" s="22"/>
    </row>
    <row r="7043" spans="29:32" x14ac:dyDescent="0.2">
      <c r="AC7043" s="20"/>
      <c r="AE7043" s="22"/>
      <c r="AF7043" s="22"/>
    </row>
    <row r="7044" spans="29:32" x14ac:dyDescent="0.2">
      <c r="AC7044" s="20"/>
      <c r="AE7044" s="22"/>
      <c r="AF7044" s="22"/>
    </row>
    <row r="7045" spans="29:32" x14ac:dyDescent="0.2">
      <c r="AC7045" s="20"/>
      <c r="AE7045" s="22"/>
      <c r="AF7045" s="22"/>
    </row>
    <row r="7046" spans="29:32" x14ac:dyDescent="0.2">
      <c r="AC7046" s="20"/>
      <c r="AE7046" s="22"/>
      <c r="AF7046" s="22"/>
    </row>
    <row r="7047" spans="29:32" x14ac:dyDescent="0.2">
      <c r="AC7047" s="20"/>
      <c r="AE7047" s="22"/>
      <c r="AF7047" s="22"/>
    </row>
    <row r="7048" spans="29:32" x14ac:dyDescent="0.2">
      <c r="AC7048" s="20"/>
      <c r="AE7048" s="22"/>
      <c r="AF7048" s="22"/>
    </row>
    <row r="7049" spans="29:32" x14ac:dyDescent="0.2">
      <c r="AC7049" s="20"/>
      <c r="AE7049" s="22"/>
      <c r="AF7049" s="22"/>
    </row>
    <row r="7050" spans="29:32" x14ac:dyDescent="0.2">
      <c r="AC7050" s="20"/>
      <c r="AE7050" s="22"/>
      <c r="AF7050" s="22"/>
    </row>
    <row r="7051" spans="29:32" x14ac:dyDescent="0.2">
      <c r="AC7051" s="20"/>
      <c r="AE7051" s="22"/>
      <c r="AF7051" s="22"/>
    </row>
    <row r="7052" spans="29:32" x14ac:dyDescent="0.2">
      <c r="AC7052" s="20"/>
      <c r="AE7052" s="22"/>
      <c r="AF7052" s="22"/>
    </row>
    <row r="7053" spans="29:32" x14ac:dyDescent="0.2">
      <c r="AC7053" s="20"/>
      <c r="AE7053" s="22"/>
      <c r="AF7053" s="22"/>
    </row>
    <row r="7054" spans="29:32" x14ac:dyDescent="0.2">
      <c r="AC7054" s="20"/>
      <c r="AE7054" s="22"/>
      <c r="AF7054" s="22"/>
    </row>
    <row r="7055" spans="29:32" x14ac:dyDescent="0.2">
      <c r="AC7055" s="20"/>
      <c r="AE7055" s="22"/>
      <c r="AF7055" s="22"/>
    </row>
    <row r="7056" spans="29:32" x14ac:dyDescent="0.2">
      <c r="AC7056" s="20"/>
      <c r="AE7056" s="22"/>
      <c r="AF7056" s="22"/>
    </row>
    <row r="7057" spans="29:32" x14ac:dyDescent="0.2">
      <c r="AC7057" s="20"/>
      <c r="AE7057" s="22"/>
      <c r="AF7057" s="22"/>
    </row>
    <row r="7058" spans="29:32" x14ac:dyDescent="0.2">
      <c r="AC7058" s="20"/>
      <c r="AE7058" s="22"/>
      <c r="AF7058" s="22"/>
    </row>
    <row r="7059" spans="29:32" x14ac:dyDescent="0.2">
      <c r="AC7059" s="20"/>
      <c r="AE7059" s="22"/>
      <c r="AF7059" s="22"/>
    </row>
    <row r="7060" spans="29:32" x14ac:dyDescent="0.2">
      <c r="AC7060" s="20"/>
      <c r="AE7060" s="22"/>
      <c r="AF7060" s="22"/>
    </row>
    <row r="7061" spans="29:32" x14ac:dyDescent="0.2">
      <c r="AC7061" s="20"/>
      <c r="AE7061" s="22"/>
      <c r="AF7061" s="22"/>
    </row>
    <row r="7062" spans="29:32" x14ac:dyDescent="0.2">
      <c r="AC7062" s="20"/>
      <c r="AE7062" s="22"/>
      <c r="AF7062" s="22"/>
    </row>
    <row r="7063" spans="29:32" x14ac:dyDescent="0.2">
      <c r="AC7063" s="20"/>
      <c r="AE7063" s="22"/>
      <c r="AF7063" s="22"/>
    </row>
    <row r="7064" spans="29:32" x14ac:dyDescent="0.2">
      <c r="AC7064" s="20"/>
      <c r="AE7064" s="22"/>
      <c r="AF7064" s="22"/>
    </row>
    <row r="7065" spans="29:32" x14ac:dyDescent="0.2">
      <c r="AC7065" s="20"/>
      <c r="AE7065" s="22"/>
      <c r="AF7065" s="22"/>
    </row>
    <row r="7066" spans="29:32" x14ac:dyDescent="0.2">
      <c r="AC7066" s="20"/>
      <c r="AE7066" s="22"/>
      <c r="AF7066" s="22"/>
    </row>
    <row r="7067" spans="29:32" x14ac:dyDescent="0.2">
      <c r="AC7067" s="20"/>
      <c r="AE7067" s="22"/>
      <c r="AF7067" s="22"/>
    </row>
    <row r="7068" spans="29:32" x14ac:dyDescent="0.2">
      <c r="AC7068" s="20"/>
      <c r="AE7068" s="22"/>
      <c r="AF7068" s="22"/>
    </row>
    <row r="7069" spans="29:32" x14ac:dyDescent="0.2">
      <c r="AC7069" s="20"/>
      <c r="AE7069" s="22"/>
      <c r="AF7069" s="22"/>
    </row>
    <row r="7070" spans="29:32" x14ac:dyDescent="0.2">
      <c r="AC7070" s="20"/>
      <c r="AE7070" s="22"/>
      <c r="AF7070" s="22"/>
    </row>
    <row r="7071" spans="29:32" x14ac:dyDescent="0.2">
      <c r="AC7071" s="20"/>
      <c r="AE7071" s="22"/>
      <c r="AF7071" s="22"/>
    </row>
    <row r="7072" spans="29:32" x14ac:dyDescent="0.2">
      <c r="AC7072" s="20"/>
      <c r="AE7072" s="22"/>
      <c r="AF7072" s="22"/>
    </row>
    <row r="7073" spans="29:32" x14ac:dyDescent="0.2">
      <c r="AC7073" s="20"/>
      <c r="AE7073" s="22"/>
      <c r="AF7073" s="22"/>
    </row>
    <row r="7074" spans="29:32" x14ac:dyDescent="0.2">
      <c r="AC7074" s="20"/>
      <c r="AE7074" s="22"/>
      <c r="AF7074" s="22"/>
    </row>
    <row r="7075" spans="29:32" x14ac:dyDescent="0.2">
      <c r="AC7075" s="20"/>
      <c r="AE7075" s="22"/>
      <c r="AF7075" s="22"/>
    </row>
    <row r="7076" spans="29:32" x14ac:dyDescent="0.2">
      <c r="AC7076" s="20"/>
      <c r="AE7076" s="22"/>
      <c r="AF7076" s="22"/>
    </row>
    <row r="7077" spans="29:32" x14ac:dyDescent="0.2">
      <c r="AC7077" s="20"/>
      <c r="AE7077" s="22"/>
      <c r="AF7077" s="22"/>
    </row>
    <row r="7078" spans="29:32" x14ac:dyDescent="0.2">
      <c r="AC7078" s="20"/>
      <c r="AE7078" s="22"/>
      <c r="AF7078" s="22"/>
    </row>
    <row r="7079" spans="29:32" x14ac:dyDescent="0.2">
      <c r="AC7079" s="20"/>
      <c r="AE7079" s="22"/>
      <c r="AF7079" s="22"/>
    </row>
    <row r="7080" spans="29:32" x14ac:dyDescent="0.2">
      <c r="AC7080" s="20"/>
      <c r="AE7080" s="22"/>
      <c r="AF7080" s="22"/>
    </row>
    <row r="7081" spans="29:32" x14ac:dyDescent="0.2">
      <c r="AC7081" s="20"/>
      <c r="AE7081" s="22"/>
      <c r="AF7081" s="22"/>
    </row>
    <row r="7082" spans="29:32" x14ac:dyDescent="0.2">
      <c r="AC7082" s="20"/>
      <c r="AE7082" s="22"/>
      <c r="AF7082" s="22"/>
    </row>
    <row r="7083" spans="29:32" x14ac:dyDescent="0.2">
      <c r="AC7083" s="20"/>
      <c r="AE7083" s="22"/>
      <c r="AF7083" s="22"/>
    </row>
    <row r="7084" spans="29:32" x14ac:dyDescent="0.2">
      <c r="AC7084" s="20"/>
      <c r="AE7084" s="22"/>
      <c r="AF7084" s="22"/>
    </row>
    <row r="7085" spans="29:32" x14ac:dyDescent="0.2">
      <c r="AC7085" s="20"/>
      <c r="AE7085" s="22"/>
      <c r="AF7085" s="22"/>
    </row>
    <row r="7086" spans="29:32" x14ac:dyDescent="0.2">
      <c r="AC7086" s="20"/>
      <c r="AE7086" s="22"/>
      <c r="AF7086" s="22"/>
    </row>
    <row r="7087" spans="29:32" x14ac:dyDescent="0.2">
      <c r="AC7087" s="20"/>
      <c r="AE7087" s="22"/>
      <c r="AF7087" s="22"/>
    </row>
    <row r="7088" spans="29:32" x14ac:dyDescent="0.2">
      <c r="AC7088" s="20"/>
      <c r="AE7088" s="22"/>
      <c r="AF7088" s="22"/>
    </row>
    <row r="7089" spans="29:32" x14ac:dyDescent="0.2">
      <c r="AC7089" s="20"/>
      <c r="AE7089" s="22"/>
      <c r="AF7089" s="22"/>
    </row>
    <row r="7090" spans="29:32" x14ac:dyDescent="0.2">
      <c r="AC7090" s="20"/>
      <c r="AE7090" s="22"/>
      <c r="AF7090" s="22"/>
    </row>
    <row r="7091" spans="29:32" x14ac:dyDescent="0.2">
      <c r="AC7091" s="20"/>
      <c r="AE7091" s="22"/>
      <c r="AF7091" s="22"/>
    </row>
    <row r="7092" spans="29:32" x14ac:dyDescent="0.2">
      <c r="AC7092" s="20"/>
      <c r="AE7092" s="22"/>
      <c r="AF7092" s="22"/>
    </row>
    <row r="7093" spans="29:32" x14ac:dyDescent="0.2">
      <c r="AC7093" s="20"/>
      <c r="AE7093" s="22"/>
      <c r="AF7093" s="22"/>
    </row>
    <row r="7094" spans="29:32" x14ac:dyDescent="0.2">
      <c r="AC7094" s="20"/>
      <c r="AE7094" s="22"/>
      <c r="AF7094" s="22"/>
    </row>
    <row r="7095" spans="29:32" x14ac:dyDescent="0.2">
      <c r="AC7095" s="20"/>
      <c r="AE7095" s="22"/>
      <c r="AF7095" s="22"/>
    </row>
    <row r="7096" spans="29:32" x14ac:dyDescent="0.2">
      <c r="AC7096" s="20"/>
      <c r="AE7096" s="22"/>
      <c r="AF7096" s="22"/>
    </row>
    <row r="7097" spans="29:32" x14ac:dyDescent="0.2">
      <c r="AC7097" s="20"/>
      <c r="AE7097" s="22"/>
      <c r="AF7097" s="22"/>
    </row>
    <row r="7098" spans="29:32" x14ac:dyDescent="0.2">
      <c r="AC7098" s="20"/>
      <c r="AE7098" s="22"/>
      <c r="AF7098" s="22"/>
    </row>
    <row r="7099" spans="29:32" x14ac:dyDescent="0.2">
      <c r="AC7099" s="20"/>
      <c r="AE7099" s="22"/>
      <c r="AF7099" s="22"/>
    </row>
    <row r="7100" spans="29:32" x14ac:dyDescent="0.2">
      <c r="AC7100" s="20"/>
      <c r="AE7100" s="22"/>
      <c r="AF7100" s="22"/>
    </row>
    <row r="7101" spans="29:32" x14ac:dyDescent="0.2">
      <c r="AC7101" s="20"/>
      <c r="AE7101" s="22"/>
      <c r="AF7101" s="22"/>
    </row>
    <row r="7102" spans="29:32" x14ac:dyDescent="0.2">
      <c r="AC7102" s="20"/>
      <c r="AE7102" s="22"/>
      <c r="AF7102" s="22"/>
    </row>
    <row r="7103" spans="29:32" x14ac:dyDescent="0.2">
      <c r="AC7103" s="20"/>
      <c r="AE7103" s="22"/>
      <c r="AF7103" s="22"/>
    </row>
    <row r="7104" spans="29:32" x14ac:dyDescent="0.2">
      <c r="AC7104" s="20"/>
      <c r="AE7104" s="22"/>
      <c r="AF7104" s="22"/>
    </row>
    <row r="7105" spans="29:32" x14ac:dyDescent="0.2">
      <c r="AC7105" s="20"/>
      <c r="AE7105" s="22"/>
      <c r="AF7105" s="22"/>
    </row>
    <row r="7106" spans="29:32" x14ac:dyDescent="0.2">
      <c r="AC7106" s="20"/>
      <c r="AE7106" s="22"/>
      <c r="AF7106" s="22"/>
    </row>
    <row r="7107" spans="29:32" x14ac:dyDescent="0.2">
      <c r="AC7107" s="20"/>
      <c r="AE7107" s="22"/>
      <c r="AF7107" s="22"/>
    </row>
    <row r="7108" spans="29:32" x14ac:dyDescent="0.2">
      <c r="AC7108" s="20"/>
      <c r="AE7108" s="22"/>
      <c r="AF7108" s="22"/>
    </row>
    <row r="7109" spans="29:32" x14ac:dyDescent="0.2">
      <c r="AC7109" s="20"/>
      <c r="AE7109" s="22"/>
      <c r="AF7109" s="22"/>
    </row>
    <row r="7110" spans="29:32" x14ac:dyDescent="0.2">
      <c r="AC7110" s="20"/>
      <c r="AE7110" s="22"/>
      <c r="AF7110" s="22"/>
    </row>
    <row r="7111" spans="29:32" x14ac:dyDescent="0.2">
      <c r="AC7111" s="20"/>
      <c r="AE7111" s="22"/>
      <c r="AF7111" s="22"/>
    </row>
    <row r="7112" spans="29:32" x14ac:dyDescent="0.2">
      <c r="AC7112" s="20"/>
      <c r="AE7112" s="22"/>
      <c r="AF7112" s="22"/>
    </row>
    <row r="7113" spans="29:32" x14ac:dyDescent="0.2">
      <c r="AC7113" s="20"/>
      <c r="AE7113" s="22"/>
      <c r="AF7113" s="22"/>
    </row>
    <row r="7114" spans="29:32" x14ac:dyDescent="0.2">
      <c r="AC7114" s="20"/>
      <c r="AE7114" s="22"/>
      <c r="AF7114" s="22"/>
    </row>
    <row r="7115" spans="29:32" x14ac:dyDescent="0.2">
      <c r="AC7115" s="20"/>
      <c r="AE7115" s="22"/>
      <c r="AF7115" s="22"/>
    </row>
    <row r="7116" spans="29:32" x14ac:dyDescent="0.2">
      <c r="AC7116" s="20"/>
      <c r="AE7116" s="22"/>
      <c r="AF7116" s="22"/>
    </row>
    <row r="7117" spans="29:32" x14ac:dyDescent="0.2">
      <c r="AC7117" s="20"/>
      <c r="AE7117" s="22"/>
      <c r="AF7117" s="22"/>
    </row>
    <row r="7118" spans="29:32" x14ac:dyDescent="0.2">
      <c r="AC7118" s="20"/>
      <c r="AE7118" s="22"/>
      <c r="AF7118" s="22"/>
    </row>
    <row r="7119" spans="29:32" x14ac:dyDescent="0.2">
      <c r="AC7119" s="20"/>
      <c r="AE7119" s="22"/>
      <c r="AF7119" s="22"/>
    </row>
    <row r="7120" spans="29:32" x14ac:dyDescent="0.2">
      <c r="AC7120" s="20"/>
      <c r="AE7120" s="22"/>
      <c r="AF7120" s="22"/>
    </row>
    <row r="7121" spans="29:32" x14ac:dyDescent="0.2">
      <c r="AC7121" s="20"/>
      <c r="AE7121" s="22"/>
      <c r="AF7121" s="22"/>
    </row>
    <row r="7122" spans="29:32" x14ac:dyDescent="0.2">
      <c r="AC7122" s="20"/>
      <c r="AE7122" s="22"/>
      <c r="AF7122" s="22"/>
    </row>
    <row r="7123" spans="29:32" x14ac:dyDescent="0.2">
      <c r="AC7123" s="20"/>
      <c r="AE7123" s="22"/>
      <c r="AF7123" s="22"/>
    </row>
    <row r="7124" spans="29:32" x14ac:dyDescent="0.2">
      <c r="AC7124" s="20"/>
      <c r="AE7124" s="22"/>
      <c r="AF7124" s="22"/>
    </row>
    <row r="7125" spans="29:32" x14ac:dyDescent="0.2">
      <c r="AC7125" s="20"/>
      <c r="AE7125" s="22"/>
      <c r="AF7125" s="22"/>
    </row>
    <row r="7126" spans="29:32" x14ac:dyDescent="0.2">
      <c r="AC7126" s="20"/>
      <c r="AE7126" s="22"/>
      <c r="AF7126" s="22"/>
    </row>
    <row r="7127" spans="29:32" x14ac:dyDescent="0.2">
      <c r="AC7127" s="20"/>
      <c r="AE7127" s="22"/>
      <c r="AF7127" s="22"/>
    </row>
    <row r="7128" spans="29:32" x14ac:dyDescent="0.2">
      <c r="AC7128" s="20"/>
      <c r="AE7128" s="22"/>
      <c r="AF7128" s="22"/>
    </row>
    <row r="7129" spans="29:32" x14ac:dyDescent="0.2">
      <c r="AC7129" s="20"/>
      <c r="AE7129" s="22"/>
      <c r="AF7129" s="22"/>
    </row>
    <row r="7130" spans="29:32" x14ac:dyDescent="0.2">
      <c r="AC7130" s="20"/>
      <c r="AE7130" s="22"/>
      <c r="AF7130" s="22"/>
    </row>
    <row r="7131" spans="29:32" x14ac:dyDescent="0.2">
      <c r="AC7131" s="20"/>
      <c r="AE7131" s="22"/>
      <c r="AF7131" s="22"/>
    </row>
    <row r="7132" spans="29:32" x14ac:dyDescent="0.2">
      <c r="AC7132" s="20"/>
      <c r="AE7132" s="22"/>
      <c r="AF7132" s="22"/>
    </row>
    <row r="7133" spans="29:32" x14ac:dyDescent="0.2">
      <c r="AC7133" s="20"/>
      <c r="AE7133" s="22"/>
      <c r="AF7133" s="22"/>
    </row>
    <row r="7134" spans="29:32" x14ac:dyDescent="0.2">
      <c r="AC7134" s="20"/>
      <c r="AE7134" s="22"/>
      <c r="AF7134" s="22"/>
    </row>
    <row r="7135" spans="29:32" x14ac:dyDescent="0.2">
      <c r="AC7135" s="20"/>
      <c r="AE7135" s="22"/>
      <c r="AF7135" s="22"/>
    </row>
    <row r="7136" spans="29:32" x14ac:dyDescent="0.2">
      <c r="AC7136" s="20"/>
      <c r="AE7136" s="22"/>
      <c r="AF7136" s="22"/>
    </row>
    <row r="7137" spans="29:32" x14ac:dyDescent="0.2">
      <c r="AC7137" s="20"/>
      <c r="AE7137" s="22"/>
      <c r="AF7137" s="22"/>
    </row>
    <row r="7138" spans="29:32" x14ac:dyDescent="0.2">
      <c r="AC7138" s="20"/>
      <c r="AE7138" s="22"/>
      <c r="AF7138" s="22"/>
    </row>
    <row r="7139" spans="29:32" x14ac:dyDescent="0.2">
      <c r="AC7139" s="20"/>
      <c r="AE7139" s="22"/>
      <c r="AF7139" s="22"/>
    </row>
    <row r="7140" spans="29:32" x14ac:dyDescent="0.2">
      <c r="AC7140" s="20"/>
      <c r="AE7140" s="22"/>
      <c r="AF7140" s="22"/>
    </row>
    <row r="7141" spans="29:32" x14ac:dyDescent="0.2">
      <c r="AC7141" s="20"/>
      <c r="AE7141" s="22"/>
      <c r="AF7141" s="22"/>
    </row>
    <row r="7142" spans="29:32" x14ac:dyDescent="0.2">
      <c r="AC7142" s="20"/>
      <c r="AE7142" s="22"/>
      <c r="AF7142" s="22"/>
    </row>
    <row r="7143" spans="29:32" x14ac:dyDescent="0.2">
      <c r="AC7143" s="20"/>
      <c r="AE7143" s="22"/>
      <c r="AF7143" s="22"/>
    </row>
    <row r="7144" spans="29:32" x14ac:dyDescent="0.2">
      <c r="AC7144" s="20"/>
      <c r="AE7144" s="22"/>
      <c r="AF7144" s="22"/>
    </row>
    <row r="7145" spans="29:32" x14ac:dyDescent="0.2">
      <c r="AC7145" s="20"/>
      <c r="AE7145" s="22"/>
      <c r="AF7145" s="22"/>
    </row>
    <row r="7146" spans="29:32" x14ac:dyDescent="0.2">
      <c r="AC7146" s="20"/>
      <c r="AE7146" s="22"/>
      <c r="AF7146" s="22"/>
    </row>
    <row r="7147" spans="29:32" x14ac:dyDescent="0.2">
      <c r="AC7147" s="20"/>
      <c r="AE7147" s="22"/>
      <c r="AF7147" s="22"/>
    </row>
    <row r="7148" spans="29:32" x14ac:dyDescent="0.2">
      <c r="AC7148" s="20"/>
      <c r="AE7148" s="22"/>
      <c r="AF7148" s="22"/>
    </row>
    <row r="7149" spans="29:32" x14ac:dyDescent="0.2">
      <c r="AC7149" s="20"/>
      <c r="AE7149" s="22"/>
      <c r="AF7149" s="22"/>
    </row>
    <row r="7150" spans="29:32" x14ac:dyDescent="0.2">
      <c r="AC7150" s="20"/>
      <c r="AE7150" s="22"/>
      <c r="AF7150" s="22"/>
    </row>
    <row r="7151" spans="29:32" x14ac:dyDescent="0.2">
      <c r="AC7151" s="20"/>
      <c r="AE7151" s="22"/>
      <c r="AF7151" s="22"/>
    </row>
    <row r="7152" spans="29:32" x14ac:dyDescent="0.2">
      <c r="AC7152" s="20"/>
      <c r="AE7152" s="22"/>
      <c r="AF7152" s="22"/>
    </row>
    <row r="7153" spans="29:32" x14ac:dyDescent="0.2">
      <c r="AC7153" s="20"/>
      <c r="AE7153" s="22"/>
      <c r="AF7153" s="22"/>
    </row>
    <row r="7154" spans="29:32" x14ac:dyDescent="0.2">
      <c r="AC7154" s="20"/>
      <c r="AE7154" s="22"/>
      <c r="AF7154" s="22"/>
    </row>
    <row r="7155" spans="29:32" x14ac:dyDescent="0.2">
      <c r="AC7155" s="20"/>
      <c r="AE7155" s="22"/>
      <c r="AF7155" s="22"/>
    </row>
    <row r="7156" spans="29:32" x14ac:dyDescent="0.2">
      <c r="AC7156" s="20"/>
      <c r="AE7156" s="22"/>
      <c r="AF7156" s="22"/>
    </row>
    <row r="7157" spans="29:32" x14ac:dyDescent="0.2">
      <c r="AC7157" s="20"/>
      <c r="AE7157" s="22"/>
      <c r="AF7157" s="22"/>
    </row>
    <row r="7158" spans="29:32" x14ac:dyDescent="0.2">
      <c r="AC7158" s="20"/>
      <c r="AE7158" s="22"/>
      <c r="AF7158" s="22"/>
    </row>
    <row r="7159" spans="29:32" x14ac:dyDescent="0.2">
      <c r="AC7159" s="20"/>
      <c r="AE7159" s="22"/>
      <c r="AF7159" s="22"/>
    </row>
    <row r="7160" spans="29:32" x14ac:dyDescent="0.2">
      <c r="AC7160" s="20"/>
      <c r="AE7160" s="22"/>
      <c r="AF7160" s="22"/>
    </row>
    <row r="7161" spans="29:32" x14ac:dyDescent="0.2">
      <c r="AC7161" s="20"/>
      <c r="AE7161" s="22"/>
      <c r="AF7161" s="22"/>
    </row>
    <row r="7162" spans="29:32" x14ac:dyDescent="0.2">
      <c r="AC7162" s="20"/>
      <c r="AE7162" s="22"/>
      <c r="AF7162" s="22"/>
    </row>
    <row r="7163" spans="29:32" x14ac:dyDescent="0.2">
      <c r="AC7163" s="20"/>
      <c r="AE7163" s="22"/>
      <c r="AF7163" s="22"/>
    </row>
    <row r="7164" spans="29:32" x14ac:dyDescent="0.2">
      <c r="AC7164" s="20"/>
      <c r="AE7164" s="22"/>
      <c r="AF7164" s="22"/>
    </row>
    <row r="7165" spans="29:32" x14ac:dyDescent="0.2">
      <c r="AC7165" s="20"/>
      <c r="AE7165" s="22"/>
      <c r="AF7165" s="22"/>
    </row>
    <row r="7166" spans="29:32" x14ac:dyDescent="0.2">
      <c r="AC7166" s="20"/>
      <c r="AE7166" s="22"/>
      <c r="AF7166" s="22"/>
    </row>
    <row r="7167" spans="29:32" x14ac:dyDescent="0.2">
      <c r="AC7167" s="20"/>
      <c r="AE7167" s="22"/>
      <c r="AF7167" s="22"/>
    </row>
    <row r="7168" spans="29:32" x14ac:dyDescent="0.2">
      <c r="AC7168" s="20"/>
      <c r="AE7168" s="22"/>
      <c r="AF7168" s="22"/>
    </row>
    <row r="7169" spans="29:32" x14ac:dyDescent="0.2">
      <c r="AC7169" s="20"/>
      <c r="AE7169" s="22"/>
      <c r="AF7169" s="22"/>
    </row>
    <row r="7170" spans="29:32" x14ac:dyDescent="0.2">
      <c r="AC7170" s="20"/>
      <c r="AE7170" s="22"/>
      <c r="AF7170" s="22"/>
    </row>
    <row r="7171" spans="29:32" x14ac:dyDescent="0.2">
      <c r="AC7171" s="20"/>
      <c r="AE7171" s="22"/>
      <c r="AF7171" s="22"/>
    </row>
    <row r="7172" spans="29:32" x14ac:dyDescent="0.2">
      <c r="AC7172" s="20"/>
      <c r="AE7172" s="22"/>
      <c r="AF7172" s="22"/>
    </row>
    <row r="7173" spans="29:32" x14ac:dyDescent="0.2">
      <c r="AC7173" s="20"/>
      <c r="AE7173" s="22"/>
      <c r="AF7173" s="22"/>
    </row>
    <row r="7174" spans="29:32" x14ac:dyDescent="0.2">
      <c r="AC7174" s="20"/>
      <c r="AE7174" s="22"/>
      <c r="AF7174" s="22"/>
    </row>
    <row r="7175" spans="29:32" x14ac:dyDescent="0.2">
      <c r="AC7175" s="20"/>
      <c r="AE7175" s="22"/>
      <c r="AF7175" s="22"/>
    </row>
    <row r="7176" spans="29:32" x14ac:dyDescent="0.2">
      <c r="AC7176" s="20"/>
      <c r="AE7176" s="22"/>
      <c r="AF7176" s="22"/>
    </row>
    <row r="7177" spans="29:32" x14ac:dyDescent="0.2">
      <c r="AC7177" s="20"/>
      <c r="AE7177" s="22"/>
      <c r="AF7177" s="22"/>
    </row>
    <row r="7178" spans="29:32" x14ac:dyDescent="0.2">
      <c r="AC7178" s="20"/>
      <c r="AE7178" s="22"/>
      <c r="AF7178" s="22"/>
    </row>
    <row r="7179" spans="29:32" x14ac:dyDescent="0.2">
      <c r="AC7179" s="20"/>
      <c r="AE7179" s="22"/>
      <c r="AF7179" s="22"/>
    </row>
    <row r="7180" spans="29:32" x14ac:dyDescent="0.2">
      <c r="AC7180" s="20"/>
      <c r="AE7180" s="22"/>
      <c r="AF7180" s="22"/>
    </row>
    <row r="7181" spans="29:32" x14ac:dyDescent="0.2">
      <c r="AC7181" s="20"/>
      <c r="AE7181" s="22"/>
      <c r="AF7181" s="22"/>
    </row>
    <row r="7182" spans="29:32" x14ac:dyDescent="0.2">
      <c r="AC7182" s="20"/>
      <c r="AE7182" s="22"/>
      <c r="AF7182" s="22"/>
    </row>
    <row r="7183" spans="29:32" x14ac:dyDescent="0.2">
      <c r="AC7183" s="20"/>
      <c r="AE7183" s="22"/>
      <c r="AF7183" s="22"/>
    </row>
    <row r="7184" spans="29:32" x14ac:dyDescent="0.2">
      <c r="AC7184" s="20"/>
      <c r="AE7184" s="22"/>
      <c r="AF7184" s="22"/>
    </row>
    <row r="7185" spans="29:32" x14ac:dyDescent="0.2">
      <c r="AC7185" s="20"/>
      <c r="AE7185" s="22"/>
      <c r="AF7185" s="22"/>
    </row>
    <row r="7186" spans="29:32" x14ac:dyDescent="0.2">
      <c r="AC7186" s="20"/>
      <c r="AE7186" s="22"/>
      <c r="AF7186" s="22"/>
    </row>
    <row r="7187" spans="29:32" x14ac:dyDescent="0.2">
      <c r="AC7187" s="20"/>
      <c r="AE7187" s="22"/>
      <c r="AF7187" s="22"/>
    </row>
    <row r="7188" spans="29:32" x14ac:dyDescent="0.2">
      <c r="AC7188" s="20"/>
      <c r="AE7188" s="22"/>
      <c r="AF7188" s="22"/>
    </row>
    <row r="7189" spans="29:32" x14ac:dyDescent="0.2">
      <c r="AC7189" s="20"/>
      <c r="AE7189" s="22"/>
      <c r="AF7189" s="22"/>
    </row>
    <row r="7190" spans="29:32" x14ac:dyDescent="0.2">
      <c r="AC7190" s="20"/>
      <c r="AE7190" s="22"/>
      <c r="AF7190" s="22"/>
    </row>
    <row r="7191" spans="29:32" x14ac:dyDescent="0.2">
      <c r="AC7191" s="20"/>
      <c r="AE7191" s="22"/>
      <c r="AF7191" s="22"/>
    </row>
    <row r="7192" spans="29:32" x14ac:dyDescent="0.2">
      <c r="AC7192" s="20"/>
      <c r="AE7192" s="22"/>
      <c r="AF7192" s="22"/>
    </row>
    <row r="7193" spans="29:32" x14ac:dyDescent="0.2">
      <c r="AC7193" s="20"/>
      <c r="AE7193" s="22"/>
      <c r="AF7193" s="22"/>
    </row>
    <row r="7194" spans="29:32" x14ac:dyDescent="0.2">
      <c r="AC7194" s="20"/>
      <c r="AE7194" s="22"/>
      <c r="AF7194" s="22"/>
    </row>
    <row r="7195" spans="29:32" x14ac:dyDescent="0.2">
      <c r="AC7195" s="20"/>
      <c r="AE7195" s="22"/>
      <c r="AF7195" s="22"/>
    </row>
    <row r="7196" spans="29:32" x14ac:dyDescent="0.2">
      <c r="AC7196" s="20"/>
      <c r="AE7196" s="22"/>
      <c r="AF7196" s="22"/>
    </row>
    <row r="7197" spans="29:32" x14ac:dyDescent="0.2">
      <c r="AC7197" s="20"/>
      <c r="AE7197" s="22"/>
      <c r="AF7197" s="22"/>
    </row>
    <row r="7198" spans="29:32" x14ac:dyDescent="0.2">
      <c r="AC7198" s="20"/>
      <c r="AE7198" s="22"/>
      <c r="AF7198" s="22"/>
    </row>
    <row r="7199" spans="29:32" x14ac:dyDescent="0.2">
      <c r="AC7199" s="20"/>
      <c r="AE7199" s="22"/>
      <c r="AF7199" s="22"/>
    </row>
    <row r="7200" spans="29:32" x14ac:dyDescent="0.2">
      <c r="AC7200" s="20"/>
      <c r="AE7200" s="22"/>
      <c r="AF7200" s="22"/>
    </row>
    <row r="7201" spans="29:32" x14ac:dyDescent="0.2">
      <c r="AC7201" s="20"/>
      <c r="AE7201" s="22"/>
      <c r="AF7201" s="22"/>
    </row>
    <row r="7202" spans="29:32" x14ac:dyDescent="0.2">
      <c r="AC7202" s="20"/>
      <c r="AE7202" s="22"/>
      <c r="AF7202" s="22"/>
    </row>
    <row r="7203" spans="29:32" x14ac:dyDescent="0.2">
      <c r="AC7203" s="20"/>
      <c r="AE7203" s="22"/>
      <c r="AF7203" s="22"/>
    </row>
    <row r="7204" spans="29:32" x14ac:dyDescent="0.2">
      <c r="AC7204" s="20"/>
      <c r="AE7204" s="22"/>
      <c r="AF7204" s="22"/>
    </row>
    <row r="7205" spans="29:32" x14ac:dyDescent="0.2">
      <c r="AC7205" s="20"/>
      <c r="AE7205" s="22"/>
      <c r="AF7205" s="22"/>
    </row>
    <row r="7206" spans="29:32" x14ac:dyDescent="0.2">
      <c r="AC7206" s="20"/>
      <c r="AE7206" s="22"/>
      <c r="AF7206" s="22"/>
    </row>
    <row r="7207" spans="29:32" x14ac:dyDescent="0.2">
      <c r="AC7207" s="20"/>
      <c r="AE7207" s="22"/>
      <c r="AF7207" s="22"/>
    </row>
    <row r="7208" spans="29:32" x14ac:dyDescent="0.2">
      <c r="AC7208" s="20"/>
      <c r="AE7208" s="22"/>
      <c r="AF7208" s="22"/>
    </row>
    <row r="7209" spans="29:32" x14ac:dyDescent="0.2">
      <c r="AC7209" s="20"/>
      <c r="AE7209" s="22"/>
      <c r="AF7209" s="22"/>
    </row>
    <row r="7210" spans="29:32" x14ac:dyDescent="0.2">
      <c r="AC7210" s="20"/>
      <c r="AE7210" s="22"/>
      <c r="AF7210" s="22"/>
    </row>
    <row r="7211" spans="29:32" x14ac:dyDescent="0.2">
      <c r="AC7211" s="20"/>
      <c r="AE7211" s="22"/>
      <c r="AF7211" s="22"/>
    </row>
    <row r="7212" spans="29:32" x14ac:dyDescent="0.2">
      <c r="AC7212" s="20"/>
      <c r="AE7212" s="22"/>
      <c r="AF7212" s="22"/>
    </row>
    <row r="7213" spans="29:32" x14ac:dyDescent="0.2">
      <c r="AC7213" s="20"/>
      <c r="AE7213" s="22"/>
      <c r="AF7213" s="22"/>
    </row>
    <row r="7214" spans="29:32" x14ac:dyDescent="0.2">
      <c r="AC7214" s="20"/>
      <c r="AE7214" s="22"/>
      <c r="AF7214" s="22"/>
    </row>
    <row r="7215" spans="29:32" x14ac:dyDescent="0.2">
      <c r="AC7215" s="20"/>
      <c r="AE7215" s="22"/>
      <c r="AF7215" s="22"/>
    </row>
    <row r="7216" spans="29:32" x14ac:dyDescent="0.2">
      <c r="AC7216" s="20"/>
      <c r="AE7216" s="22"/>
      <c r="AF7216" s="22"/>
    </row>
    <row r="7217" spans="29:32" x14ac:dyDescent="0.2">
      <c r="AC7217" s="20"/>
      <c r="AE7217" s="22"/>
      <c r="AF7217" s="22"/>
    </row>
    <row r="7218" spans="29:32" x14ac:dyDescent="0.2">
      <c r="AC7218" s="20"/>
      <c r="AE7218" s="22"/>
      <c r="AF7218" s="22"/>
    </row>
    <row r="7219" spans="29:32" x14ac:dyDescent="0.2">
      <c r="AC7219" s="20"/>
      <c r="AE7219" s="22"/>
      <c r="AF7219" s="22"/>
    </row>
    <row r="7220" spans="29:32" x14ac:dyDescent="0.2">
      <c r="AC7220" s="20"/>
      <c r="AE7220" s="22"/>
      <c r="AF7220" s="22"/>
    </row>
    <row r="7221" spans="29:32" x14ac:dyDescent="0.2">
      <c r="AC7221" s="20"/>
      <c r="AE7221" s="22"/>
      <c r="AF7221" s="22"/>
    </row>
    <row r="7222" spans="29:32" x14ac:dyDescent="0.2">
      <c r="AC7222" s="20"/>
      <c r="AE7222" s="22"/>
      <c r="AF7222" s="22"/>
    </row>
    <row r="7223" spans="29:32" x14ac:dyDescent="0.2">
      <c r="AC7223" s="20"/>
      <c r="AE7223" s="22"/>
      <c r="AF7223" s="22"/>
    </row>
    <row r="7224" spans="29:32" x14ac:dyDescent="0.2">
      <c r="AC7224" s="20"/>
      <c r="AE7224" s="22"/>
      <c r="AF7224" s="22"/>
    </row>
    <row r="7225" spans="29:32" x14ac:dyDescent="0.2">
      <c r="AC7225" s="20"/>
      <c r="AE7225" s="22"/>
      <c r="AF7225" s="22"/>
    </row>
    <row r="7226" spans="29:32" x14ac:dyDescent="0.2">
      <c r="AC7226" s="20"/>
      <c r="AE7226" s="22"/>
      <c r="AF7226" s="22"/>
    </row>
    <row r="7227" spans="29:32" x14ac:dyDescent="0.2">
      <c r="AC7227" s="20"/>
      <c r="AE7227" s="22"/>
      <c r="AF7227" s="22"/>
    </row>
    <row r="7228" spans="29:32" x14ac:dyDescent="0.2">
      <c r="AC7228" s="20"/>
      <c r="AE7228" s="22"/>
      <c r="AF7228" s="22"/>
    </row>
    <row r="7229" spans="29:32" x14ac:dyDescent="0.2">
      <c r="AC7229" s="20"/>
      <c r="AE7229" s="22"/>
      <c r="AF7229" s="22"/>
    </row>
    <row r="7230" spans="29:32" x14ac:dyDescent="0.2">
      <c r="AC7230" s="20"/>
      <c r="AE7230" s="22"/>
      <c r="AF7230" s="22"/>
    </row>
    <row r="7231" spans="29:32" x14ac:dyDescent="0.2">
      <c r="AC7231" s="20"/>
      <c r="AE7231" s="22"/>
      <c r="AF7231" s="22"/>
    </row>
    <row r="7232" spans="29:32" x14ac:dyDescent="0.2">
      <c r="AC7232" s="20"/>
      <c r="AE7232" s="22"/>
      <c r="AF7232" s="22"/>
    </row>
    <row r="7233" spans="29:32" x14ac:dyDescent="0.2">
      <c r="AC7233" s="20"/>
      <c r="AE7233" s="22"/>
      <c r="AF7233" s="22"/>
    </row>
    <row r="7234" spans="29:32" x14ac:dyDescent="0.2">
      <c r="AC7234" s="20"/>
      <c r="AE7234" s="22"/>
      <c r="AF7234" s="22"/>
    </row>
    <row r="7235" spans="29:32" x14ac:dyDescent="0.2">
      <c r="AC7235" s="20"/>
      <c r="AE7235" s="22"/>
      <c r="AF7235" s="22"/>
    </row>
    <row r="7236" spans="29:32" x14ac:dyDescent="0.2">
      <c r="AC7236" s="20"/>
      <c r="AE7236" s="22"/>
      <c r="AF7236" s="22"/>
    </row>
    <row r="7237" spans="29:32" x14ac:dyDescent="0.2">
      <c r="AC7237" s="20"/>
      <c r="AE7237" s="22"/>
      <c r="AF7237" s="22"/>
    </row>
    <row r="7238" spans="29:32" x14ac:dyDescent="0.2">
      <c r="AC7238" s="20"/>
      <c r="AE7238" s="22"/>
      <c r="AF7238" s="22"/>
    </row>
    <row r="7239" spans="29:32" x14ac:dyDescent="0.2">
      <c r="AC7239" s="20"/>
      <c r="AE7239" s="22"/>
      <c r="AF7239" s="22"/>
    </row>
    <row r="7240" spans="29:32" x14ac:dyDescent="0.2">
      <c r="AC7240" s="20"/>
      <c r="AE7240" s="22"/>
      <c r="AF7240" s="22"/>
    </row>
    <row r="7241" spans="29:32" x14ac:dyDescent="0.2">
      <c r="AC7241" s="20"/>
      <c r="AE7241" s="22"/>
      <c r="AF7241" s="22"/>
    </row>
    <row r="7242" spans="29:32" x14ac:dyDescent="0.2">
      <c r="AC7242" s="20"/>
      <c r="AE7242" s="22"/>
      <c r="AF7242" s="22"/>
    </row>
    <row r="7243" spans="29:32" x14ac:dyDescent="0.2">
      <c r="AC7243" s="20"/>
      <c r="AE7243" s="22"/>
      <c r="AF7243" s="22"/>
    </row>
    <row r="7244" spans="29:32" x14ac:dyDescent="0.2">
      <c r="AC7244" s="20"/>
      <c r="AE7244" s="22"/>
      <c r="AF7244" s="22"/>
    </row>
    <row r="7245" spans="29:32" x14ac:dyDescent="0.2">
      <c r="AC7245" s="20"/>
      <c r="AE7245" s="22"/>
      <c r="AF7245" s="22"/>
    </row>
    <row r="7246" spans="29:32" x14ac:dyDescent="0.2">
      <c r="AC7246" s="20"/>
      <c r="AE7246" s="22"/>
      <c r="AF7246" s="22"/>
    </row>
    <row r="7247" spans="29:32" x14ac:dyDescent="0.2">
      <c r="AC7247" s="20"/>
      <c r="AE7247" s="22"/>
      <c r="AF7247" s="22"/>
    </row>
    <row r="7248" spans="29:32" x14ac:dyDescent="0.2">
      <c r="AC7248" s="20"/>
      <c r="AE7248" s="22"/>
      <c r="AF7248" s="22"/>
    </row>
    <row r="7249" spans="29:32" x14ac:dyDescent="0.2">
      <c r="AC7249" s="20"/>
      <c r="AE7249" s="22"/>
      <c r="AF7249" s="22"/>
    </row>
    <row r="7250" spans="29:32" x14ac:dyDescent="0.2">
      <c r="AC7250" s="20"/>
      <c r="AE7250" s="22"/>
      <c r="AF7250" s="22"/>
    </row>
    <row r="7251" spans="29:32" x14ac:dyDescent="0.2">
      <c r="AC7251" s="20"/>
      <c r="AE7251" s="22"/>
      <c r="AF7251" s="22"/>
    </row>
    <row r="7252" spans="29:32" x14ac:dyDescent="0.2">
      <c r="AC7252" s="20"/>
      <c r="AE7252" s="22"/>
      <c r="AF7252" s="22"/>
    </row>
    <row r="7253" spans="29:32" x14ac:dyDescent="0.2">
      <c r="AC7253" s="20"/>
      <c r="AE7253" s="22"/>
      <c r="AF7253" s="22"/>
    </row>
    <row r="7254" spans="29:32" x14ac:dyDescent="0.2">
      <c r="AC7254" s="20"/>
      <c r="AE7254" s="22"/>
      <c r="AF7254" s="22"/>
    </row>
    <row r="7255" spans="29:32" x14ac:dyDescent="0.2">
      <c r="AC7255" s="20"/>
      <c r="AE7255" s="22"/>
      <c r="AF7255" s="22"/>
    </row>
    <row r="7256" spans="29:32" x14ac:dyDescent="0.2">
      <c r="AC7256" s="20"/>
      <c r="AE7256" s="22"/>
      <c r="AF7256" s="22"/>
    </row>
    <row r="7257" spans="29:32" x14ac:dyDescent="0.2">
      <c r="AC7257" s="20"/>
      <c r="AE7257" s="22"/>
      <c r="AF7257" s="22"/>
    </row>
    <row r="7258" spans="29:32" x14ac:dyDescent="0.2">
      <c r="AC7258" s="20"/>
      <c r="AE7258" s="22"/>
      <c r="AF7258" s="22"/>
    </row>
    <row r="7259" spans="29:32" x14ac:dyDescent="0.2">
      <c r="AC7259" s="20"/>
      <c r="AE7259" s="22"/>
      <c r="AF7259" s="22"/>
    </row>
    <row r="7260" spans="29:32" x14ac:dyDescent="0.2">
      <c r="AC7260" s="20"/>
      <c r="AE7260" s="22"/>
      <c r="AF7260" s="22"/>
    </row>
    <row r="7261" spans="29:32" x14ac:dyDescent="0.2">
      <c r="AC7261" s="20"/>
      <c r="AE7261" s="22"/>
      <c r="AF7261" s="22"/>
    </row>
    <row r="7262" spans="29:32" x14ac:dyDescent="0.2">
      <c r="AC7262" s="20"/>
      <c r="AE7262" s="22"/>
      <c r="AF7262" s="22"/>
    </row>
    <row r="7263" spans="29:32" x14ac:dyDescent="0.2">
      <c r="AC7263" s="20"/>
      <c r="AE7263" s="22"/>
      <c r="AF7263" s="22"/>
    </row>
    <row r="7264" spans="29:32" x14ac:dyDescent="0.2">
      <c r="AC7264" s="20"/>
      <c r="AE7264" s="22"/>
      <c r="AF7264" s="22"/>
    </row>
    <row r="7265" spans="29:32" x14ac:dyDescent="0.2">
      <c r="AC7265" s="20"/>
      <c r="AE7265" s="22"/>
      <c r="AF7265" s="22"/>
    </row>
    <row r="7266" spans="29:32" x14ac:dyDescent="0.2">
      <c r="AC7266" s="20"/>
      <c r="AE7266" s="22"/>
      <c r="AF7266" s="22"/>
    </row>
    <row r="7267" spans="29:32" x14ac:dyDescent="0.2">
      <c r="AC7267" s="20"/>
      <c r="AE7267" s="22"/>
      <c r="AF7267" s="22"/>
    </row>
    <row r="7268" spans="29:32" x14ac:dyDescent="0.2">
      <c r="AC7268" s="20"/>
      <c r="AE7268" s="22"/>
      <c r="AF7268" s="22"/>
    </row>
    <row r="7269" spans="29:32" x14ac:dyDescent="0.2">
      <c r="AC7269" s="20"/>
      <c r="AE7269" s="22"/>
      <c r="AF7269" s="22"/>
    </row>
    <row r="7270" spans="29:32" x14ac:dyDescent="0.2">
      <c r="AC7270" s="20"/>
      <c r="AE7270" s="22"/>
      <c r="AF7270" s="22"/>
    </row>
    <row r="7271" spans="29:32" x14ac:dyDescent="0.2">
      <c r="AC7271" s="20"/>
      <c r="AE7271" s="22"/>
      <c r="AF7271" s="22"/>
    </row>
    <row r="7272" spans="29:32" x14ac:dyDescent="0.2">
      <c r="AC7272" s="20"/>
      <c r="AE7272" s="22"/>
      <c r="AF7272" s="22"/>
    </row>
    <row r="7273" spans="29:32" x14ac:dyDescent="0.2">
      <c r="AC7273" s="20"/>
      <c r="AE7273" s="22"/>
      <c r="AF7273" s="22"/>
    </row>
    <row r="7274" spans="29:32" x14ac:dyDescent="0.2">
      <c r="AC7274" s="20"/>
      <c r="AE7274" s="22"/>
      <c r="AF7274" s="22"/>
    </row>
    <row r="7275" spans="29:32" x14ac:dyDescent="0.2">
      <c r="AC7275" s="20"/>
      <c r="AE7275" s="22"/>
      <c r="AF7275" s="22"/>
    </row>
    <row r="7276" spans="29:32" x14ac:dyDescent="0.2">
      <c r="AC7276" s="20"/>
      <c r="AE7276" s="22"/>
      <c r="AF7276" s="22"/>
    </row>
    <row r="7277" spans="29:32" x14ac:dyDescent="0.2">
      <c r="AC7277" s="20"/>
      <c r="AE7277" s="22"/>
      <c r="AF7277" s="22"/>
    </row>
    <row r="7278" spans="29:32" x14ac:dyDescent="0.2">
      <c r="AC7278" s="20"/>
      <c r="AE7278" s="22"/>
      <c r="AF7278" s="22"/>
    </row>
    <row r="7279" spans="29:32" x14ac:dyDescent="0.2">
      <c r="AC7279" s="20"/>
      <c r="AE7279" s="22"/>
      <c r="AF7279" s="22"/>
    </row>
    <row r="7280" spans="29:32" x14ac:dyDescent="0.2">
      <c r="AC7280" s="20"/>
      <c r="AE7280" s="22"/>
      <c r="AF7280" s="22"/>
    </row>
    <row r="7281" spans="29:32" x14ac:dyDescent="0.2">
      <c r="AC7281" s="20"/>
      <c r="AE7281" s="22"/>
      <c r="AF7281" s="22"/>
    </row>
    <row r="7282" spans="29:32" x14ac:dyDescent="0.2">
      <c r="AC7282" s="20"/>
      <c r="AE7282" s="22"/>
      <c r="AF7282" s="22"/>
    </row>
    <row r="7283" spans="29:32" x14ac:dyDescent="0.2">
      <c r="AC7283" s="20"/>
      <c r="AE7283" s="22"/>
      <c r="AF7283" s="22"/>
    </row>
    <row r="7284" spans="29:32" x14ac:dyDescent="0.2">
      <c r="AC7284" s="20"/>
      <c r="AE7284" s="22"/>
      <c r="AF7284" s="22"/>
    </row>
    <row r="7285" spans="29:32" x14ac:dyDescent="0.2">
      <c r="AC7285" s="20"/>
      <c r="AE7285" s="22"/>
      <c r="AF7285" s="22"/>
    </row>
    <row r="7286" spans="29:32" x14ac:dyDescent="0.2">
      <c r="AC7286" s="20"/>
      <c r="AE7286" s="22"/>
      <c r="AF7286" s="22"/>
    </row>
    <row r="7287" spans="29:32" x14ac:dyDescent="0.2">
      <c r="AC7287" s="20"/>
      <c r="AE7287" s="22"/>
      <c r="AF7287" s="22"/>
    </row>
    <row r="7288" spans="29:32" x14ac:dyDescent="0.2">
      <c r="AC7288" s="20"/>
      <c r="AE7288" s="22"/>
      <c r="AF7288" s="22"/>
    </row>
    <row r="7289" spans="29:32" x14ac:dyDescent="0.2">
      <c r="AC7289" s="20"/>
      <c r="AE7289" s="22"/>
      <c r="AF7289" s="22"/>
    </row>
    <row r="7290" spans="29:32" x14ac:dyDescent="0.2">
      <c r="AC7290" s="20"/>
      <c r="AE7290" s="22"/>
      <c r="AF7290" s="22"/>
    </row>
    <row r="7291" spans="29:32" x14ac:dyDescent="0.2">
      <c r="AC7291" s="20"/>
      <c r="AE7291" s="22"/>
      <c r="AF7291" s="22"/>
    </row>
    <row r="7292" spans="29:32" x14ac:dyDescent="0.2">
      <c r="AC7292" s="20"/>
      <c r="AE7292" s="22"/>
      <c r="AF7292" s="22"/>
    </row>
    <row r="7293" spans="29:32" x14ac:dyDescent="0.2">
      <c r="AC7293" s="20"/>
      <c r="AE7293" s="22"/>
      <c r="AF7293" s="22"/>
    </row>
    <row r="7294" spans="29:32" x14ac:dyDescent="0.2">
      <c r="AC7294" s="20"/>
      <c r="AE7294" s="22"/>
      <c r="AF7294" s="22"/>
    </row>
    <row r="7295" spans="29:32" x14ac:dyDescent="0.2">
      <c r="AC7295" s="20"/>
      <c r="AE7295" s="22"/>
      <c r="AF7295" s="22"/>
    </row>
    <row r="7296" spans="29:32" x14ac:dyDescent="0.2">
      <c r="AC7296" s="20"/>
      <c r="AE7296" s="22"/>
      <c r="AF7296" s="22"/>
    </row>
    <row r="7297" spans="29:32" x14ac:dyDescent="0.2">
      <c r="AC7297" s="20"/>
      <c r="AE7297" s="22"/>
      <c r="AF7297" s="22"/>
    </row>
    <row r="7298" spans="29:32" x14ac:dyDescent="0.2">
      <c r="AC7298" s="20"/>
      <c r="AE7298" s="22"/>
      <c r="AF7298" s="22"/>
    </row>
    <row r="7299" spans="29:32" x14ac:dyDescent="0.2">
      <c r="AC7299" s="20"/>
      <c r="AE7299" s="22"/>
      <c r="AF7299" s="22"/>
    </row>
    <row r="7300" spans="29:32" x14ac:dyDescent="0.2">
      <c r="AC7300" s="20"/>
      <c r="AE7300" s="22"/>
      <c r="AF7300" s="22"/>
    </row>
    <row r="7301" spans="29:32" x14ac:dyDescent="0.2">
      <c r="AC7301" s="20"/>
      <c r="AE7301" s="22"/>
      <c r="AF7301" s="22"/>
    </row>
    <row r="7302" spans="29:32" x14ac:dyDescent="0.2">
      <c r="AC7302" s="20"/>
      <c r="AE7302" s="22"/>
      <c r="AF7302" s="22"/>
    </row>
    <row r="7303" spans="29:32" x14ac:dyDescent="0.2">
      <c r="AC7303" s="20"/>
      <c r="AE7303" s="22"/>
      <c r="AF7303" s="22"/>
    </row>
    <row r="7304" spans="29:32" x14ac:dyDescent="0.2">
      <c r="AC7304" s="20"/>
      <c r="AE7304" s="22"/>
      <c r="AF7304" s="22"/>
    </row>
    <row r="7305" spans="29:32" x14ac:dyDescent="0.2">
      <c r="AC7305" s="20"/>
      <c r="AE7305" s="22"/>
      <c r="AF7305" s="22"/>
    </row>
    <row r="7306" spans="29:32" x14ac:dyDescent="0.2">
      <c r="AC7306" s="20"/>
      <c r="AE7306" s="22"/>
      <c r="AF7306" s="22"/>
    </row>
    <row r="7307" spans="29:32" x14ac:dyDescent="0.2">
      <c r="AC7307" s="20"/>
      <c r="AE7307" s="22"/>
      <c r="AF7307" s="22"/>
    </row>
    <row r="7308" spans="29:32" x14ac:dyDescent="0.2">
      <c r="AC7308" s="20"/>
      <c r="AE7308" s="22"/>
      <c r="AF7308" s="22"/>
    </row>
    <row r="7309" spans="29:32" x14ac:dyDescent="0.2">
      <c r="AC7309" s="20"/>
      <c r="AE7309" s="22"/>
      <c r="AF7309" s="22"/>
    </row>
    <row r="7310" spans="29:32" x14ac:dyDescent="0.2">
      <c r="AC7310" s="20"/>
      <c r="AE7310" s="22"/>
      <c r="AF7310" s="22"/>
    </row>
    <row r="7311" spans="29:32" x14ac:dyDescent="0.2">
      <c r="AC7311" s="20"/>
      <c r="AE7311" s="22"/>
      <c r="AF7311" s="22"/>
    </row>
    <row r="7312" spans="29:32" x14ac:dyDescent="0.2">
      <c r="AC7312" s="20"/>
      <c r="AE7312" s="22"/>
      <c r="AF7312" s="22"/>
    </row>
    <row r="7313" spans="29:32" x14ac:dyDescent="0.2">
      <c r="AC7313" s="20"/>
      <c r="AE7313" s="22"/>
      <c r="AF7313" s="22"/>
    </row>
    <row r="7314" spans="29:32" x14ac:dyDescent="0.2">
      <c r="AC7314" s="20"/>
      <c r="AE7314" s="22"/>
      <c r="AF7314" s="22"/>
    </row>
    <row r="7315" spans="29:32" x14ac:dyDescent="0.2">
      <c r="AC7315" s="20"/>
      <c r="AE7315" s="22"/>
      <c r="AF7315" s="22"/>
    </row>
    <row r="7316" spans="29:32" x14ac:dyDescent="0.2">
      <c r="AC7316" s="20"/>
      <c r="AE7316" s="22"/>
      <c r="AF7316" s="22"/>
    </row>
    <row r="7317" spans="29:32" x14ac:dyDescent="0.2">
      <c r="AC7317" s="20"/>
      <c r="AE7317" s="22"/>
      <c r="AF7317" s="22"/>
    </row>
    <row r="7318" spans="29:32" x14ac:dyDescent="0.2">
      <c r="AC7318" s="20"/>
      <c r="AE7318" s="22"/>
      <c r="AF7318" s="22"/>
    </row>
    <row r="7319" spans="29:32" x14ac:dyDescent="0.2">
      <c r="AC7319" s="20"/>
      <c r="AE7319" s="22"/>
      <c r="AF7319" s="22"/>
    </row>
    <row r="7320" spans="29:32" x14ac:dyDescent="0.2">
      <c r="AC7320" s="20"/>
      <c r="AE7320" s="22"/>
      <c r="AF7320" s="22"/>
    </row>
    <row r="7321" spans="29:32" x14ac:dyDescent="0.2">
      <c r="AC7321" s="20"/>
      <c r="AE7321" s="22"/>
      <c r="AF7321" s="22"/>
    </row>
    <row r="7322" spans="29:32" x14ac:dyDescent="0.2">
      <c r="AC7322" s="20"/>
      <c r="AE7322" s="22"/>
      <c r="AF7322" s="22"/>
    </row>
    <row r="7323" spans="29:32" x14ac:dyDescent="0.2">
      <c r="AC7323" s="20"/>
      <c r="AE7323" s="22"/>
      <c r="AF7323" s="22"/>
    </row>
    <row r="7324" spans="29:32" x14ac:dyDescent="0.2">
      <c r="AC7324" s="20"/>
      <c r="AE7324" s="22"/>
      <c r="AF7324" s="22"/>
    </row>
    <row r="7325" spans="29:32" x14ac:dyDescent="0.2">
      <c r="AC7325" s="20"/>
      <c r="AE7325" s="22"/>
      <c r="AF7325" s="22"/>
    </row>
    <row r="7326" spans="29:32" x14ac:dyDescent="0.2">
      <c r="AC7326" s="20"/>
      <c r="AE7326" s="22"/>
      <c r="AF7326" s="22"/>
    </row>
    <row r="7327" spans="29:32" x14ac:dyDescent="0.2">
      <c r="AC7327" s="20"/>
      <c r="AE7327" s="22"/>
      <c r="AF7327" s="22"/>
    </row>
    <row r="7328" spans="29:32" x14ac:dyDescent="0.2">
      <c r="AC7328" s="20"/>
      <c r="AE7328" s="22"/>
      <c r="AF7328" s="22"/>
    </row>
    <row r="7329" spans="29:32" x14ac:dyDescent="0.2">
      <c r="AC7329" s="20"/>
      <c r="AE7329" s="22"/>
      <c r="AF7329" s="22"/>
    </row>
    <row r="7330" spans="29:32" x14ac:dyDescent="0.2">
      <c r="AC7330" s="20"/>
      <c r="AE7330" s="22"/>
      <c r="AF7330" s="22"/>
    </row>
    <row r="7331" spans="29:32" x14ac:dyDescent="0.2">
      <c r="AC7331" s="20"/>
      <c r="AE7331" s="22"/>
      <c r="AF7331" s="22"/>
    </row>
    <row r="7332" spans="29:32" x14ac:dyDescent="0.2">
      <c r="AC7332" s="20"/>
      <c r="AE7332" s="22"/>
      <c r="AF7332" s="22"/>
    </row>
    <row r="7333" spans="29:32" x14ac:dyDescent="0.2">
      <c r="AC7333" s="20"/>
      <c r="AE7333" s="22"/>
      <c r="AF7333" s="22"/>
    </row>
    <row r="7334" spans="29:32" x14ac:dyDescent="0.2">
      <c r="AC7334" s="20"/>
      <c r="AE7334" s="22"/>
      <c r="AF7334" s="22"/>
    </row>
    <row r="7335" spans="29:32" x14ac:dyDescent="0.2">
      <c r="AC7335" s="20"/>
      <c r="AE7335" s="22"/>
      <c r="AF7335" s="22"/>
    </row>
    <row r="7336" spans="29:32" x14ac:dyDescent="0.2">
      <c r="AC7336" s="20"/>
      <c r="AE7336" s="22"/>
      <c r="AF7336" s="22"/>
    </row>
    <row r="7337" spans="29:32" x14ac:dyDescent="0.2">
      <c r="AC7337" s="20"/>
      <c r="AE7337" s="22"/>
      <c r="AF7337" s="22"/>
    </row>
    <row r="7338" spans="29:32" x14ac:dyDescent="0.2">
      <c r="AC7338" s="20"/>
      <c r="AE7338" s="22"/>
      <c r="AF7338" s="22"/>
    </row>
    <row r="7339" spans="29:32" x14ac:dyDescent="0.2">
      <c r="AC7339" s="20"/>
      <c r="AE7339" s="22"/>
      <c r="AF7339" s="22"/>
    </row>
    <row r="7340" spans="29:32" x14ac:dyDescent="0.2">
      <c r="AC7340" s="20"/>
      <c r="AE7340" s="22"/>
      <c r="AF7340" s="22"/>
    </row>
    <row r="7341" spans="29:32" x14ac:dyDescent="0.2">
      <c r="AC7341" s="20"/>
      <c r="AE7341" s="22"/>
      <c r="AF7341" s="22"/>
    </row>
    <row r="7342" spans="29:32" x14ac:dyDescent="0.2">
      <c r="AC7342" s="20"/>
      <c r="AE7342" s="22"/>
      <c r="AF7342" s="22"/>
    </row>
    <row r="7343" spans="29:32" x14ac:dyDescent="0.2">
      <c r="AC7343" s="20"/>
      <c r="AE7343" s="22"/>
      <c r="AF7343" s="22"/>
    </row>
    <row r="7344" spans="29:32" x14ac:dyDescent="0.2">
      <c r="AC7344" s="20"/>
      <c r="AE7344" s="22"/>
      <c r="AF7344" s="22"/>
    </row>
    <row r="7345" spans="29:32" x14ac:dyDescent="0.2">
      <c r="AC7345" s="20"/>
      <c r="AE7345" s="22"/>
      <c r="AF7345" s="22"/>
    </row>
    <row r="7346" spans="29:32" x14ac:dyDescent="0.2">
      <c r="AC7346" s="20"/>
      <c r="AE7346" s="22"/>
      <c r="AF7346" s="22"/>
    </row>
    <row r="7347" spans="29:32" x14ac:dyDescent="0.2">
      <c r="AC7347" s="20"/>
      <c r="AE7347" s="22"/>
      <c r="AF7347" s="22"/>
    </row>
    <row r="7348" spans="29:32" x14ac:dyDescent="0.2">
      <c r="AC7348" s="20"/>
      <c r="AE7348" s="22"/>
      <c r="AF7348" s="22"/>
    </row>
    <row r="7349" spans="29:32" x14ac:dyDescent="0.2">
      <c r="AC7349" s="20"/>
      <c r="AE7349" s="22"/>
      <c r="AF7349" s="22"/>
    </row>
    <row r="7350" spans="29:32" x14ac:dyDescent="0.2">
      <c r="AC7350" s="20"/>
      <c r="AE7350" s="22"/>
      <c r="AF7350" s="22"/>
    </row>
    <row r="7351" spans="29:32" x14ac:dyDescent="0.2">
      <c r="AC7351" s="20"/>
      <c r="AE7351" s="22"/>
      <c r="AF7351" s="22"/>
    </row>
    <row r="7352" spans="29:32" x14ac:dyDescent="0.2">
      <c r="AC7352" s="20"/>
      <c r="AE7352" s="22"/>
      <c r="AF7352" s="22"/>
    </row>
    <row r="7353" spans="29:32" x14ac:dyDescent="0.2">
      <c r="AC7353" s="20"/>
      <c r="AE7353" s="22"/>
      <c r="AF7353" s="22"/>
    </row>
    <row r="7354" spans="29:32" x14ac:dyDescent="0.2">
      <c r="AC7354" s="20"/>
      <c r="AE7354" s="22"/>
      <c r="AF7354" s="22"/>
    </row>
    <row r="7355" spans="29:32" x14ac:dyDescent="0.2">
      <c r="AC7355" s="20"/>
      <c r="AE7355" s="22"/>
      <c r="AF7355" s="22"/>
    </row>
    <row r="7356" spans="29:32" x14ac:dyDescent="0.2">
      <c r="AC7356" s="20"/>
      <c r="AE7356" s="22"/>
      <c r="AF7356" s="22"/>
    </row>
    <row r="7357" spans="29:32" x14ac:dyDescent="0.2">
      <c r="AC7357" s="20"/>
      <c r="AE7357" s="22"/>
      <c r="AF7357" s="22"/>
    </row>
    <row r="7358" spans="29:32" x14ac:dyDescent="0.2">
      <c r="AC7358" s="20"/>
      <c r="AE7358" s="22"/>
      <c r="AF7358" s="22"/>
    </row>
    <row r="7359" spans="29:32" x14ac:dyDescent="0.2">
      <c r="AC7359" s="20"/>
      <c r="AE7359" s="22"/>
      <c r="AF7359" s="22"/>
    </row>
    <row r="7360" spans="29:32" x14ac:dyDescent="0.2">
      <c r="AC7360" s="20"/>
      <c r="AE7360" s="22"/>
      <c r="AF7360" s="22"/>
    </row>
    <row r="7361" spans="29:32" x14ac:dyDescent="0.2">
      <c r="AC7361" s="20"/>
      <c r="AE7361" s="22"/>
      <c r="AF7361" s="22"/>
    </row>
    <row r="7362" spans="29:32" x14ac:dyDescent="0.2">
      <c r="AC7362" s="20"/>
      <c r="AE7362" s="22"/>
      <c r="AF7362" s="22"/>
    </row>
    <row r="7363" spans="29:32" x14ac:dyDescent="0.2">
      <c r="AC7363" s="20"/>
      <c r="AE7363" s="22"/>
      <c r="AF7363" s="22"/>
    </row>
    <row r="7364" spans="29:32" x14ac:dyDescent="0.2">
      <c r="AC7364" s="20"/>
      <c r="AE7364" s="22"/>
      <c r="AF7364" s="22"/>
    </row>
    <row r="7365" spans="29:32" x14ac:dyDescent="0.2">
      <c r="AC7365" s="20"/>
      <c r="AE7365" s="22"/>
      <c r="AF7365" s="22"/>
    </row>
    <row r="7366" spans="29:32" x14ac:dyDescent="0.2">
      <c r="AC7366" s="20"/>
      <c r="AE7366" s="22"/>
      <c r="AF7366" s="22"/>
    </row>
    <row r="7367" spans="29:32" x14ac:dyDescent="0.2">
      <c r="AC7367" s="20"/>
      <c r="AE7367" s="22"/>
      <c r="AF7367" s="22"/>
    </row>
    <row r="7368" spans="29:32" x14ac:dyDescent="0.2">
      <c r="AC7368" s="20"/>
      <c r="AE7368" s="22"/>
      <c r="AF7368" s="22"/>
    </row>
    <row r="7369" spans="29:32" x14ac:dyDescent="0.2">
      <c r="AC7369" s="20"/>
      <c r="AE7369" s="22"/>
      <c r="AF7369" s="22"/>
    </row>
    <row r="7370" spans="29:32" x14ac:dyDescent="0.2">
      <c r="AC7370" s="20"/>
      <c r="AE7370" s="22"/>
      <c r="AF7370" s="22"/>
    </row>
    <row r="7371" spans="29:32" x14ac:dyDescent="0.2">
      <c r="AC7371" s="20"/>
      <c r="AE7371" s="22"/>
      <c r="AF7371" s="22"/>
    </row>
    <row r="7372" spans="29:32" x14ac:dyDescent="0.2">
      <c r="AC7372" s="20"/>
      <c r="AE7372" s="22"/>
      <c r="AF7372" s="22"/>
    </row>
    <row r="7373" spans="29:32" x14ac:dyDescent="0.2">
      <c r="AC7373" s="20"/>
      <c r="AE7373" s="22"/>
      <c r="AF7373" s="22"/>
    </row>
    <row r="7374" spans="29:32" x14ac:dyDescent="0.2">
      <c r="AC7374" s="20"/>
      <c r="AE7374" s="22"/>
      <c r="AF7374" s="22"/>
    </row>
    <row r="7375" spans="29:32" x14ac:dyDescent="0.2">
      <c r="AC7375" s="20"/>
      <c r="AE7375" s="22"/>
      <c r="AF7375" s="22"/>
    </row>
    <row r="7376" spans="29:32" x14ac:dyDescent="0.2">
      <c r="AC7376" s="20"/>
      <c r="AE7376" s="22"/>
      <c r="AF7376" s="22"/>
    </row>
    <row r="7377" spans="29:32" x14ac:dyDescent="0.2">
      <c r="AC7377" s="20"/>
      <c r="AE7377" s="22"/>
      <c r="AF7377" s="22"/>
    </row>
    <row r="7378" spans="29:32" x14ac:dyDescent="0.2">
      <c r="AC7378" s="20"/>
      <c r="AE7378" s="22"/>
      <c r="AF7378" s="22"/>
    </row>
    <row r="7379" spans="29:32" x14ac:dyDescent="0.2">
      <c r="AC7379" s="20"/>
      <c r="AE7379" s="22"/>
      <c r="AF7379" s="22"/>
    </row>
    <row r="7380" spans="29:32" x14ac:dyDescent="0.2">
      <c r="AC7380" s="20"/>
      <c r="AE7380" s="22"/>
      <c r="AF7380" s="22"/>
    </row>
    <row r="7381" spans="29:32" x14ac:dyDescent="0.2">
      <c r="AC7381" s="20"/>
      <c r="AE7381" s="22"/>
      <c r="AF7381" s="22"/>
    </row>
    <row r="7382" spans="29:32" x14ac:dyDescent="0.2">
      <c r="AC7382" s="20"/>
      <c r="AE7382" s="22"/>
      <c r="AF7382" s="22"/>
    </row>
    <row r="7383" spans="29:32" x14ac:dyDescent="0.2">
      <c r="AC7383" s="20"/>
      <c r="AE7383" s="22"/>
      <c r="AF7383" s="22"/>
    </row>
    <row r="7384" spans="29:32" x14ac:dyDescent="0.2">
      <c r="AC7384" s="20"/>
      <c r="AE7384" s="22"/>
      <c r="AF7384" s="22"/>
    </row>
    <row r="7385" spans="29:32" x14ac:dyDescent="0.2">
      <c r="AC7385" s="20"/>
      <c r="AE7385" s="22"/>
      <c r="AF7385" s="22"/>
    </row>
    <row r="7386" spans="29:32" x14ac:dyDescent="0.2">
      <c r="AC7386" s="20"/>
      <c r="AE7386" s="22"/>
      <c r="AF7386" s="22"/>
    </row>
    <row r="7387" spans="29:32" x14ac:dyDescent="0.2">
      <c r="AC7387" s="20"/>
      <c r="AE7387" s="22"/>
      <c r="AF7387" s="22"/>
    </row>
    <row r="7388" spans="29:32" x14ac:dyDescent="0.2">
      <c r="AC7388" s="20"/>
      <c r="AE7388" s="22"/>
      <c r="AF7388" s="22"/>
    </row>
    <row r="7389" spans="29:32" x14ac:dyDescent="0.2">
      <c r="AC7389" s="20"/>
      <c r="AE7389" s="22"/>
      <c r="AF7389" s="22"/>
    </row>
    <row r="7390" spans="29:32" x14ac:dyDescent="0.2">
      <c r="AC7390" s="20"/>
      <c r="AE7390" s="22"/>
      <c r="AF7390" s="22"/>
    </row>
    <row r="7391" spans="29:32" x14ac:dyDescent="0.2">
      <c r="AC7391" s="20"/>
      <c r="AE7391" s="22"/>
      <c r="AF7391" s="22"/>
    </row>
    <row r="7392" spans="29:32" x14ac:dyDescent="0.2">
      <c r="AC7392" s="20"/>
      <c r="AE7392" s="22"/>
      <c r="AF7392" s="22"/>
    </row>
    <row r="7393" spans="29:32" x14ac:dyDescent="0.2">
      <c r="AC7393" s="20"/>
      <c r="AE7393" s="22"/>
      <c r="AF7393" s="22"/>
    </row>
    <row r="7394" spans="29:32" x14ac:dyDescent="0.2">
      <c r="AC7394" s="20"/>
      <c r="AE7394" s="22"/>
      <c r="AF7394" s="22"/>
    </row>
    <row r="7395" spans="29:32" x14ac:dyDescent="0.2">
      <c r="AC7395" s="20"/>
      <c r="AE7395" s="22"/>
      <c r="AF7395" s="22"/>
    </row>
    <row r="7396" spans="29:32" x14ac:dyDescent="0.2">
      <c r="AC7396" s="20"/>
      <c r="AE7396" s="22"/>
      <c r="AF7396" s="22"/>
    </row>
    <row r="7397" spans="29:32" x14ac:dyDescent="0.2">
      <c r="AC7397" s="20"/>
      <c r="AE7397" s="22"/>
      <c r="AF7397" s="22"/>
    </row>
    <row r="7398" spans="29:32" x14ac:dyDescent="0.2">
      <c r="AC7398" s="20"/>
      <c r="AE7398" s="22"/>
      <c r="AF7398" s="22"/>
    </row>
    <row r="7399" spans="29:32" x14ac:dyDescent="0.2">
      <c r="AC7399" s="20"/>
      <c r="AE7399" s="22"/>
      <c r="AF7399" s="22"/>
    </row>
    <row r="7400" spans="29:32" x14ac:dyDescent="0.2">
      <c r="AC7400" s="20"/>
      <c r="AE7400" s="22"/>
      <c r="AF7400" s="22"/>
    </row>
    <row r="7401" spans="29:32" x14ac:dyDescent="0.2">
      <c r="AC7401" s="20"/>
      <c r="AE7401" s="22"/>
      <c r="AF7401" s="22"/>
    </row>
    <row r="7402" spans="29:32" x14ac:dyDescent="0.2">
      <c r="AC7402" s="20"/>
      <c r="AE7402" s="22"/>
      <c r="AF7402" s="22"/>
    </row>
    <row r="7403" spans="29:32" x14ac:dyDescent="0.2">
      <c r="AC7403" s="20"/>
      <c r="AE7403" s="22"/>
      <c r="AF7403" s="22"/>
    </row>
    <row r="7404" spans="29:32" x14ac:dyDescent="0.2">
      <c r="AC7404" s="20"/>
      <c r="AE7404" s="22"/>
      <c r="AF7404" s="22"/>
    </row>
    <row r="7405" spans="29:32" x14ac:dyDescent="0.2">
      <c r="AC7405" s="20"/>
      <c r="AE7405" s="22"/>
      <c r="AF7405" s="22"/>
    </row>
    <row r="7406" spans="29:32" x14ac:dyDescent="0.2">
      <c r="AC7406" s="20"/>
      <c r="AE7406" s="22"/>
      <c r="AF7406" s="22"/>
    </row>
    <row r="7407" spans="29:32" x14ac:dyDescent="0.2">
      <c r="AC7407" s="20"/>
      <c r="AE7407" s="22"/>
      <c r="AF7407" s="22"/>
    </row>
    <row r="7408" spans="29:32" x14ac:dyDescent="0.2">
      <c r="AC7408" s="20"/>
      <c r="AE7408" s="22"/>
      <c r="AF7408" s="22"/>
    </row>
    <row r="7409" spans="29:32" x14ac:dyDescent="0.2">
      <c r="AC7409" s="20"/>
      <c r="AE7409" s="22"/>
      <c r="AF7409" s="22"/>
    </row>
    <row r="7410" spans="29:32" x14ac:dyDescent="0.2">
      <c r="AC7410" s="20"/>
      <c r="AE7410" s="22"/>
      <c r="AF7410" s="22"/>
    </row>
    <row r="7411" spans="29:32" x14ac:dyDescent="0.2">
      <c r="AC7411" s="20"/>
      <c r="AE7411" s="22"/>
      <c r="AF7411" s="22"/>
    </row>
    <row r="7412" spans="29:32" x14ac:dyDescent="0.2">
      <c r="AC7412" s="20"/>
      <c r="AE7412" s="22"/>
      <c r="AF7412" s="22"/>
    </row>
    <row r="7413" spans="29:32" x14ac:dyDescent="0.2">
      <c r="AC7413" s="20"/>
      <c r="AE7413" s="22"/>
      <c r="AF7413" s="22"/>
    </row>
    <row r="7414" spans="29:32" x14ac:dyDescent="0.2">
      <c r="AC7414" s="20"/>
      <c r="AE7414" s="22"/>
      <c r="AF7414" s="22"/>
    </row>
    <row r="7415" spans="29:32" x14ac:dyDescent="0.2">
      <c r="AC7415" s="20"/>
      <c r="AE7415" s="22"/>
      <c r="AF7415" s="22"/>
    </row>
    <row r="7416" spans="29:32" x14ac:dyDescent="0.2">
      <c r="AC7416" s="20"/>
      <c r="AE7416" s="22"/>
      <c r="AF7416" s="22"/>
    </row>
    <row r="7417" spans="29:32" x14ac:dyDescent="0.2">
      <c r="AC7417" s="20"/>
      <c r="AE7417" s="22"/>
      <c r="AF7417" s="22"/>
    </row>
    <row r="7418" spans="29:32" x14ac:dyDescent="0.2">
      <c r="AC7418" s="20"/>
      <c r="AE7418" s="22"/>
      <c r="AF7418" s="22"/>
    </row>
    <row r="7419" spans="29:32" x14ac:dyDescent="0.2">
      <c r="AC7419" s="20"/>
      <c r="AE7419" s="22"/>
      <c r="AF7419" s="22"/>
    </row>
    <row r="7420" spans="29:32" x14ac:dyDescent="0.2">
      <c r="AC7420" s="20"/>
      <c r="AE7420" s="22"/>
      <c r="AF7420" s="22"/>
    </row>
    <row r="7421" spans="29:32" x14ac:dyDescent="0.2">
      <c r="AC7421" s="20"/>
      <c r="AE7421" s="22"/>
      <c r="AF7421" s="22"/>
    </row>
    <row r="7422" spans="29:32" x14ac:dyDescent="0.2">
      <c r="AC7422" s="20"/>
      <c r="AE7422" s="22"/>
      <c r="AF7422" s="22"/>
    </row>
    <row r="7423" spans="29:32" x14ac:dyDescent="0.2">
      <c r="AC7423" s="20"/>
      <c r="AE7423" s="22"/>
      <c r="AF7423" s="22"/>
    </row>
    <row r="7424" spans="29:32" x14ac:dyDescent="0.2">
      <c r="AC7424" s="20"/>
      <c r="AE7424" s="22"/>
      <c r="AF7424" s="22"/>
    </row>
    <row r="7425" spans="29:32" x14ac:dyDescent="0.2">
      <c r="AC7425" s="20"/>
      <c r="AE7425" s="22"/>
      <c r="AF7425" s="22"/>
    </row>
    <row r="7426" spans="29:32" x14ac:dyDescent="0.2">
      <c r="AC7426" s="20"/>
      <c r="AE7426" s="22"/>
      <c r="AF7426" s="22"/>
    </row>
    <row r="7427" spans="29:32" x14ac:dyDescent="0.2">
      <c r="AC7427" s="20"/>
      <c r="AE7427" s="22"/>
      <c r="AF7427" s="22"/>
    </row>
    <row r="7428" spans="29:32" x14ac:dyDescent="0.2">
      <c r="AC7428" s="20"/>
      <c r="AE7428" s="22"/>
      <c r="AF7428" s="22"/>
    </row>
    <row r="7429" spans="29:32" x14ac:dyDescent="0.2">
      <c r="AC7429" s="20"/>
      <c r="AE7429" s="22"/>
      <c r="AF7429" s="22"/>
    </row>
    <row r="7430" spans="29:32" x14ac:dyDescent="0.2">
      <c r="AC7430" s="20"/>
      <c r="AE7430" s="22"/>
      <c r="AF7430" s="22"/>
    </row>
    <row r="7431" spans="29:32" x14ac:dyDescent="0.2">
      <c r="AC7431" s="20"/>
      <c r="AE7431" s="22"/>
      <c r="AF7431" s="22"/>
    </row>
    <row r="7432" spans="29:32" x14ac:dyDescent="0.2">
      <c r="AC7432" s="20"/>
      <c r="AE7432" s="22"/>
      <c r="AF7432" s="22"/>
    </row>
    <row r="7433" spans="29:32" x14ac:dyDescent="0.2">
      <c r="AC7433" s="20"/>
      <c r="AE7433" s="22"/>
      <c r="AF7433" s="22"/>
    </row>
    <row r="7434" spans="29:32" x14ac:dyDescent="0.2">
      <c r="AC7434" s="20"/>
      <c r="AE7434" s="22"/>
      <c r="AF7434" s="22"/>
    </row>
    <row r="7435" spans="29:32" x14ac:dyDescent="0.2">
      <c r="AC7435" s="20"/>
      <c r="AE7435" s="22"/>
      <c r="AF7435" s="22"/>
    </row>
    <row r="7436" spans="29:32" x14ac:dyDescent="0.2">
      <c r="AC7436" s="20"/>
      <c r="AE7436" s="22"/>
      <c r="AF7436" s="22"/>
    </row>
    <row r="7437" spans="29:32" x14ac:dyDescent="0.2">
      <c r="AC7437" s="20"/>
      <c r="AE7437" s="22"/>
      <c r="AF7437" s="22"/>
    </row>
    <row r="7438" spans="29:32" x14ac:dyDescent="0.2">
      <c r="AC7438" s="20"/>
      <c r="AE7438" s="22"/>
      <c r="AF7438" s="22"/>
    </row>
    <row r="7439" spans="29:32" x14ac:dyDescent="0.2">
      <c r="AC7439" s="20"/>
      <c r="AE7439" s="22"/>
      <c r="AF7439" s="22"/>
    </row>
    <row r="7440" spans="29:32" x14ac:dyDescent="0.2">
      <c r="AC7440" s="20"/>
      <c r="AE7440" s="22"/>
      <c r="AF7440" s="22"/>
    </row>
    <row r="7441" spans="29:32" x14ac:dyDescent="0.2">
      <c r="AC7441" s="20"/>
      <c r="AE7441" s="22"/>
      <c r="AF7441" s="22"/>
    </row>
    <row r="7442" spans="29:32" x14ac:dyDescent="0.2">
      <c r="AC7442" s="20"/>
      <c r="AE7442" s="22"/>
      <c r="AF7442" s="22"/>
    </row>
    <row r="7443" spans="29:32" x14ac:dyDescent="0.2">
      <c r="AC7443" s="20"/>
      <c r="AE7443" s="22"/>
      <c r="AF7443" s="22"/>
    </row>
    <row r="7444" spans="29:32" x14ac:dyDescent="0.2">
      <c r="AC7444" s="20"/>
      <c r="AE7444" s="22"/>
      <c r="AF7444" s="22"/>
    </row>
    <row r="7445" spans="29:32" x14ac:dyDescent="0.2">
      <c r="AC7445" s="20"/>
      <c r="AE7445" s="22"/>
      <c r="AF7445" s="22"/>
    </row>
    <row r="7446" spans="29:32" x14ac:dyDescent="0.2">
      <c r="AC7446" s="20"/>
      <c r="AE7446" s="22"/>
      <c r="AF7446" s="22"/>
    </row>
    <row r="7447" spans="29:32" x14ac:dyDescent="0.2">
      <c r="AC7447" s="20"/>
      <c r="AE7447" s="22"/>
      <c r="AF7447" s="22"/>
    </row>
    <row r="7448" spans="29:32" x14ac:dyDescent="0.2">
      <c r="AC7448" s="20"/>
      <c r="AE7448" s="22"/>
      <c r="AF7448" s="22"/>
    </row>
    <row r="7449" spans="29:32" x14ac:dyDescent="0.2">
      <c r="AC7449" s="20"/>
      <c r="AE7449" s="22"/>
      <c r="AF7449" s="22"/>
    </row>
    <row r="7450" spans="29:32" x14ac:dyDescent="0.2">
      <c r="AC7450" s="20"/>
      <c r="AE7450" s="22"/>
      <c r="AF7450" s="22"/>
    </row>
    <row r="7451" spans="29:32" x14ac:dyDescent="0.2">
      <c r="AC7451" s="20"/>
      <c r="AE7451" s="22"/>
      <c r="AF7451" s="22"/>
    </row>
    <row r="7452" spans="29:32" x14ac:dyDescent="0.2">
      <c r="AC7452" s="20"/>
      <c r="AE7452" s="22"/>
      <c r="AF7452" s="22"/>
    </row>
    <row r="7453" spans="29:32" x14ac:dyDescent="0.2">
      <c r="AC7453" s="20"/>
      <c r="AE7453" s="22"/>
      <c r="AF7453" s="22"/>
    </row>
    <row r="7454" spans="29:32" x14ac:dyDescent="0.2">
      <c r="AC7454" s="20"/>
      <c r="AE7454" s="22"/>
      <c r="AF7454" s="22"/>
    </row>
    <row r="7455" spans="29:32" x14ac:dyDescent="0.2">
      <c r="AC7455" s="20"/>
      <c r="AE7455" s="22"/>
      <c r="AF7455" s="22"/>
    </row>
    <row r="7456" spans="29:32" x14ac:dyDescent="0.2">
      <c r="AC7456" s="20"/>
      <c r="AE7456" s="22"/>
      <c r="AF7456" s="22"/>
    </row>
    <row r="7457" spans="29:32" x14ac:dyDescent="0.2">
      <c r="AC7457" s="20"/>
      <c r="AE7457" s="22"/>
      <c r="AF7457" s="22"/>
    </row>
    <row r="7458" spans="29:32" x14ac:dyDescent="0.2">
      <c r="AC7458" s="20"/>
      <c r="AE7458" s="22"/>
      <c r="AF7458" s="22"/>
    </row>
    <row r="7459" spans="29:32" x14ac:dyDescent="0.2">
      <c r="AC7459" s="20"/>
      <c r="AE7459" s="22"/>
      <c r="AF7459" s="22"/>
    </row>
    <row r="7460" spans="29:32" x14ac:dyDescent="0.2">
      <c r="AC7460" s="20"/>
      <c r="AE7460" s="22"/>
      <c r="AF7460" s="22"/>
    </row>
    <row r="7461" spans="29:32" x14ac:dyDescent="0.2">
      <c r="AC7461" s="20"/>
      <c r="AE7461" s="22"/>
      <c r="AF7461" s="22"/>
    </row>
    <row r="7462" spans="29:32" x14ac:dyDescent="0.2">
      <c r="AC7462" s="20"/>
      <c r="AE7462" s="22"/>
      <c r="AF7462" s="22"/>
    </row>
    <row r="7463" spans="29:32" x14ac:dyDescent="0.2">
      <c r="AC7463" s="20"/>
      <c r="AE7463" s="22"/>
      <c r="AF7463" s="22"/>
    </row>
    <row r="7464" spans="29:32" x14ac:dyDescent="0.2">
      <c r="AC7464" s="20"/>
      <c r="AE7464" s="22"/>
      <c r="AF7464" s="22"/>
    </row>
    <row r="7465" spans="29:32" x14ac:dyDescent="0.2">
      <c r="AC7465" s="20"/>
      <c r="AE7465" s="22"/>
      <c r="AF7465" s="22"/>
    </row>
    <row r="7466" spans="29:32" x14ac:dyDescent="0.2">
      <c r="AC7466" s="20"/>
      <c r="AE7466" s="22"/>
      <c r="AF7466" s="22"/>
    </row>
    <row r="7467" spans="29:32" x14ac:dyDescent="0.2">
      <c r="AC7467" s="20"/>
      <c r="AE7467" s="22"/>
      <c r="AF7467" s="22"/>
    </row>
    <row r="7468" spans="29:32" x14ac:dyDescent="0.2">
      <c r="AC7468" s="20"/>
      <c r="AE7468" s="22"/>
      <c r="AF7468" s="22"/>
    </row>
    <row r="7469" spans="29:32" x14ac:dyDescent="0.2">
      <c r="AC7469" s="20"/>
      <c r="AE7469" s="22"/>
      <c r="AF7469" s="22"/>
    </row>
    <row r="7470" spans="29:32" x14ac:dyDescent="0.2">
      <c r="AC7470" s="20"/>
      <c r="AE7470" s="22"/>
      <c r="AF7470" s="22"/>
    </row>
    <row r="7471" spans="29:32" x14ac:dyDescent="0.2">
      <c r="AC7471" s="20"/>
      <c r="AE7471" s="22"/>
      <c r="AF7471" s="22"/>
    </row>
    <row r="7472" spans="29:32" x14ac:dyDescent="0.2">
      <c r="AC7472" s="20"/>
      <c r="AE7472" s="22"/>
      <c r="AF7472" s="22"/>
    </row>
    <row r="7473" spans="29:32" x14ac:dyDescent="0.2">
      <c r="AC7473" s="20"/>
      <c r="AE7473" s="22"/>
      <c r="AF7473" s="22"/>
    </row>
    <row r="7474" spans="29:32" x14ac:dyDescent="0.2">
      <c r="AC7474" s="20"/>
      <c r="AE7474" s="22"/>
      <c r="AF7474" s="22"/>
    </row>
    <row r="7475" spans="29:32" x14ac:dyDescent="0.2">
      <c r="AC7475" s="20"/>
      <c r="AE7475" s="22"/>
      <c r="AF7475" s="22"/>
    </row>
    <row r="7476" spans="29:32" x14ac:dyDescent="0.2">
      <c r="AC7476" s="20"/>
      <c r="AE7476" s="22"/>
      <c r="AF7476" s="22"/>
    </row>
    <row r="7477" spans="29:32" x14ac:dyDescent="0.2">
      <c r="AC7477" s="20"/>
      <c r="AE7477" s="22"/>
      <c r="AF7477" s="22"/>
    </row>
    <row r="7478" spans="29:32" x14ac:dyDescent="0.2">
      <c r="AC7478" s="20"/>
      <c r="AE7478" s="22"/>
      <c r="AF7478" s="22"/>
    </row>
    <row r="7479" spans="29:32" x14ac:dyDescent="0.2">
      <c r="AC7479" s="20"/>
      <c r="AE7479" s="22"/>
      <c r="AF7479" s="22"/>
    </row>
    <row r="7480" spans="29:32" x14ac:dyDescent="0.2">
      <c r="AC7480" s="20"/>
      <c r="AE7480" s="22"/>
      <c r="AF7480" s="22"/>
    </row>
    <row r="7481" spans="29:32" x14ac:dyDescent="0.2">
      <c r="AC7481" s="20"/>
      <c r="AE7481" s="22"/>
      <c r="AF7481" s="22"/>
    </row>
    <row r="7482" spans="29:32" x14ac:dyDescent="0.2">
      <c r="AC7482" s="20"/>
      <c r="AE7482" s="22"/>
      <c r="AF7482" s="22"/>
    </row>
    <row r="7483" spans="29:32" x14ac:dyDescent="0.2">
      <c r="AC7483" s="20"/>
      <c r="AE7483" s="22"/>
      <c r="AF7483" s="22"/>
    </row>
    <row r="7484" spans="29:32" x14ac:dyDescent="0.2">
      <c r="AC7484" s="20"/>
      <c r="AE7484" s="22"/>
      <c r="AF7484" s="22"/>
    </row>
    <row r="7485" spans="29:32" x14ac:dyDescent="0.2">
      <c r="AC7485" s="20"/>
      <c r="AE7485" s="22"/>
      <c r="AF7485" s="22"/>
    </row>
    <row r="7486" spans="29:32" x14ac:dyDescent="0.2">
      <c r="AC7486" s="20"/>
      <c r="AE7486" s="22"/>
      <c r="AF7486" s="22"/>
    </row>
    <row r="7487" spans="29:32" x14ac:dyDescent="0.2">
      <c r="AC7487" s="20"/>
      <c r="AE7487" s="22"/>
      <c r="AF7487" s="22"/>
    </row>
    <row r="7488" spans="29:32" x14ac:dyDescent="0.2">
      <c r="AC7488" s="20"/>
      <c r="AE7488" s="22"/>
      <c r="AF7488" s="22"/>
    </row>
    <row r="7489" spans="29:32" x14ac:dyDescent="0.2">
      <c r="AC7489" s="20"/>
      <c r="AE7489" s="22"/>
      <c r="AF7489" s="22"/>
    </row>
    <row r="7490" spans="29:32" x14ac:dyDescent="0.2">
      <c r="AC7490" s="20"/>
      <c r="AE7490" s="22"/>
      <c r="AF7490" s="22"/>
    </row>
    <row r="7491" spans="29:32" x14ac:dyDescent="0.2">
      <c r="AC7491" s="20"/>
      <c r="AE7491" s="22"/>
      <c r="AF7491" s="22"/>
    </row>
    <row r="7492" spans="29:32" x14ac:dyDescent="0.2">
      <c r="AC7492" s="20"/>
      <c r="AE7492" s="22"/>
      <c r="AF7492" s="22"/>
    </row>
    <row r="7493" spans="29:32" x14ac:dyDescent="0.2">
      <c r="AC7493" s="20"/>
      <c r="AE7493" s="22"/>
      <c r="AF7493" s="22"/>
    </row>
    <row r="7494" spans="29:32" x14ac:dyDescent="0.2">
      <c r="AC7494" s="20"/>
      <c r="AE7494" s="22"/>
      <c r="AF7494" s="22"/>
    </row>
    <row r="7495" spans="29:32" x14ac:dyDescent="0.2">
      <c r="AC7495" s="20"/>
      <c r="AE7495" s="22"/>
      <c r="AF7495" s="22"/>
    </row>
    <row r="7496" spans="29:32" x14ac:dyDescent="0.2">
      <c r="AC7496" s="20"/>
      <c r="AE7496" s="22"/>
      <c r="AF7496" s="22"/>
    </row>
    <row r="7497" spans="29:32" x14ac:dyDescent="0.2">
      <c r="AC7497" s="20"/>
      <c r="AE7497" s="22"/>
      <c r="AF7497" s="22"/>
    </row>
    <row r="7498" spans="29:32" x14ac:dyDescent="0.2">
      <c r="AC7498" s="20"/>
      <c r="AE7498" s="22"/>
      <c r="AF7498" s="22"/>
    </row>
    <row r="7499" spans="29:32" x14ac:dyDescent="0.2">
      <c r="AC7499" s="20"/>
      <c r="AE7499" s="22"/>
      <c r="AF7499" s="22"/>
    </row>
    <row r="7500" spans="29:32" x14ac:dyDescent="0.2">
      <c r="AC7500" s="20"/>
      <c r="AE7500" s="22"/>
      <c r="AF7500" s="22"/>
    </row>
    <row r="7501" spans="29:32" x14ac:dyDescent="0.2">
      <c r="AC7501" s="20"/>
      <c r="AE7501" s="22"/>
      <c r="AF7501" s="22"/>
    </row>
    <row r="7502" spans="29:32" x14ac:dyDescent="0.2">
      <c r="AC7502" s="20"/>
      <c r="AE7502" s="22"/>
      <c r="AF7502" s="22"/>
    </row>
    <row r="7503" spans="29:32" x14ac:dyDescent="0.2">
      <c r="AC7503" s="20"/>
      <c r="AE7503" s="22"/>
      <c r="AF7503" s="22"/>
    </row>
    <row r="7504" spans="29:32" x14ac:dyDescent="0.2">
      <c r="AC7504" s="20"/>
      <c r="AE7504" s="22"/>
      <c r="AF7504" s="22"/>
    </row>
    <row r="7505" spans="29:32" x14ac:dyDescent="0.2">
      <c r="AC7505" s="20"/>
      <c r="AE7505" s="22"/>
      <c r="AF7505" s="22"/>
    </row>
    <row r="7506" spans="29:32" x14ac:dyDescent="0.2">
      <c r="AC7506" s="20"/>
      <c r="AE7506" s="22"/>
      <c r="AF7506" s="22"/>
    </row>
    <row r="7507" spans="29:32" x14ac:dyDescent="0.2">
      <c r="AC7507" s="20"/>
      <c r="AE7507" s="22"/>
      <c r="AF7507" s="22"/>
    </row>
    <row r="7508" spans="29:32" x14ac:dyDescent="0.2">
      <c r="AC7508" s="20"/>
      <c r="AE7508" s="22"/>
      <c r="AF7508" s="22"/>
    </row>
    <row r="7509" spans="29:32" x14ac:dyDescent="0.2">
      <c r="AC7509" s="20"/>
      <c r="AE7509" s="22"/>
      <c r="AF7509" s="22"/>
    </row>
    <row r="7510" spans="29:32" x14ac:dyDescent="0.2">
      <c r="AC7510" s="20"/>
      <c r="AE7510" s="22"/>
      <c r="AF7510" s="22"/>
    </row>
    <row r="7511" spans="29:32" x14ac:dyDescent="0.2">
      <c r="AC7511" s="20"/>
      <c r="AE7511" s="22"/>
      <c r="AF7511" s="22"/>
    </row>
    <row r="7512" spans="29:32" x14ac:dyDescent="0.2">
      <c r="AC7512" s="20"/>
      <c r="AE7512" s="22"/>
      <c r="AF7512" s="22"/>
    </row>
    <row r="7513" spans="29:32" x14ac:dyDescent="0.2">
      <c r="AC7513" s="20"/>
      <c r="AE7513" s="22"/>
      <c r="AF7513" s="22"/>
    </row>
    <row r="7514" spans="29:32" x14ac:dyDescent="0.2">
      <c r="AC7514" s="20"/>
      <c r="AE7514" s="22"/>
      <c r="AF7514" s="22"/>
    </row>
    <row r="7515" spans="29:32" x14ac:dyDescent="0.2">
      <c r="AC7515" s="20"/>
      <c r="AE7515" s="22"/>
      <c r="AF7515" s="22"/>
    </row>
    <row r="7516" spans="29:32" x14ac:dyDescent="0.2">
      <c r="AC7516" s="20"/>
      <c r="AE7516" s="22"/>
      <c r="AF7516" s="22"/>
    </row>
    <row r="7517" spans="29:32" x14ac:dyDescent="0.2">
      <c r="AC7517" s="20"/>
      <c r="AE7517" s="22"/>
      <c r="AF7517" s="22"/>
    </row>
    <row r="7518" spans="29:32" x14ac:dyDescent="0.2">
      <c r="AC7518" s="20"/>
      <c r="AE7518" s="22"/>
      <c r="AF7518" s="22"/>
    </row>
    <row r="7519" spans="29:32" x14ac:dyDescent="0.2">
      <c r="AC7519" s="20"/>
      <c r="AE7519" s="22"/>
      <c r="AF7519" s="22"/>
    </row>
    <row r="7520" spans="29:32" x14ac:dyDescent="0.2">
      <c r="AC7520" s="20"/>
      <c r="AE7520" s="22"/>
      <c r="AF7520" s="22"/>
    </row>
    <row r="7521" spans="29:32" x14ac:dyDescent="0.2">
      <c r="AC7521" s="20"/>
      <c r="AE7521" s="22"/>
      <c r="AF7521" s="22"/>
    </row>
    <row r="7522" spans="29:32" x14ac:dyDescent="0.2">
      <c r="AC7522" s="20"/>
      <c r="AE7522" s="22"/>
      <c r="AF7522" s="22"/>
    </row>
    <row r="7523" spans="29:32" x14ac:dyDescent="0.2">
      <c r="AC7523" s="20"/>
      <c r="AE7523" s="22"/>
      <c r="AF7523" s="22"/>
    </row>
    <row r="7524" spans="29:32" x14ac:dyDescent="0.2">
      <c r="AC7524" s="20"/>
      <c r="AE7524" s="22"/>
      <c r="AF7524" s="22"/>
    </row>
    <row r="7525" spans="29:32" x14ac:dyDescent="0.2">
      <c r="AC7525" s="20"/>
      <c r="AE7525" s="22"/>
      <c r="AF7525" s="22"/>
    </row>
    <row r="7526" spans="29:32" x14ac:dyDescent="0.2">
      <c r="AC7526" s="20"/>
      <c r="AE7526" s="22"/>
      <c r="AF7526" s="22"/>
    </row>
    <row r="7527" spans="29:32" x14ac:dyDescent="0.2">
      <c r="AC7527" s="20"/>
      <c r="AE7527" s="22"/>
      <c r="AF7527" s="22"/>
    </row>
    <row r="7528" spans="29:32" x14ac:dyDescent="0.2">
      <c r="AC7528" s="20"/>
      <c r="AE7528" s="22"/>
      <c r="AF7528" s="22"/>
    </row>
    <row r="7529" spans="29:32" x14ac:dyDescent="0.2">
      <c r="AC7529" s="20"/>
      <c r="AE7529" s="22"/>
      <c r="AF7529" s="22"/>
    </row>
    <row r="7530" spans="29:32" x14ac:dyDescent="0.2">
      <c r="AC7530" s="20"/>
      <c r="AE7530" s="22"/>
      <c r="AF7530" s="22"/>
    </row>
    <row r="7531" spans="29:32" x14ac:dyDescent="0.2">
      <c r="AC7531" s="20"/>
      <c r="AE7531" s="22"/>
      <c r="AF7531" s="22"/>
    </row>
    <row r="7532" spans="29:32" x14ac:dyDescent="0.2">
      <c r="AC7532" s="20"/>
      <c r="AE7532" s="22"/>
      <c r="AF7532" s="22"/>
    </row>
    <row r="7533" spans="29:32" x14ac:dyDescent="0.2">
      <c r="AC7533" s="20"/>
      <c r="AE7533" s="22"/>
      <c r="AF7533" s="22"/>
    </row>
    <row r="7534" spans="29:32" x14ac:dyDescent="0.2">
      <c r="AC7534" s="20"/>
      <c r="AE7534" s="22"/>
      <c r="AF7534" s="22"/>
    </row>
    <row r="7535" spans="29:32" x14ac:dyDescent="0.2">
      <c r="AC7535" s="20"/>
      <c r="AE7535" s="22"/>
      <c r="AF7535" s="22"/>
    </row>
    <row r="7536" spans="29:32" x14ac:dyDescent="0.2">
      <c r="AC7536" s="20"/>
      <c r="AE7536" s="22"/>
      <c r="AF7536" s="22"/>
    </row>
    <row r="7537" spans="29:32" x14ac:dyDescent="0.2">
      <c r="AC7537" s="20"/>
      <c r="AE7537" s="22"/>
      <c r="AF7537" s="22"/>
    </row>
    <row r="7538" spans="29:32" x14ac:dyDescent="0.2">
      <c r="AC7538" s="20"/>
      <c r="AE7538" s="22"/>
      <c r="AF7538" s="22"/>
    </row>
    <row r="7539" spans="29:32" x14ac:dyDescent="0.2">
      <c r="AC7539" s="20"/>
      <c r="AE7539" s="22"/>
      <c r="AF7539" s="22"/>
    </row>
    <row r="7540" spans="29:32" x14ac:dyDescent="0.2">
      <c r="AC7540" s="20"/>
      <c r="AE7540" s="22"/>
      <c r="AF7540" s="22"/>
    </row>
    <row r="7541" spans="29:32" x14ac:dyDescent="0.2">
      <c r="AC7541" s="20"/>
      <c r="AE7541" s="22"/>
      <c r="AF7541" s="22"/>
    </row>
    <row r="7542" spans="29:32" x14ac:dyDescent="0.2">
      <c r="AC7542" s="20"/>
      <c r="AE7542" s="22"/>
      <c r="AF7542" s="22"/>
    </row>
    <row r="7543" spans="29:32" x14ac:dyDescent="0.2">
      <c r="AC7543" s="20"/>
      <c r="AE7543" s="22"/>
      <c r="AF7543" s="22"/>
    </row>
    <row r="7544" spans="29:32" x14ac:dyDescent="0.2">
      <c r="AC7544" s="20"/>
      <c r="AE7544" s="22"/>
      <c r="AF7544" s="22"/>
    </row>
    <row r="7545" spans="29:32" x14ac:dyDescent="0.2">
      <c r="AC7545" s="20"/>
      <c r="AE7545" s="22"/>
      <c r="AF7545" s="22"/>
    </row>
    <row r="7546" spans="29:32" x14ac:dyDescent="0.2">
      <c r="AC7546" s="20"/>
      <c r="AE7546" s="22"/>
      <c r="AF7546" s="22"/>
    </row>
    <row r="7547" spans="29:32" x14ac:dyDescent="0.2">
      <c r="AC7547" s="20"/>
      <c r="AE7547" s="22"/>
      <c r="AF7547" s="22"/>
    </row>
    <row r="7548" spans="29:32" x14ac:dyDescent="0.2">
      <c r="AC7548" s="20"/>
      <c r="AE7548" s="22"/>
      <c r="AF7548" s="22"/>
    </row>
    <row r="7549" spans="29:32" x14ac:dyDescent="0.2">
      <c r="AC7549" s="20"/>
      <c r="AE7549" s="22"/>
      <c r="AF7549" s="22"/>
    </row>
    <row r="7550" spans="29:32" x14ac:dyDescent="0.2">
      <c r="AC7550" s="20"/>
      <c r="AE7550" s="22"/>
      <c r="AF7550" s="22"/>
    </row>
    <row r="7551" spans="29:32" x14ac:dyDescent="0.2">
      <c r="AC7551" s="20"/>
      <c r="AE7551" s="22"/>
      <c r="AF7551" s="22"/>
    </row>
    <row r="7552" spans="29:32" x14ac:dyDescent="0.2">
      <c r="AC7552" s="20"/>
      <c r="AE7552" s="22"/>
      <c r="AF7552" s="22"/>
    </row>
    <row r="7553" spans="29:32" x14ac:dyDescent="0.2">
      <c r="AC7553" s="20"/>
      <c r="AE7553" s="22"/>
      <c r="AF7553" s="22"/>
    </row>
    <row r="7554" spans="29:32" x14ac:dyDescent="0.2">
      <c r="AC7554" s="20"/>
      <c r="AE7554" s="22"/>
      <c r="AF7554" s="22"/>
    </row>
    <row r="7555" spans="29:32" x14ac:dyDescent="0.2">
      <c r="AC7555" s="20"/>
      <c r="AE7555" s="22"/>
      <c r="AF7555" s="22"/>
    </row>
    <row r="7556" spans="29:32" x14ac:dyDescent="0.2">
      <c r="AC7556" s="20"/>
      <c r="AE7556" s="22"/>
      <c r="AF7556" s="22"/>
    </row>
    <row r="7557" spans="29:32" x14ac:dyDescent="0.2">
      <c r="AC7557" s="20"/>
      <c r="AE7557" s="22"/>
      <c r="AF7557" s="22"/>
    </row>
    <row r="7558" spans="29:32" x14ac:dyDescent="0.2">
      <c r="AC7558" s="20"/>
      <c r="AE7558" s="22"/>
      <c r="AF7558" s="22"/>
    </row>
    <row r="7559" spans="29:32" x14ac:dyDescent="0.2">
      <c r="AC7559" s="20"/>
      <c r="AE7559" s="22"/>
      <c r="AF7559" s="22"/>
    </row>
    <row r="7560" spans="29:32" x14ac:dyDescent="0.2">
      <c r="AC7560" s="20"/>
      <c r="AE7560" s="22"/>
      <c r="AF7560" s="22"/>
    </row>
    <row r="7561" spans="29:32" x14ac:dyDescent="0.2">
      <c r="AC7561" s="20"/>
      <c r="AE7561" s="22"/>
      <c r="AF7561" s="22"/>
    </row>
    <row r="7562" spans="29:32" x14ac:dyDescent="0.2">
      <c r="AC7562" s="20"/>
      <c r="AE7562" s="22"/>
      <c r="AF7562" s="22"/>
    </row>
    <row r="7563" spans="29:32" x14ac:dyDescent="0.2">
      <c r="AC7563" s="20"/>
      <c r="AE7563" s="22"/>
      <c r="AF7563" s="22"/>
    </row>
    <row r="7564" spans="29:32" x14ac:dyDescent="0.2">
      <c r="AC7564" s="20"/>
      <c r="AE7564" s="22"/>
      <c r="AF7564" s="22"/>
    </row>
    <row r="7565" spans="29:32" x14ac:dyDescent="0.2">
      <c r="AC7565" s="20"/>
      <c r="AE7565" s="22"/>
      <c r="AF7565" s="22"/>
    </row>
    <row r="7566" spans="29:32" x14ac:dyDescent="0.2">
      <c r="AC7566" s="20"/>
      <c r="AE7566" s="22"/>
      <c r="AF7566" s="22"/>
    </row>
    <row r="7567" spans="29:32" x14ac:dyDescent="0.2">
      <c r="AC7567" s="20"/>
      <c r="AE7567" s="22"/>
      <c r="AF7567" s="22"/>
    </row>
    <row r="7568" spans="29:32" x14ac:dyDescent="0.2">
      <c r="AC7568" s="20"/>
      <c r="AE7568" s="22"/>
      <c r="AF7568" s="22"/>
    </row>
    <row r="7569" spans="29:32" x14ac:dyDescent="0.2">
      <c r="AC7569" s="20"/>
      <c r="AE7569" s="22"/>
      <c r="AF7569" s="22"/>
    </row>
    <row r="7570" spans="29:32" x14ac:dyDescent="0.2">
      <c r="AC7570" s="20"/>
      <c r="AE7570" s="22"/>
      <c r="AF7570" s="22"/>
    </row>
    <row r="7571" spans="29:32" x14ac:dyDescent="0.2">
      <c r="AC7571" s="20"/>
      <c r="AE7571" s="22"/>
      <c r="AF7571" s="22"/>
    </row>
    <row r="7572" spans="29:32" x14ac:dyDescent="0.2">
      <c r="AC7572" s="20"/>
      <c r="AE7572" s="22"/>
      <c r="AF7572" s="22"/>
    </row>
    <row r="7573" spans="29:32" x14ac:dyDescent="0.2">
      <c r="AC7573" s="20"/>
      <c r="AE7573" s="22"/>
      <c r="AF7573" s="22"/>
    </row>
    <row r="7574" spans="29:32" x14ac:dyDescent="0.2">
      <c r="AC7574" s="20"/>
      <c r="AE7574" s="22"/>
      <c r="AF7574" s="22"/>
    </row>
    <row r="7575" spans="29:32" x14ac:dyDescent="0.2">
      <c r="AC7575" s="20"/>
      <c r="AE7575" s="22"/>
      <c r="AF7575" s="22"/>
    </row>
    <row r="7576" spans="29:32" x14ac:dyDescent="0.2">
      <c r="AC7576" s="20"/>
      <c r="AE7576" s="22"/>
      <c r="AF7576" s="22"/>
    </row>
    <row r="7577" spans="29:32" x14ac:dyDescent="0.2">
      <c r="AC7577" s="20"/>
      <c r="AE7577" s="22"/>
      <c r="AF7577" s="22"/>
    </row>
    <row r="7578" spans="29:32" x14ac:dyDescent="0.2">
      <c r="AC7578" s="20"/>
      <c r="AE7578" s="22"/>
      <c r="AF7578" s="22"/>
    </row>
    <row r="7579" spans="29:32" x14ac:dyDescent="0.2">
      <c r="AC7579" s="20"/>
      <c r="AE7579" s="22"/>
      <c r="AF7579" s="22"/>
    </row>
    <row r="7580" spans="29:32" x14ac:dyDescent="0.2">
      <c r="AC7580" s="20"/>
      <c r="AE7580" s="22"/>
      <c r="AF7580" s="22"/>
    </row>
    <row r="7581" spans="29:32" x14ac:dyDescent="0.2">
      <c r="AC7581" s="20"/>
      <c r="AE7581" s="22"/>
      <c r="AF7581" s="22"/>
    </row>
    <row r="7582" spans="29:32" x14ac:dyDescent="0.2">
      <c r="AC7582" s="20"/>
      <c r="AE7582" s="22"/>
      <c r="AF7582" s="22"/>
    </row>
    <row r="7583" spans="29:32" x14ac:dyDescent="0.2">
      <c r="AC7583" s="20"/>
      <c r="AE7583" s="22"/>
      <c r="AF7583" s="22"/>
    </row>
    <row r="7584" spans="29:32" x14ac:dyDescent="0.2">
      <c r="AC7584" s="20"/>
      <c r="AE7584" s="22"/>
      <c r="AF7584" s="22"/>
    </row>
    <row r="7585" spans="29:32" x14ac:dyDescent="0.2">
      <c r="AC7585" s="20"/>
      <c r="AE7585" s="22"/>
      <c r="AF7585" s="22"/>
    </row>
    <row r="7586" spans="29:32" x14ac:dyDescent="0.2">
      <c r="AC7586" s="20"/>
      <c r="AE7586" s="22"/>
      <c r="AF7586" s="22"/>
    </row>
    <row r="7587" spans="29:32" x14ac:dyDescent="0.2">
      <c r="AC7587" s="20"/>
      <c r="AE7587" s="22"/>
      <c r="AF7587" s="22"/>
    </row>
    <row r="7588" spans="29:32" x14ac:dyDescent="0.2">
      <c r="AC7588" s="20"/>
      <c r="AE7588" s="22"/>
      <c r="AF7588" s="22"/>
    </row>
    <row r="7589" spans="29:32" x14ac:dyDescent="0.2">
      <c r="AC7589" s="20"/>
      <c r="AE7589" s="22"/>
      <c r="AF7589" s="22"/>
    </row>
    <row r="7590" spans="29:32" x14ac:dyDescent="0.2">
      <c r="AC7590" s="20"/>
      <c r="AE7590" s="22"/>
      <c r="AF7590" s="22"/>
    </row>
    <row r="7591" spans="29:32" x14ac:dyDescent="0.2">
      <c r="AC7591" s="20"/>
      <c r="AE7591" s="22"/>
      <c r="AF7591" s="22"/>
    </row>
    <row r="7592" spans="29:32" x14ac:dyDescent="0.2">
      <c r="AC7592" s="20"/>
      <c r="AE7592" s="22"/>
      <c r="AF7592" s="22"/>
    </row>
    <row r="7593" spans="29:32" x14ac:dyDescent="0.2">
      <c r="AC7593" s="20"/>
      <c r="AE7593" s="22"/>
      <c r="AF7593" s="22"/>
    </row>
    <row r="7594" spans="29:32" x14ac:dyDescent="0.2">
      <c r="AC7594" s="20"/>
      <c r="AE7594" s="22"/>
      <c r="AF7594" s="22"/>
    </row>
    <row r="7595" spans="29:32" x14ac:dyDescent="0.2">
      <c r="AC7595" s="20"/>
      <c r="AE7595" s="22"/>
      <c r="AF7595" s="22"/>
    </row>
    <row r="7596" spans="29:32" x14ac:dyDescent="0.2">
      <c r="AC7596" s="20"/>
      <c r="AE7596" s="22"/>
      <c r="AF7596" s="22"/>
    </row>
    <row r="7597" spans="29:32" x14ac:dyDescent="0.2">
      <c r="AC7597" s="20"/>
      <c r="AE7597" s="22"/>
      <c r="AF7597" s="22"/>
    </row>
    <row r="7598" spans="29:32" x14ac:dyDescent="0.2">
      <c r="AC7598" s="20"/>
      <c r="AE7598" s="22"/>
      <c r="AF7598" s="22"/>
    </row>
    <row r="7599" spans="29:32" x14ac:dyDescent="0.2">
      <c r="AC7599" s="20"/>
      <c r="AE7599" s="22"/>
      <c r="AF7599" s="22"/>
    </row>
    <row r="7600" spans="29:32" x14ac:dyDescent="0.2">
      <c r="AC7600" s="20"/>
      <c r="AE7600" s="22"/>
      <c r="AF7600" s="22"/>
    </row>
    <row r="7601" spans="29:32" x14ac:dyDescent="0.2">
      <c r="AC7601" s="20"/>
      <c r="AE7601" s="22"/>
      <c r="AF7601" s="22"/>
    </row>
    <row r="7602" spans="29:32" x14ac:dyDescent="0.2">
      <c r="AC7602" s="20"/>
      <c r="AE7602" s="22"/>
      <c r="AF7602" s="22"/>
    </row>
    <row r="7603" spans="29:32" x14ac:dyDescent="0.2">
      <c r="AC7603" s="20"/>
      <c r="AE7603" s="22"/>
      <c r="AF7603" s="22"/>
    </row>
    <row r="7604" spans="29:32" x14ac:dyDescent="0.2">
      <c r="AC7604" s="20"/>
      <c r="AE7604" s="22"/>
      <c r="AF7604" s="22"/>
    </row>
    <row r="7605" spans="29:32" x14ac:dyDescent="0.2">
      <c r="AC7605" s="20"/>
      <c r="AE7605" s="22"/>
      <c r="AF7605" s="22"/>
    </row>
    <row r="7606" spans="29:32" x14ac:dyDescent="0.2">
      <c r="AC7606" s="20"/>
      <c r="AE7606" s="22"/>
      <c r="AF7606" s="22"/>
    </row>
    <row r="7607" spans="29:32" x14ac:dyDescent="0.2">
      <c r="AC7607" s="20"/>
      <c r="AE7607" s="22"/>
      <c r="AF7607" s="22"/>
    </row>
    <row r="7608" spans="29:32" x14ac:dyDescent="0.2">
      <c r="AC7608" s="20"/>
      <c r="AE7608" s="22"/>
      <c r="AF7608" s="22"/>
    </row>
    <row r="7609" spans="29:32" x14ac:dyDescent="0.2">
      <c r="AC7609" s="20"/>
      <c r="AE7609" s="22"/>
      <c r="AF7609" s="22"/>
    </row>
    <row r="7610" spans="29:32" x14ac:dyDescent="0.2">
      <c r="AC7610" s="20"/>
      <c r="AE7610" s="22"/>
      <c r="AF7610" s="22"/>
    </row>
    <row r="7611" spans="29:32" x14ac:dyDescent="0.2">
      <c r="AC7611" s="20"/>
      <c r="AE7611" s="22"/>
      <c r="AF7611" s="22"/>
    </row>
    <row r="7612" spans="29:32" x14ac:dyDescent="0.2">
      <c r="AC7612" s="20"/>
      <c r="AE7612" s="22"/>
      <c r="AF7612" s="22"/>
    </row>
    <row r="7613" spans="29:32" x14ac:dyDescent="0.2">
      <c r="AC7613" s="20"/>
      <c r="AE7613" s="22"/>
      <c r="AF7613" s="22"/>
    </row>
    <row r="7614" spans="29:32" x14ac:dyDescent="0.2">
      <c r="AC7614" s="20"/>
      <c r="AE7614" s="22"/>
      <c r="AF7614" s="22"/>
    </row>
    <row r="7615" spans="29:32" x14ac:dyDescent="0.2">
      <c r="AC7615" s="20"/>
      <c r="AE7615" s="22"/>
      <c r="AF7615" s="22"/>
    </row>
    <row r="7616" spans="29:32" x14ac:dyDescent="0.2">
      <c r="AC7616" s="20"/>
      <c r="AE7616" s="22"/>
      <c r="AF7616" s="22"/>
    </row>
    <row r="7617" spans="29:32" x14ac:dyDescent="0.2">
      <c r="AC7617" s="20"/>
      <c r="AE7617" s="22"/>
      <c r="AF7617" s="22"/>
    </row>
    <row r="7618" spans="29:32" x14ac:dyDescent="0.2">
      <c r="AC7618" s="20"/>
      <c r="AE7618" s="22"/>
      <c r="AF7618" s="22"/>
    </row>
    <row r="7619" spans="29:32" x14ac:dyDescent="0.2">
      <c r="AC7619" s="20"/>
      <c r="AE7619" s="22"/>
      <c r="AF7619" s="22"/>
    </row>
    <row r="7620" spans="29:32" x14ac:dyDescent="0.2">
      <c r="AC7620" s="20"/>
      <c r="AE7620" s="22"/>
      <c r="AF7620" s="22"/>
    </row>
    <row r="7621" spans="29:32" x14ac:dyDescent="0.2">
      <c r="AC7621" s="20"/>
      <c r="AE7621" s="22"/>
      <c r="AF7621" s="22"/>
    </row>
    <row r="7622" spans="29:32" x14ac:dyDescent="0.2">
      <c r="AC7622" s="20"/>
      <c r="AE7622" s="22"/>
      <c r="AF7622" s="22"/>
    </row>
    <row r="7623" spans="29:32" x14ac:dyDescent="0.2">
      <c r="AC7623" s="20"/>
      <c r="AE7623" s="22"/>
      <c r="AF7623" s="22"/>
    </row>
    <row r="7624" spans="29:32" x14ac:dyDescent="0.2">
      <c r="AC7624" s="20"/>
      <c r="AE7624" s="22"/>
      <c r="AF7624" s="22"/>
    </row>
    <row r="7625" spans="29:32" x14ac:dyDescent="0.2">
      <c r="AC7625" s="20"/>
      <c r="AE7625" s="22"/>
      <c r="AF7625" s="22"/>
    </row>
    <row r="7626" spans="29:32" x14ac:dyDescent="0.2">
      <c r="AC7626" s="20"/>
      <c r="AE7626" s="22"/>
      <c r="AF7626" s="22"/>
    </row>
    <row r="7627" spans="29:32" x14ac:dyDescent="0.2">
      <c r="AC7627" s="20"/>
      <c r="AE7627" s="22"/>
      <c r="AF7627" s="22"/>
    </row>
    <row r="7628" spans="29:32" x14ac:dyDescent="0.2">
      <c r="AC7628" s="20"/>
      <c r="AE7628" s="22"/>
      <c r="AF7628" s="22"/>
    </row>
    <row r="7629" spans="29:32" x14ac:dyDescent="0.2">
      <c r="AC7629" s="20"/>
      <c r="AE7629" s="22"/>
      <c r="AF7629" s="22"/>
    </row>
    <row r="7630" spans="29:32" x14ac:dyDescent="0.2">
      <c r="AC7630" s="20"/>
      <c r="AE7630" s="22"/>
      <c r="AF7630" s="22"/>
    </row>
    <row r="7631" spans="29:32" x14ac:dyDescent="0.2">
      <c r="AC7631" s="20"/>
      <c r="AE7631" s="22"/>
      <c r="AF7631" s="22"/>
    </row>
    <row r="7632" spans="29:32" x14ac:dyDescent="0.2">
      <c r="AC7632" s="20"/>
      <c r="AE7632" s="22"/>
      <c r="AF7632" s="22"/>
    </row>
    <row r="7633" spans="29:32" x14ac:dyDescent="0.2">
      <c r="AC7633" s="20"/>
      <c r="AE7633" s="22"/>
      <c r="AF7633" s="22"/>
    </row>
    <row r="7634" spans="29:32" x14ac:dyDescent="0.2">
      <c r="AC7634" s="20"/>
      <c r="AE7634" s="22"/>
      <c r="AF7634" s="22"/>
    </row>
    <row r="7635" spans="29:32" x14ac:dyDescent="0.2">
      <c r="AC7635" s="20"/>
      <c r="AE7635" s="22"/>
      <c r="AF7635" s="22"/>
    </row>
    <row r="7636" spans="29:32" x14ac:dyDescent="0.2">
      <c r="AC7636" s="20"/>
      <c r="AE7636" s="22"/>
      <c r="AF7636" s="22"/>
    </row>
    <row r="7637" spans="29:32" x14ac:dyDescent="0.2">
      <c r="AC7637" s="20"/>
      <c r="AE7637" s="22"/>
      <c r="AF7637" s="22"/>
    </row>
    <row r="7638" spans="29:32" x14ac:dyDescent="0.2">
      <c r="AC7638" s="20"/>
      <c r="AE7638" s="22"/>
      <c r="AF7638" s="22"/>
    </row>
    <row r="7639" spans="29:32" x14ac:dyDescent="0.2">
      <c r="AC7639" s="20"/>
      <c r="AE7639" s="22"/>
      <c r="AF7639" s="22"/>
    </row>
    <row r="7640" spans="29:32" x14ac:dyDescent="0.2">
      <c r="AC7640" s="20"/>
      <c r="AE7640" s="22"/>
      <c r="AF7640" s="22"/>
    </row>
    <row r="7641" spans="29:32" x14ac:dyDescent="0.2">
      <c r="AC7641" s="20"/>
      <c r="AE7641" s="22"/>
      <c r="AF7641" s="22"/>
    </row>
    <row r="7642" spans="29:32" x14ac:dyDescent="0.2">
      <c r="AC7642" s="20"/>
      <c r="AE7642" s="22"/>
      <c r="AF7642" s="22"/>
    </row>
    <row r="7643" spans="29:32" x14ac:dyDescent="0.2">
      <c r="AC7643" s="20"/>
      <c r="AE7643" s="22"/>
      <c r="AF7643" s="22"/>
    </row>
    <row r="7644" spans="29:32" x14ac:dyDescent="0.2">
      <c r="AC7644" s="20"/>
      <c r="AE7644" s="22"/>
      <c r="AF7644" s="22"/>
    </row>
    <row r="7645" spans="29:32" x14ac:dyDescent="0.2">
      <c r="AC7645" s="20"/>
      <c r="AE7645" s="22"/>
      <c r="AF7645" s="22"/>
    </row>
    <row r="7646" spans="29:32" x14ac:dyDescent="0.2">
      <c r="AC7646" s="20"/>
      <c r="AE7646" s="22"/>
      <c r="AF7646" s="22"/>
    </row>
    <row r="7647" spans="29:32" x14ac:dyDescent="0.2">
      <c r="AC7647" s="20"/>
      <c r="AE7647" s="22"/>
      <c r="AF7647" s="22"/>
    </row>
    <row r="7648" spans="29:32" x14ac:dyDescent="0.2">
      <c r="AC7648" s="20"/>
      <c r="AE7648" s="22"/>
      <c r="AF7648" s="22"/>
    </row>
    <row r="7649" spans="29:32" x14ac:dyDescent="0.2">
      <c r="AC7649" s="20"/>
      <c r="AE7649" s="22"/>
      <c r="AF7649" s="22"/>
    </row>
    <row r="7650" spans="29:32" x14ac:dyDescent="0.2">
      <c r="AC7650" s="20"/>
      <c r="AE7650" s="22"/>
      <c r="AF7650" s="22"/>
    </row>
    <row r="7651" spans="29:32" x14ac:dyDescent="0.2">
      <c r="AC7651" s="20"/>
      <c r="AE7651" s="22"/>
      <c r="AF7651" s="22"/>
    </row>
    <row r="7652" spans="29:32" x14ac:dyDescent="0.2">
      <c r="AC7652" s="20"/>
      <c r="AE7652" s="22"/>
      <c r="AF7652" s="22"/>
    </row>
    <row r="7653" spans="29:32" x14ac:dyDescent="0.2">
      <c r="AC7653" s="20"/>
      <c r="AE7653" s="22"/>
      <c r="AF7653" s="22"/>
    </row>
    <row r="7654" spans="29:32" x14ac:dyDescent="0.2">
      <c r="AC7654" s="20"/>
      <c r="AE7654" s="22"/>
      <c r="AF7654" s="22"/>
    </row>
    <row r="7655" spans="29:32" x14ac:dyDescent="0.2">
      <c r="AC7655" s="20"/>
      <c r="AE7655" s="22"/>
      <c r="AF7655" s="22"/>
    </row>
    <row r="7656" spans="29:32" x14ac:dyDescent="0.2">
      <c r="AC7656" s="20"/>
      <c r="AE7656" s="22"/>
      <c r="AF7656" s="22"/>
    </row>
    <row r="7657" spans="29:32" x14ac:dyDescent="0.2">
      <c r="AC7657" s="20"/>
      <c r="AE7657" s="22"/>
      <c r="AF7657" s="22"/>
    </row>
    <row r="7658" spans="29:32" x14ac:dyDescent="0.2">
      <c r="AC7658" s="20"/>
      <c r="AE7658" s="22"/>
      <c r="AF7658" s="22"/>
    </row>
    <row r="7659" spans="29:32" x14ac:dyDescent="0.2">
      <c r="AC7659" s="20"/>
      <c r="AE7659" s="22"/>
      <c r="AF7659" s="22"/>
    </row>
    <row r="7660" spans="29:32" x14ac:dyDescent="0.2">
      <c r="AC7660" s="20"/>
      <c r="AE7660" s="22"/>
      <c r="AF7660" s="22"/>
    </row>
    <row r="7661" spans="29:32" x14ac:dyDescent="0.2">
      <c r="AC7661" s="20"/>
      <c r="AE7661" s="22"/>
      <c r="AF7661" s="22"/>
    </row>
    <row r="7662" spans="29:32" x14ac:dyDescent="0.2">
      <c r="AC7662" s="20"/>
      <c r="AE7662" s="22"/>
      <c r="AF7662" s="22"/>
    </row>
    <row r="7663" spans="29:32" x14ac:dyDescent="0.2">
      <c r="AC7663" s="20"/>
      <c r="AE7663" s="22"/>
      <c r="AF7663" s="22"/>
    </row>
    <row r="7664" spans="29:32" x14ac:dyDescent="0.2">
      <c r="AC7664" s="20"/>
      <c r="AE7664" s="22"/>
      <c r="AF7664" s="22"/>
    </row>
    <row r="7665" spans="29:32" x14ac:dyDescent="0.2">
      <c r="AC7665" s="20"/>
      <c r="AE7665" s="22"/>
      <c r="AF7665" s="22"/>
    </row>
    <row r="7666" spans="29:32" x14ac:dyDescent="0.2">
      <c r="AC7666" s="20"/>
      <c r="AE7666" s="22"/>
      <c r="AF7666" s="22"/>
    </row>
    <row r="7667" spans="29:32" x14ac:dyDescent="0.2">
      <c r="AC7667" s="20"/>
      <c r="AE7667" s="22"/>
      <c r="AF7667" s="22"/>
    </row>
    <row r="7668" spans="29:32" x14ac:dyDescent="0.2">
      <c r="AC7668" s="20"/>
      <c r="AE7668" s="22"/>
      <c r="AF7668" s="22"/>
    </row>
    <row r="7669" spans="29:32" x14ac:dyDescent="0.2">
      <c r="AC7669" s="20"/>
      <c r="AE7669" s="22"/>
      <c r="AF7669" s="22"/>
    </row>
    <row r="7670" spans="29:32" x14ac:dyDescent="0.2">
      <c r="AC7670" s="20"/>
      <c r="AE7670" s="22"/>
      <c r="AF7670" s="22"/>
    </row>
    <row r="7671" spans="29:32" x14ac:dyDescent="0.2">
      <c r="AC7671" s="20"/>
      <c r="AE7671" s="22"/>
      <c r="AF7671" s="22"/>
    </row>
    <row r="7672" spans="29:32" x14ac:dyDescent="0.2">
      <c r="AC7672" s="20"/>
      <c r="AE7672" s="22"/>
      <c r="AF7672" s="22"/>
    </row>
    <row r="7673" spans="29:32" x14ac:dyDescent="0.2">
      <c r="AC7673" s="20"/>
      <c r="AE7673" s="22"/>
      <c r="AF7673" s="22"/>
    </row>
    <row r="7674" spans="29:32" x14ac:dyDescent="0.2">
      <c r="AC7674" s="20"/>
      <c r="AE7674" s="22"/>
      <c r="AF7674" s="22"/>
    </row>
    <row r="7675" spans="29:32" x14ac:dyDescent="0.2">
      <c r="AC7675" s="20"/>
      <c r="AE7675" s="22"/>
      <c r="AF7675" s="22"/>
    </row>
    <row r="7676" spans="29:32" x14ac:dyDescent="0.2">
      <c r="AC7676" s="20"/>
      <c r="AE7676" s="22"/>
      <c r="AF7676" s="22"/>
    </row>
    <row r="7677" spans="29:32" x14ac:dyDescent="0.2">
      <c r="AC7677" s="20"/>
      <c r="AE7677" s="22"/>
      <c r="AF7677" s="22"/>
    </row>
    <row r="7678" spans="29:32" x14ac:dyDescent="0.2">
      <c r="AC7678" s="20"/>
      <c r="AE7678" s="22"/>
      <c r="AF7678" s="22"/>
    </row>
    <row r="7679" spans="29:32" x14ac:dyDescent="0.2">
      <c r="AC7679" s="20"/>
      <c r="AE7679" s="22"/>
      <c r="AF7679" s="22"/>
    </row>
    <row r="7680" spans="29:32" x14ac:dyDescent="0.2">
      <c r="AC7680" s="20"/>
      <c r="AE7680" s="22"/>
      <c r="AF7680" s="22"/>
    </row>
    <row r="7681" spans="29:32" x14ac:dyDescent="0.2">
      <c r="AC7681" s="20"/>
      <c r="AE7681" s="22"/>
      <c r="AF7681" s="22"/>
    </row>
    <row r="7682" spans="29:32" x14ac:dyDescent="0.2">
      <c r="AC7682" s="20"/>
      <c r="AE7682" s="22"/>
      <c r="AF7682" s="22"/>
    </row>
    <row r="7683" spans="29:32" x14ac:dyDescent="0.2">
      <c r="AC7683" s="20"/>
      <c r="AE7683" s="22"/>
      <c r="AF7683" s="22"/>
    </row>
    <row r="7684" spans="29:32" x14ac:dyDescent="0.2">
      <c r="AC7684" s="20"/>
      <c r="AE7684" s="22"/>
      <c r="AF7684" s="22"/>
    </row>
    <row r="7685" spans="29:32" x14ac:dyDescent="0.2">
      <c r="AC7685" s="20"/>
      <c r="AE7685" s="22"/>
      <c r="AF7685" s="22"/>
    </row>
    <row r="7686" spans="29:32" x14ac:dyDescent="0.2">
      <c r="AC7686" s="20"/>
      <c r="AE7686" s="22"/>
      <c r="AF7686" s="22"/>
    </row>
    <row r="7687" spans="29:32" x14ac:dyDescent="0.2">
      <c r="AC7687" s="20"/>
      <c r="AE7687" s="22"/>
      <c r="AF7687" s="22"/>
    </row>
    <row r="7688" spans="29:32" x14ac:dyDescent="0.2">
      <c r="AC7688" s="20"/>
      <c r="AE7688" s="22"/>
      <c r="AF7688" s="22"/>
    </row>
    <row r="7689" spans="29:32" x14ac:dyDescent="0.2">
      <c r="AC7689" s="20"/>
      <c r="AE7689" s="22"/>
      <c r="AF7689" s="22"/>
    </row>
    <row r="7690" spans="29:32" x14ac:dyDescent="0.2">
      <c r="AC7690" s="20"/>
      <c r="AE7690" s="22"/>
      <c r="AF7690" s="22"/>
    </row>
    <row r="7691" spans="29:32" x14ac:dyDescent="0.2">
      <c r="AC7691" s="20"/>
      <c r="AE7691" s="22"/>
      <c r="AF7691" s="22"/>
    </row>
    <row r="7692" spans="29:32" x14ac:dyDescent="0.2">
      <c r="AC7692" s="20"/>
      <c r="AE7692" s="22"/>
      <c r="AF7692" s="22"/>
    </row>
    <row r="7693" spans="29:32" x14ac:dyDescent="0.2">
      <c r="AC7693" s="20"/>
      <c r="AE7693" s="22"/>
      <c r="AF7693" s="22"/>
    </row>
    <row r="7694" spans="29:32" x14ac:dyDescent="0.2">
      <c r="AC7694" s="20"/>
      <c r="AE7694" s="22"/>
      <c r="AF7694" s="22"/>
    </row>
    <row r="7695" spans="29:32" x14ac:dyDescent="0.2">
      <c r="AC7695" s="20"/>
      <c r="AE7695" s="22"/>
      <c r="AF7695" s="22"/>
    </row>
    <row r="7696" spans="29:32" x14ac:dyDescent="0.2">
      <c r="AC7696" s="20"/>
      <c r="AE7696" s="22"/>
      <c r="AF7696" s="22"/>
    </row>
    <row r="7697" spans="29:32" x14ac:dyDescent="0.2">
      <c r="AC7697" s="20"/>
      <c r="AE7697" s="22"/>
      <c r="AF7697" s="22"/>
    </row>
    <row r="7698" spans="29:32" x14ac:dyDescent="0.2">
      <c r="AC7698" s="20"/>
      <c r="AE7698" s="22"/>
      <c r="AF7698" s="22"/>
    </row>
    <row r="7699" spans="29:32" x14ac:dyDescent="0.2">
      <c r="AC7699" s="20"/>
      <c r="AE7699" s="22"/>
      <c r="AF7699" s="22"/>
    </row>
    <row r="7700" spans="29:32" x14ac:dyDescent="0.2">
      <c r="AC7700" s="20"/>
      <c r="AE7700" s="22"/>
      <c r="AF7700" s="22"/>
    </row>
    <row r="7701" spans="29:32" x14ac:dyDescent="0.2">
      <c r="AC7701" s="20"/>
      <c r="AE7701" s="22"/>
      <c r="AF7701" s="22"/>
    </row>
    <row r="7702" spans="29:32" x14ac:dyDescent="0.2">
      <c r="AC7702" s="20"/>
      <c r="AE7702" s="22"/>
      <c r="AF7702" s="22"/>
    </row>
    <row r="7703" spans="29:32" x14ac:dyDescent="0.2">
      <c r="AC7703" s="20"/>
      <c r="AE7703" s="22"/>
      <c r="AF7703" s="22"/>
    </row>
    <row r="7704" spans="29:32" x14ac:dyDescent="0.2">
      <c r="AC7704" s="20"/>
      <c r="AE7704" s="22"/>
      <c r="AF7704" s="22"/>
    </row>
    <row r="7705" spans="29:32" x14ac:dyDescent="0.2">
      <c r="AC7705" s="20"/>
      <c r="AE7705" s="22"/>
      <c r="AF7705" s="22"/>
    </row>
    <row r="7706" spans="29:32" x14ac:dyDescent="0.2">
      <c r="AC7706" s="20"/>
      <c r="AE7706" s="22"/>
      <c r="AF7706" s="22"/>
    </row>
    <row r="7707" spans="29:32" x14ac:dyDescent="0.2">
      <c r="AC7707" s="20"/>
      <c r="AE7707" s="22"/>
      <c r="AF7707" s="22"/>
    </row>
    <row r="7708" spans="29:32" x14ac:dyDescent="0.2">
      <c r="AC7708" s="20"/>
      <c r="AE7708" s="22"/>
      <c r="AF7708" s="22"/>
    </row>
    <row r="7709" spans="29:32" x14ac:dyDescent="0.2">
      <c r="AC7709" s="20"/>
      <c r="AE7709" s="22"/>
      <c r="AF7709" s="22"/>
    </row>
    <row r="7710" spans="29:32" x14ac:dyDescent="0.2">
      <c r="AC7710" s="20"/>
      <c r="AE7710" s="22"/>
      <c r="AF7710" s="22"/>
    </row>
    <row r="7711" spans="29:32" x14ac:dyDescent="0.2">
      <c r="AC7711" s="20"/>
      <c r="AE7711" s="22"/>
      <c r="AF7711" s="22"/>
    </row>
    <row r="7712" spans="29:32" x14ac:dyDescent="0.2">
      <c r="AC7712" s="20"/>
      <c r="AE7712" s="22"/>
      <c r="AF7712" s="22"/>
    </row>
    <row r="7713" spans="29:32" x14ac:dyDescent="0.2">
      <c r="AC7713" s="20"/>
      <c r="AE7713" s="22"/>
      <c r="AF7713" s="22"/>
    </row>
    <row r="7714" spans="29:32" x14ac:dyDescent="0.2">
      <c r="AC7714" s="20"/>
      <c r="AE7714" s="22"/>
      <c r="AF7714" s="22"/>
    </row>
    <row r="7715" spans="29:32" x14ac:dyDescent="0.2">
      <c r="AC7715" s="20"/>
      <c r="AE7715" s="22"/>
      <c r="AF7715" s="22"/>
    </row>
    <row r="7716" spans="29:32" x14ac:dyDescent="0.2">
      <c r="AC7716" s="20"/>
      <c r="AE7716" s="22"/>
      <c r="AF7716" s="22"/>
    </row>
    <row r="7717" spans="29:32" x14ac:dyDescent="0.2">
      <c r="AC7717" s="20"/>
      <c r="AE7717" s="22"/>
      <c r="AF7717" s="22"/>
    </row>
    <row r="7718" spans="29:32" x14ac:dyDescent="0.2">
      <c r="AC7718" s="20"/>
      <c r="AE7718" s="22"/>
      <c r="AF7718" s="22"/>
    </row>
    <row r="7719" spans="29:32" x14ac:dyDescent="0.2">
      <c r="AC7719" s="20"/>
      <c r="AE7719" s="22"/>
      <c r="AF7719" s="22"/>
    </row>
    <row r="7720" spans="29:32" x14ac:dyDescent="0.2">
      <c r="AC7720" s="20"/>
      <c r="AE7720" s="22"/>
      <c r="AF7720" s="22"/>
    </row>
    <row r="7721" spans="29:32" x14ac:dyDescent="0.2">
      <c r="AC7721" s="20"/>
      <c r="AE7721" s="22"/>
      <c r="AF7721" s="22"/>
    </row>
    <row r="7722" spans="29:32" x14ac:dyDescent="0.2">
      <c r="AC7722" s="20"/>
      <c r="AE7722" s="22"/>
      <c r="AF7722" s="22"/>
    </row>
    <row r="7723" spans="29:32" x14ac:dyDescent="0.2">
      <c r="AC7723" s="20"/>
      <c r="AE7723" s="22"/>
      <c r="AF7723" s="22"/>
    </row>
    <row r="7724" spans="29:32" x14ac:dyDescent="0.2">
      <c r="AC7724" s="20"/>
      <c r="AE7724" s="22"/>
      <c r="AF7724" s="22"/>
    </row>
    <row r="7725" spans="29:32" x14ac:dyDescent="0.2">
      <c r="AC7725" s="20"/>
      <c r="AE7725" s="22"/>
      <c r="AF7725" s="22"/>
    </row>
    <row r="7726" spans="29:32" x14ac:dyDescent="0.2">
      <c r="AC7726" s="20"/>
      <c r="AE7726" s="22"/>
      <c r="AF7726" s="22"/>
    </row>
    <row r="7727" spans="29:32" x14ac:dyDescent="0.2">
      <c r="AC7727" s="20"/>
      <c r="AE7727" s="22"/>
      <c r="AF7727" s="22"/>
    </row>
    <row r="7728" spans="29:32" x14ac:dyDescent="0.2">
      <c r="AC7728" s="20"/>
      <c r="AE7728" s="22"/>
      <c r="AF7728" s="22"/>
    </row>
    <row r="7729" spans="29:32" x14ac:dyDescent="0.2">
      <c r="AC7729" s="20"/>
      <c r="AE7729" s="22"/>
      <c r="AF7729" s="22"/>
    </row>
    <row r="7730" spans="29:32" x14ac:dyDescent="0.2">
      <c r="AC7730" s="20"/>
      <c r="AE7730" s="22"/>
      <c r="AF7730" s="22"/>
    </row>
    <row r="7731" spans="29:32" x14ac:dyDescent="0.2">
      <c r="AC7731" s="20"/>
      <c r="AE7731" s="22"/>
      <c r="AF7731" s="22"/>
    </row>
    <row r="7732" spans="29:32" x14ac:dyDescent="0.2">
      <c r="AC7732" s="20"/>
      <c r="AE7732" s="22"/>
      <c r="AF7732" s="22"/>
    </row>
    <row r="7733" spans="29:32" x14ac:dyDescent="0.2">
      <c r="AC7733" s="20"/>
      <c r="AE7733" s="22"/>
      <c r="AF7733" s="22"/>
    </row>
    <row r="7734" spans="29:32" x14ac:dyDescent="0.2">
      <c r="AC7734" s="20"/>
      <c r="AE7734" s="22"/>
      <c r="AF7734" s="22"/>
    </row>
    <row r="7735" spans="29:32" x14ac:dyDescent="0.2">
      <c r="AC7735" s="20"/>
      <c r="AE7735" s="22"/>
      <c r="AF7735" s="22"/>
    </row>
    <row r="7736" spans="29:32" x14ac:dyDescent="0.2">
      <c r="AC7736" s="20"/>
      <c r="AE7736" s="22"/>
      <c r="AF7736" s="22"/>
    </row>
    <row r="7737" spans="29:32" x14ac:dyDescent="0.2">
      <c r="AC7737" s="20"/>
      <c r="AE7737" s="22"/>
      <c r="AF7737" s="22"/>
    </row>
    <row r="7738" spans="29:32" x14ac:dyDescent="0.2">
      <c r="AC7738" s="20"/>
      <c r="AE7738" s="22"/>
      <c r="AF7738" s="22"/>
    </row>
    <row r="7739" spans="29:32" x14ac:dyDescent="0.2">
      <c r="AC7739" s="20"/>
      <c r="AE7739" s="22"/>
      <c r="AF7739" s="22"/>
    </row>
    <row r="7740" spans="29:32" x14ac:dyDescent="0.2">
      <c r="AC7740" s="20"/>
      <c r="AE7740" s="22"/>
      <c r="AF7740" s="22"/>
    </row>
    <row r="7741" spans="29:32" x14ac:dyDescent="0.2">
      <c r="AC7741" s="20"/>
      <c r="AE7741" s="22"/>
      <c r="AF7741" s="22"/>
    </row>
    <row r="7742" spans="29:32" x14ac:dyDescent="0.2">
      <c r="AC7742" s="20"/>
      <c r="AE7742" s="22"/>
      <c r="AF7742" s="22"/>
    </row>
    <row r="7743" spans="29:32" x14ac:dyDescent="0.2">
      <c r="AC7743" s="20"/>
      <c r="AE7743" s="22"/>
      <c r="AF7743" s="22"/>
    </row>
    <row r="7744" spans="29:32" x14ac:dyDescent="0.2">
      <c r="AC7744" s="20"/>
      <c r="AE7744" s="22"/>
      <c r="AF7744" s="22"/>
    </row>
    <row r="7745" spans="29:32" x14ac:dyDescent="0.2">
      <c r="AC7745" s="20"/>
      <c r="AE7745" s="22"/>
      <c r="AF7745" s="22"/>
    </row>
    <row r="7746" spans="29:32" x14ac:dyDescent="0.2">
      <c r="AC7746" s="20"/>
      <c r="AE7746" s="22"/>
      <c r="AF7746" s="22"/>
    </row>
    <row r="7747" spans="29:32" x14ac:dyDescent="0.2">
      <c r="AC7747" s="20"/>
      <c r="AE7747" s="22"/>
      <c r="AF7747" s="22"/>
    </row>
    <row r="7748" spans="29:32" x14ac:dyDescent="0.2">
      <c r="AC7748" s="20"/>
      <c r="AE7748" s="22"/>
      <c r="AF7748" s="22"/>
    </row>
    <row r="7749" spans="29:32" x14ac:dyDescent="0.2">
      <c r="AC7749" s="20"/>
      <c r="AE7749" s="22"/>
      <c r="AF7749" s="22"/>
    </row>
    <row r="7750" spans="29:32" x14ac:dyDescent="0.2">
      <c r="AC7750" s="20"/>
      <c r="AE7750" s="22"/>
      <c r="AF7750" s="22"/>
    </row>
    <row r="7751" spans="29:32" x14ac:dyDescent="0.2">
      <c r="AC7751" s="20"/>
      <c r="AE7751" s="22"/>
      <c r="AF7751" s="22"/>
    </row>
    <row r="7752" spans="29:32" x14ac:dyDescent="0.2">
      <c r="AC7752" s="20"/>
      <c r="AE7752" s="22"/>
      <c r="AF7752" s="22"/>
    </row>
    <row r="7753" spans="29:32" x14ac:dyDescent="0.2">
      <c r="AC7753" s="20"/>
      <c r="AE7753" s="22"/>
      <c r="AF7753" s="22"/>
    </row>
    <row r="7754" spans="29:32" x14ac:dyDescent="0.2">
      <c r="AC7754" s="20"/>
      <c r="AE7754" s="22"/>
      <c r="AF7754" s="22"/>
    </row>
    <row r="7755" spans="29:32" x14ac:dyDescent="0.2">
      <c r="AC7755" s="20"/>
      <c r="AE7755" s="22"/>
      <c r="AF7755" s="22"/>
    </row>
    <row r="7756" spans="29:32" x14ac:dyDescent="0.2">
      <c r="AC7756" s="20"/>
      <c r="AE7756" s="22"/>
      <c r="AF7756" s="22"/>
    </row>
    <row r="7757" spans="29:32" x14ac:dyDescent="0.2">
      <c r="AC7757" s="20"/>
      <c r="AE7757" s="22"/>
      <c r="AF7757" s="22"/>
    </row>
    <row r="7758" spans="29:32" x14ac:dyDescent="0.2">
      <c r="AC7758" s="20"/>
      <c r="AE7758" s="22"/>
      <c r="AF7758" s="22"/>
    </row>
    <row r="7759" spans="29:32" x14ac:dyDescent="0.2">
      <c r="AC7759" s="20"/>
      <c r="AE7759" s="22"/>
      <c r="AF7759" s="22"/>
    </row>
    <row r="7760" spans="29:32" x14ac:dyDescent="0.2">
      <c r="AC7760" s="20"/>
      <c r="AE7760" s="22"/>
      <c r="AF7760" s="22"/>
    </row>
    <row r="7761" spans="29:32" x14ac:dyDescent="0.2">
      <c r="AC7761" s="20"/>
      <c r="AE7761" s="22"/>
      <c r="AF7761" s="22"/>
    </row>
    <row r="7762" spans="29:32" x14ac:dyDescent="0.2">
      <c r="AC7762" s="20"/>
      <c r="AE7762" s="22"/>
      <c r="AF7762" s="22"/>
    </row>
    <row r="7763" spans="29:32" x14ac:dyDescent="0.2">
      <c r="AC7763" s="20"/>
      <c r="AE7763" s="22"/>
      <c r="AF7763" s="22"/>
    </row>
    <row r="7764" spans="29:32" x14ac:dyDescent="0.2">
      <c r="AC7764" s="20"/>
      <c r="AE7764" s="22"/>
      <c r="AF7764" s="22"/>
    </row>
    <row r="7765" spans="29:32" x14ac:dyDescent="0.2">
      <c r="AC7765" s="20"/>
      <c r="AE7765" s="22"/>
      <c r="AF7765" s="22"/>
    </row>
    <row r="7766" spans="29:32" x14ac:dyDescent="0.2">
      <c r="AC7766" s="20"/>
      <c r="AE7766" s="22"/>
      <c r="AF7766" s="22"/>
    </row>
    <row r="7767" spans="29:32" x14ac:dyDescent="0.2">
      <c r="AC7767" s="20"/>
      <c r="AE7767" s="22"/>
      <c r="AF7767" s="22"/>
    </row>
    <row r="7768" spans="29:32" x14ac:dyDescent="0.2">
      <c r="AC7768" s="20"/>
      <c r="AE7768" s="22"/>
      <c r="AF7768" s="22"/>
    </row>
    <row r="7769" spans="29:32" x14ac:dyDescent="0.2">
      <c r="AC7769" s="20"/>
      <c r="AE7769" s="22"/>
      <c r="AF7769" s="22"/>
    </row>
    <row r="7770" spans="29:32" x14ac:dyDescent="0.2">
      <c r="AC7770" s="20"/>
      <c r="AE7770" s="22"/>
      <c r="AF7770" s="22"/>
    </row>
    <row r="7771" spans="29:32" x14ac:dyDescent="0.2">
      <c r="AC7771" s="20"/>
      <c r="AE7771" s="22"/>
      <c r="AF7771" s="22"/>
    </row>
    <row r="7772" spans="29:32" x14ac:dyDescent="0.2">
      <c r="AC7772" s="20"/>
      <c r="AE7772" s="22"/>
      <c r="AF7772" s="22"/>
    </row>
    <row r="7773" spans="29:32" x14ac:dyDescent="0.2">
      <c r="AC7773" s="20"/>
      <c r="AE7773" s="22"/>
      <c r="AF7773" s="22"/>
    </row>
    <row r="7774" spans="29:32" x14ac:dyDescent="0.2">
      <c r="AC7774" s="20"/>
      <c r="AE7774" s="22"/>
      <c r="AF7774" s="22"/>
    </row>
    <row r="7775" spans="29:32" x14ac:dyDescent="0.2">
      <c r="AC7775" s="20"/>
      <c r="AE7775" s="22"/>
      <c r="AF7775" s="22"/>
    </row>
    <row r="7776" spans="29:32" x14ac:dyDescent="0.2">
      <c r="AC7776" s="20"/>
      <c r="AE7776" s="22"/>
      <c r="AF7776" s="22"/>
    </row>
    <row r="7777" spans="29:32" x14ac:dyDescent="0.2">
      <c r="AC7777" s="20"/>
      <c r="AE7777" s="22"/>
      <c r="AF7777" s="22"/>
    </row>
    <row r="7778" spans="29:32" x14ac:dyDescent="0.2">
      <c r="AC7778" s="20"/>
      <c r="AE7778" s="22"/>
      <c r="AF7778" s="22"/>
    </row>
    <row r="7779" spans="29:32" x14ac:dyDescent="0.2">
      <c r="AC7779" s="20"/>
      <c r="AE7779" s="22"/>
      <c r="AF7779" s="22"/>
    </row>
    <row r="7780" spans="29:32" x14ac:dyDescent="0.2">
      <c r="AC7780" s="20"/>
      <c r="AE7780" s="22"/>
      <c r="AF7780" s="22"/>
    </row>
    <row r="7781" spans="29:32" x14ac:dyDescent="0.2">
      <c r="AC7781" s="20"/>
      <c r="AE7781" s="22"/>
      <c r="AF7781" s="22"/>
    </row>
    <row r="7782" spans="29:32" x14ac:dyDescent="0.2">
      <c r="AC7782" s="20"/>
      <c r="AE7782" s="22"/>
      <c r="AF7782" s="22"/>
    </row>
    <row r="7783" spans="29:32" x14ac:dyDescent="0.2">
      <c r="AC7783" s="20"/>
      <c r="AE7783" s="22"/>
      <c r="AF7783" s="22"/>
    </row>
    <row r="7784" spans="29:32" x14ac:dyDescent="0.2">
      <c r="AC7784" s="20"/>
      <c r="AE7784" s="22"/>
      <c r="AF7784" s="22"/>
    </row>
    <row r="7785" spans="29:32" x14ac:dyDescent="0.2">
      <c r="AC7785" s="20"/>
      <c r="AE7785" s="22"/>
      <c r="AF7785" s="22"/>
    </row>
    <row r="7786" spans="29:32" x14ac:dyDescent="0.2">
      <c r="AC7786" s="20"/>
      <c r="AE7786" s="22"/>
      <c r="AF7786" s="22"/>
    </row>
    <row r="7787" spans="29:32" x14ac:dyDescent="0.2">
      <c r="AC7787" s="20"/>
      <c r="AE7787" s="22"/>
      <c r="AF7787" s="22"/>
    </row>
    <row r="7788" spans="29:32" x14ac:dyDescent="0.2">
      <c r="AC7788" s="20"/>
      <c r="AE7788" s="22"/>
      <c r="AF7788" s="22"/>
    </row>
    <row r="7789" spans="29:32" x14ac:dyDescent="0.2">
      <c r="AC7789" s="20"/>
      <c r="AE7789" s="22"/>
      <c r="AF7789" s="22"/>
    </row>
    <row r="7790" spans="29:32" x14ac:dyDescent="0.2">
      <c r="AC7790" s="20"/>
      <c r="AE7790" s="22"/>
      <c r="AF7790" s="22"/>
    </row>
    <row r="7791" spans="29:32" x14ac:dyDescent="0.2">
      <c r="AC7791" s="20"/>
      <c r="AE7791" s="22"/>
      <c r="AF7791" s="22"/>
    </row>
    <row r="7792" spans="29:32" x14ac:dyDescent="0.2">
      <c r="AC7792" s="20"/>
      <c r="AE7792" s="22"/>
      <c r="AF7792" s="22"/>
    </row>
    <row r="7793" spans="29:32" x14ac:dyDescent="0.2">
      <c r="AC7793" s="20"/>
      <c r="AE7793" s="22"/>
      <c r="AF7793" s="22"/>
    </row>
    <row r="7794" spans="29:32" x14ac:dyDescent="0.2">
      <c r="AC7794" s="20"/>
      <c r="AE7794" s="22"/>
      <c r="AF7794" s="22"/>
    </row>
    <row r="7795" spans="29:32" x14ac:dyDescent="0.2">
      <c r="AC7795" s="20"/>
      <c r="AE7795" s="22"/>
      <c r="AF7795" s="22"/>
    </row>
    <row r="7796" spans="29:32" x14ac:dyDescent="0.2">
      <c r="AC7796" s="20"/>
      <c r="AE7796" s="22"/>
      <c r="AF7796" s="22"/>
    </row>
    <row r="7797" spans="29:32" x14ac:dyDescent="0.2">
      <c r="AC7797" s="20"/>
      <c r="AE7797" s="22"/>
      <c r="AF7797" s="22"/>
    </row>
    <row r="7798" spans="29:32" x14ac:dyDescent="0.2">
      <c r="AC7798" s="20"/>
      <c r="AE7798" s="22"/>
      <c r="AF7798" s="22"/>
    </row>
    <row r="7799" spans="29:32" x14ac:dyDescent="0.2">
      <c r="AC7799" s="20"/>
      <c r="AE7799" s="22"/>
      <c r="AF7799" s="22"/>
    </row>
    <row r="7800" spans="29:32" x14ac:dyDescent="0.2">
      <c r="AC7800" s="20"/>
      <c r="AE7800" s="22"/>
      <c r="AF7800" s="22"/>
    </row>
    <row r="7801" spans="29:32" x14ac:dyDescent="0.2">
      <c r="AC7801" s="20"/>
      <c r="AE7801" s="22"/>
      <c r="AF7801" s="22"/>
    </row>
    <row r="7802" spans="29:32" x14ac:dyDescent="0.2">
      <c r="AC7802" s="20"/>
      <c r="AE7802" s="22"/>
      <c r="AF7802" s="22"/>
    </row>
    <row r="7803" spans="29:32" x14ac:dyDescent="0.2">
      <c r="AC7803" s="20"/>
      <c r="AE7803" s="22"/>
      <c r="AF7803" s="22"/>
    </row>
    <row r="7804" spans="29:32" x14ac:dyDescent="0.2">
      <c r="AC7804" s="20"/>
      <c r="AE7804" s="22"/>
      <c r="AF7804" s="22"/>
    </row>
    <row r="7805" spans="29:32" x14ac:dyDescent="0.2">
      <c r="AC7805" s="20"/>
      <c r="AE7805" s="22"/>
      <c r="AF7805" s="22"/>
    </row>
    <row r="7806" spans="29:32" x14ac:dyDescent="0.2">
      <c r="AC7806" s="20"/>
      <c r="AE7806" s="22"/>
      <c r="AF7806" s="22"/>
    </row>
    <row r="7807" spans="29:32" x14ac:dyDescent="0.2">
      <c r="AC7807" s="20"/>
      <c r="AE7807" s="22"/>
      <c r="AF7807" s="22"/>
    </row>
    <row r="7808" spans="29:32" x14ac:dyDescent="0.2">
      <c r="AC7808" s="20"/>
      <c r="AE7808" s="22"/>
      <c r="AF7808" s="22"/>
    </row>
    <row r="7809" spans="29:32" x14ac:dyDescent="0.2">
      <c r="AC7809" s="20"/>
      <c r="AE7809" s="22"/>
      <c r="AF7809" s="22"/>
    </row>
    <row r="7810" spans="29:32" x14ac:dyDescent="0.2">
      <c r="AC7810" s="20"/>
      <c r="AE7810" s="22"/>
      <c r="AF7810" s="22"/>
    </row>
    <row r="7811" spans="29:32" x14ac:dyDescent="0.2">
      <c r="AC7811" s="20"/>
      <c r="AE7811" s="22"/>
      <c r="AF7811" s="22"/>
    </row>
    <row r="7812" spans="29:32" x14ac:dyDescent="0.2">
      <c r="AC7812" s="20"/>
      <c r="AE7812" s="22"/>
      <c r="AF7812" s="22"/>
    </row>
    <row r="7813" spans="29:32" x14ac:dyDescent="0.2">
      <c r="AC7813" s="20"/>
      <c r="AE7813" s="22"/>
      <c r="AF7813" s="22"/>
    </row>
    <row r="7814" spans="29:32" x14ac:dyDescent="0.2">
      <c r="AC7814" s="20"/>
      <c r="AE7814" s="22"/>
      <c r="AF7814" s="22"/>
    </row>
    <row r="7815" spans="29:32" x14ac:dyDescent="0.2">
      <c r="AC7815" s="20"/>
      <c r="AE7815" s="22"/>
      <c r="AF7815" s="22"/>
    </row>
    <row r="7816" spans="29:32" x14ac:dyDescent="0.2">
      <c r="AC7816" s="20"/>
      <c r="AE7816" s="22"/>
      <c r="AF7816" s="22"/>
    </row>
    <row r="7817" spans="29:32" x14ac:dyDescent="0.2">
      <c r="AC7817" s="20"/>
      <c r="AE7817" s="22"/>
      <c r="AF7817" s="22"/>
    </row>
    <row r="7818" spans="29:32" x14ac:dyDescent="0.2">
      <c r="AC7818" s="20"/>
      <c r="AE7818" s="22"/>
      <c r="AF7818" s="22"/>
    </row>
    <row r="7819" spans="29:32" x14ac:dyDescent="0.2">
      <c r="AC7819" s="20"/>
      <c r="AE7819" s="22"/>
      <c r="AF7819" s="22"/>
    </row>
    <row r="7820" spans="29:32" x14ac:dyDescent="0.2">
      <c r="AC7820" s="20"/>
      <c r="AE7820" s="22"/>
      <c r="AF7820" s="22"/>
    </row>
    <row r="7821" spans="29:32" x14ac:dyDescent="0.2">
      <c r="AC7821" s="20"/>
      <c r="AE7821" s="22"/>
      <c r="AF7821" s="22"/>
    </row>
    <row r="7822" spans="29:32" x14ac:dyDescent="0.2">
      <c r="AC7822" s="20"/>
      <c r="AE7822" s="22"/>
      <c r="AF7822" s="22"/>
    </row>
    <row r="7823" spans="29:32" x14ac:dyDescent="0.2">
      <c r="AC7823" s="20"/>
      <c r="AE7823" s="22"/>
      <c r="AF7823" s="22"/>
    </row>
    <row r="7824" spans="29:32" x14ac:dyDescent="0.2">
      <c r="AC7824" s="20"/>
      <c r="AE7824" s="22"/>
      <c r="AF7824" s="22"/>
    </row>
    <row r="7825" spans="29:32" x14ac:dyDescent="0.2">
      <c r="AC7825" s="20"/>
      <c r="AE7825" s="22"/>
      <c r="AF7825" s="22"/>
    </row>
    <row r="7826" spans="29:32" x14ac:dyDescent="0.2">
      <c r="AC7826" s="20"/>
      <c r="AE7826" s="22"/>
      <c r="AF7826" s="22"/>
    </row>
    <row r="7827" spans="29:32" x14ac:dyDescent="0.2">
      <c r="AC7827" s="20"/>
      <c r="AE7827" s="22"/>
      <c r="AF7827" s="22"/>
    </row>
    <row r="7828" spans="29:32" x14ac:dyDescent="0.2">
      <c r="AC7828" s="20"/>
      <c r="AE7828" s="22"/>
      <c r="AF7828" s="22"/>
    </row>
    <row r="7829" spans="29:32" x14ac:dyDescent="0.2">
      <c r="AC7829" s="20"/>
      <c r="AE7829" s="22"/>
      <c r="AF7829" s="22"/>
    </row>
    <row r="7830" spans="29:32" x14ac:dyDescent="0.2">
      <c r="AC7830" s="20"/>
      <c r="AE7830" s="22"/>
      <c r="AF7830" s="22"/>
    </row>
    <row r="7831" spans="29:32" x14ac:dyDescent="0.2">
      <c r="AC7831" s="20"/>
      <c r="AE7831" s="22"/>
      <c r="AF7831" s="22"/>
    </row>
    <row r="7832" spans="29:32" x14ac:dyDescent="0.2">
      <c r="AC7832" s="20"/>
      <c r="AE7832" s="22"/>
      <c r="AF7832" s="22"/>
    </row>
    <row r="7833" spans="29:32" x14ac:dyDescent="0.2">
      <c r="AC7833" s="20"/>
      <c r="AE7833" s="22"/>
      <c r="AF7833" s="22"/>
    </row>
    <row r="7834" spans="29:32" x14ac:dyDescent="0.2">
      <c r="AC7834" s="20"/>
      <c r="AE7834" s="22"/>
      <c r="AF7834" s="22"/>
    </row>
    <row r="7835" spans="29:32" x14ac:dyDescent="0.2">
      <c r="AC7835" s="20"/>
      <c r="AE7835" s="22"/>
      <c r="AF7835" s="22"/>
    </row>
    <row r="7836" spans="29:32" x14ac:dyDescent="0.2">
      <c r="AC7836" s="20"/>
      <c r="AE7836" s="22"/>
      <c r="AF7836" s="22"/>
    </row>
    <row r="7837" spans="29:32" x14ac:dyDescent="0.2">
      <c r="AC7837" s="20"/>
      <c r="AE7837" s="22"/>
      <c r="AF7837" s="22"/>
    </row>
    <row r="7838" spans="29:32" x14ac:dyDescent="0.2">
      <c r="AC7838" s="20"/>
      <c r="AE7838" s="22"/>
      <c r="AF7838" s="22"/>
    </row>
    <row r="7839" spans="29:32" x14ac:dyDescent="0.2">
      <c r="AC7839" s="20"/>
      <c r="AE7839" s="22"/>
      <c r="AF7839" s="22"/>
    </row>
    <row r="7840" spans="29:32" x14ac:dyDescent="0.2">
      <c r="AC7840" s="20"/>
      <c r="AE7840" s="22"/>
      <c r="AF7840" s="22"/>
    </row>
    <row r="7841" spans="29:32" x14ac:dyDescent="0.2">
      <c r="AC7841" s="20"/>
      <c r="AE7841" s="22"/>
      <c r="AF7841" s="22"/>
    </row>
    <row r="7842" spans="29:32" x14ac:dyDescent="0.2">
      <c r="AC7842" s="20"/>
      <c r="AE7842" s="22"/>
      <c r="AF7842" s="22"/>
    </row>
    <row r="7843" spans="29:32" x14ac:dyDescent="0.2">
      <c r="AC7843" s="20"/>
      <c r="AE7843" s="22"/>
      <c r="AF7843" s="22"/>
    </row>
    <row r="7844" spans="29:32" x14ac:dyDescent="0.2">
      <c r="AC7844" s="20"/>
      <c r="AE7844" s="22"/>
      <c r="AF7844" s="22"/>
    </row>
    <row r="7845" spans="29:32" x14ac:dyDescent="0.2">
      <c r="AC7845" s="20"/>
      <c r="AE7845" s="22"/>
      <c r="AF7845" s="22"/>
    </row>
    <row r="7846" spans="29:32" x14ac:dyDescent="0.2">
      <c r="AC7846" s="20"/>
      <c r="AE7846" s="22"/>
      <c r="AF7846" s="22"/>
    </row>
    <row r="7847" spans="29:32" x14ac:dyDescent="0.2">
      <c r="AC7847" s="20"/>
      <c r="AE7847" s="22"/>
      <c r="AF7847" s="22"/>
    </row>
    <row r="7848" spans="29:32" x14ac:dyDescent="0.2">
      <c r="AC7848" s="20"/>
      <c r="AE7848" s="22"/>
      <c r="AF7848" s="22"/>
    </row>
    <row r="7849" spans="29:32" x14ac:dyDescent="0.2">
      <c r="AC7849" s="20"/>
      <c r="AE7849" s="22"/>
      <c r="AF7849" s="22"/>
    </row>
    <row r="7850" spans="29:32" x14ac:dyDescent="0.2">
      <c r="AC7850" s="20"/>
      <c r="AE7850" s="22"/>
      <c r="AF7850" s="22"/>
    </row>
    <row r="7851" spans="29:32" x14ac:dyDescent="0.2">
      <c r="AC7851" s="20"/>
      <c r="AE7851" s="22"/>
      <c r="AF7851" s="22"/>
    </row>
    <row r="7852" spans="29:32" x14ac:dyDescent="0.2">
      <c r="AC7852" s="20"/>
      <c r="AE7852" s="22"/>
      <c r="AF7852" s="22"/>
    </row>
    <row r="7853" spans="29:32" x14ac:dyDescent="0.2">
      <c r="AC7853" s="20"/>
      <c r="AE7853" s="22"/>
      <c r="AF7853" s="22"/>
    </row>
    <row r="7854" spans="29:32" x14ac:dyDescent="0.2">
      <c r="AC7854" s="20"/>
      <c r="AE7854" s="22"/>
      <c r="AF7854" s="22"/>
    </row>
    <row r="7855" spans="29:32" x14ac:dyDescent="0.2">
      <c r="AC7855" s="20"/>
      <c r="AE7855" s="22"/>
      <c r="AF7855" s="22"/>
    </row>
    <row r="7856" spans="29:32" x14ac:dyDescent="0.2">
      <c r="AC7856" s="20"/>
      <c r="AE7856" s="22"/>
      <c r="AF7856" s="22"/>
    </row>
    <row r="7857" spans="29:32" x14ac:dyDescent="0.2">
      <c r="AC7857" s="20"/>
      <c r="AE7857" s="22"/>
      <c r="AF7857" s="22"/>
    </row>
    <row r="7858" spans="29:32" x14ac:dyDescent="0.2">
      <c r="AC7858" s="20"/>
      <c r="AE7858" s="22"/>
      <c r="AF7858" s="22"/>
    </row>
    <row r="7859" spans="29:32" x14ac:dyDescent="0.2">
      <c r="AC7859" s="20"/>
      <c r="AE7859" s="22"/>
      <c r="AF7859" s="22"/>
    </row>
    <row r="7860" spans="29:32" x14ac:dyDescent="0.2">
      <c r="AC7860" s="20"/>
      <c r="AE7860" s="22"/>
      <c r="AF7860" s="22"/>
    </row>
    <row r="7861" spans="29:32" x14ac:dyDescent="0.2">
      <c r="AC7861" s="20"/>
      <c r="AE7861" s="22"/>
      <c r="AF7861" s="22"/>
    </row>
    <row r="7862" spans="29:32" x14ac:dyDescent="0.2">
      <c r="AC7862" s="20"/>
      <c r="AE7862" s="22"/>
      <c r="AF7862" s="22"/>
    </row>
    <row r="7863" spans="29:32" x14ac:dyDescent="0.2">
      <c r="AC7863" s="20"/>
      <c r="AE7863" s="22"/>
      <c r="AF7863" s="22"/>
    </row>
    <row r="7864" spans="29:32" x14ac:dyDescent="0.2">
      <c r="AC7864" s="20"/>
      <c r="AE7864" s="22"/>
      <c r="AF7864" s="22"/>
    </row>
    <row r="7865" spans="29:32" x14ac:dyDescent="0.2">
      <c r="AC7865" s="20"/>
      <c r="AE7865" s="22"/>
      <c r="AF7865" s="22"/>
    </row>
    <row r="7866" spans="29:32" x14ac:dyDescent="0.2">
      <c r="AC7866" s="20"/>
      <c r="AE7866" s="22"/>
      <c r="AF7866" s="22"/>
    </row>
    <row r="7867" spans="29:32" x14ac:dyDescent="0.2">
      <c r="AC7867" s="20"/>
      <c r="AE7867" s="22"/>
      <c r="AF7867" s="22"/>
    </row>
    <row r="7868" spans="29:32" x14ac:dyDescent="0.2">
      <c r="AC7868" s="20"/>
      <c r="AE7868" s="22"/>
      <c r="AF7868" s="22"/>
    </row>
    <row r="7869" spans="29:32" x14ac:dyDescent="0.2">
      <c r="AC7869" s="20"/>
      <c r="AE7869" s="22"/>
      <c r="AF7869" s="22"/>
    </row>
    <row r="7870" spans="29:32" x14ac:dyDescent="0.2">
      <c r="AC7870" s="20"/>
      <c r="AE7870" s="22"/>
      <c r="AF7870" s="22"/>
    </row>
    <row r="7871" spans="29:32" x14ac:dyDescent="0.2">
      <c r="AC7871" s="20"/>
      <c r="AE7871" s="22"/>
      <c r="AF7871" s="22"/>
    </row>
    <row r="7872" spans="29:32" x14ac:dyDescent="0.2">
      <c r="AC7872" s="20"/>
      <c r="AE7872" s="22"/>
      <c r="AF7872" s="22"/>
    </row>
    <row r="7873" spans="29:32" x14ac:dyDescent="0.2">
      <c r="AC7873" s="20"/>
      <c r="AE7873" s="22"/>
      <c r="AF7873" s="22"/>
    </row>
    <row r="7874" spans="29:32" x14ac:dyDescent="0.2">
      <c r="AC7874" s="20"/>
      <c r="AE7874" s="22"/>
      <c r="AF7874" s="22"/>
    </row>
    <row r="7875" spans="29:32" x14ac:dyDescent="0.2">
      <c r="AC7875" s="20"/>
      <c r="AE7875" s="22"/>
      <c r="AF7875" s="22"/>
    </row>
    <row r="7876" spans="29:32" x14ac:dyDescent="0.2">
      <c r="AC7876" s="20"/>
      <c r="AE7876" s="22"/>
      <c r="AF7876" s="22"/>
    </row>
    <row r="7877" spans="29:32" x14ac:dyDescent="0.2">
      <c r="AC7877" s="20"/>
      <c r="AE7877" s="22"/>
      <c r="AF7877" s="22"/>
    </row>
    <row r="7878" spans="29:32" x14ac:dyDescent="0.2">
      <c r="AC7878" s="20"/>
      <c r="AE7878" s="22"/>
      <c r="AF7878" s="22"/>
    </row>
    <row r="7879" spans="29:32" x14ac:dyDescent="0.2">
      <c r="AC7879" s="20"/>
      <c r="AE7879" s="22"/>
      <c r="AF7879" s="22"/>
    </row>
    <row r="7880" spans="29:32" x14ac:dyDescent="0.2">
      <c r="AC7880" s="20"/>
      <c r="AE7880" s="22"/>
      <c r="AF7880" s="22"/>
    </row>
    <row r="7881" spans="29:32" x14ac:dyDescent="0.2">
      <c r="AC7881" s="20"/>
      <c r="AE7881" s="22"/>
      <c r="AF7881" s="22"/>
    </row>
    <row r="7882" spans="29:32" x14ac:dyDescent="0.2">
      <c r="AC7882" s="20"/>
      <c r="AE7882" s="22"/>
      <c r="AF7882" s="22"/>
    </row>
    <row r="7883" spans="29:32" x14ac:dyDescent="0.2">
      <c r="AC7883" s="20"/>
      <c r="AE7883" s="22"/>
      <c r="AF7883" s="22"/>
    </row>
    <row r="7884" spans="29:32" x14ac:dyDescent="0.2">
      <c r="AC7884" s="20"/>
      <c r="AE7884" s="22"/>
      <c r="AF7884" s="22"/>
    </row>
    <row r="7885" spans="29:32" x14ac:dyDescent="0.2">
      <c r="AC7885" s="20"/>
      <c r="AE7885" s="22"/>
      <c r="AF7885" s="22"/>
    </row>
    <row r="7886" spans="29:32" x14ac:dyDescent="0.2">
      <c r="AC7886" s="20"/>
      <c r="AE7886" s="22"/>
      <c r="AF7886" s="22"/>
    </row>
    <row r="7887" spans="29:32" x14ac:dyDescent="0.2">
      <c r="AC7887" s="20"/>
      <c r="AE7887" s="22"/>
      <c r="AF7887" s="22"/>
    </row>
    <row r="7888" spans="29:32" x14ac:dyDescent="0.2">
      <c r="AC7888" s="20"/>
      <c r="AE7888" s="22"/>
      <c r="AF7888" s="22"/>
    </row>
    <row r="7889" spans="29:32" x14ac:dyDescent="0.2">
      <c r="AC7889" s="20"/>
      <c r="AE7889" s="22"/>
      <c r="AF7889" s="22"/>
    </row>
    <row r="7890" spans="29:32" x14ac:dyDescent="0.2">
      <c r="AC7890" s="20"/>
      <c r="AE7890" s="22"/>
      <c r="AF7890" s="22"/>
    </row>
    <row r="7891" spans="29:32" x14ac:dyDescent="0.2">
      <c r="AC7891" s="20"/>
      <c r="AE7891" s="22"/>
      <c r="AF7891" s="22"/>
    </row>
    <row r="7892" spans="29:32" x14ac:dyDescent="0.2">
      <c r="AC7892" s="20"/>
      <c r="AE7892" s="22"/>
      <c r="AF7892" s="22"/>
    </row>
    <row r="7893" spans="29:32" x14ac:dyDescent="0.2">
      <c r="AC7893" s="20"/>
      <c r="AE7893" s="22"/>
      <c r="AF7893" s="22"/>
    </row>
    <row r="7894" spans="29:32" x14ac:dyDescent="0.2">
      <c r="AC7894" s="20"/>
      <c r="AE7894" s="22"/>
      <c r="AF7894" s="22"/>
    </row>
    <row r="7895" spans="29:32" x14ac:dyDescent="0.2">
      <c r="AC7895" s="20"/>
      <c r="AE7895" s="22"/>
      <c r="AF7895" s="22"/>
    </row>
    <row r="7896" spans="29:32" x14ac:dyDescent="0.2">
      <c r="AC7896" s="20"/>
      <c r="AE7896" s="22"/>
      <c r="AF7896" s="22"/>
    </row>
    <row r="7897" spans="29:32" x14ac:dyDescent="0.2">
      <c r="AC7897" s="20"/>
      <c r="AE7897" s="22"/>
      <c r="AF7897" s="22"/>
    </row>
    <row r="7898" spans="29:32" x14ac:dyDescent="0.2">
      <c r="AC7898" s="20"/>
      <c r="AE7898" s="22"/>
      <c r="AF7898" s="22"/>
    </row>
    <row r="7899" spans="29:32" x14ac:dyDescent="0.2">
      <c r="AC7899" s="20"/>
      <c r="AE7899" s="22"/>
      <c r="AF7899" s="22"/>
    </row>
    <row r="7900" spans="29:32" x14ac:dyDescent="0.2">
      <c r="AC7900" s="20"/>
      <c r="AE7900" s="22"/>
      <c r="AF7900" s="22"/>
    </row>
    <row r="7901" spans="29:32" x14ac:dyDescent="0.2">
      <c r="AC7901" s="20"/>
      <c r="AE7901" s="22"/>
      <c r="AF7901" s="22"/>
    </row>
    <row r="7902" spans="29:32" x14ac:dyDescent="0.2">
      <c r="AC7902" s="20"/>
      <c r="AE7902" s="22"/>
      <c r="AF7902" s="22"/>
    </row>
    <row r="7903" spans="29:32" x14ac:dyDescent="0.2">
      <c r="AC7903" s="20"/>
      <c r="AE7903" s="22"/>
      <c r="AF7903" s="22"/>
    </row>
    <row r="7904" spans="29:32" x14ac:dyDescent="0.2">
      <c r="AC7904" s="20"/>
      <c r="AE7904" s="22"/>
      <c r="AF7904" s="22"/>
    </row>
    <row r="7905" spans="29:32" x14ac:dyDescent="0.2">
      <c r="AC7905" s="20"/>
      <c r="AE7905" s="22"/>
      <c r="AF7905" s="22"/>
    </row>
    <row r="7906" spans="29:32" x14ac:dyDescent="0.2">
      <c r="AC7906" s="20"/>
      <c r="AE7906" s="22"/>
      <c r="AF7906" s="22"/>
    </row>
    <row r="7907" spans="29:32" x14ac:dyDescent="0.2">
      <c r="AC7907" s="20"/>
      <c r="AE7907" s="22"/>
      <c r="AF7907" s="22"/>
    </row>
    <row r="7908" spans="29:32" x14ac:dyDescent="0.2">
      <c r="AC7908" s="20"/>
      <c r="AE7908" s="22"/>
      <c r="AF7908" s="22"/>
    </row>
    <row r="7909" spans="29:32" x14ac:dyDescent="0.2">
      <c r="AC7909" s="20"/>
      <c r="AE7909" s="22"/>
      <c r="AF7909" s="22"/>
    </row>
    <row r="7910" spans="29:32" x14ac:dyDescent="0.2">
      <c r="AC7910" s="20"/>
      <c r="AE7910" s="22"/>
      <c r="AF7910" s="22"/>
    </row>
    <row r="7911" spans="29:32" x14ac:dyDescent="0.2">
      <c r="AC7911" s="20"/>
      <c r="AE7911" s="22"/>
      <c r="AF7911" s="22"/>
    </row>
    <row r="7912" spans="29:32" x14ac:dyDescent="0.2">
      <c r="AC7912" s="20"/>
      <c r="AE7912" s="22"/>
      <c r="AF7912" s="22"/>
    </row>
    <row r="7913" spans="29:32" x14ac:dyDescent="0.2">
      <c r="AC7913" s="20"/>
      <c r="AE7913" s="22"/>
      <c r="AF7913" s="22"/>
    </row>
    <row r="7914" spans="29:32" x14ac:dyDescent="0.2">
      <c r="AC7914" s="20"/>
      <c r="AE7914" s="22"/>
      <c r="AF7914" s="22"/>
    </row>
    <row r="7915" spans="29:32" x14ac:dyDescent="0.2">
      <c r="AC7915" s="20"/>
      <c r="AE7915" s="22"/>
      <c r="AF7915" s="22"/>
    </row>
    <row r="7916" spans="29:32" x14ac:dyDescent="0.2">
      <c r="AC7916" s="20"/>
      <c r="AE7916" s="22"/>
      <c r="AF7916" s="22"/>
    </row>
    <row r="7917" spans="29:32" x14ac:dyDescent="0.2">
      <c r="AC7917" s="20"/>
      <c r="AE7917" s="22"/>
      <c r="AF7917" s="22"/>
    </row>
    <row r="7918" spans="29:32" x14ac:dyDescent="0.2">
      <c r="AC7918" s="20"/>
      <c r="AE7918" s="22"/>
      <c r="AF7918" s="22"/>
    </row>
    <row r="7919" spans="29:32" x14ac:dyDescent="0.2">
      <c r="AC7919" s="20"/>
      <c r="AE7919" s="22"/>
      <c r="AF7919" s="22"/>
    </row>
    <row r="7920" spans="29:32" x14ac:dyDescent="0.2">
      <c r="AC7920" s="20"/>
      <c r="AE7920" s="22"/>
      <c r="AF7920" s="22"/>
    </row>
    <row r="7921" spans="29:32" x14ac:dyDescent="0.2">
      <c r="AC7921" s="20"/>
      <c r="AE7921" s="22"/>
      <c r="AF7921" s="22"/>
    </row>
    <row r="7922" spans="29:32" x14ac:dyDescent="0.2">
      <c r="AC7922" s="20"/>
      <c r="AE7922" s="22"/>
      <c r="AF7922" s="22"/>
    </row>
    <row r="7923" spans="29:32" x14ac:dyDescent="0.2">
      <c r="AC7923" s="20"/>
      <c r="AE7923" s="22"/>
      <c r="AF7923" s="22"/>
    </row>
    <row r="7924" spans="29:32" x14ac:dyDescent="0.2">
      <c r="AC7924" s="20"/>
      <c r="AE7924" s="22"/>
      <c r="AF7924" s="22"/>
    </row>
    <row r="7925" spans="29:32" x14ac:dyDescent="0.2">
      <c r="AC7925" s="20"/>
      <c r="AE7925" s="22"/>
      <c r="AF7925" s="22"/>
    </row>
    <row r="7926" spans="29:32" x14ac:dyDescent="0.2">
      <c r="AC7926" s="20"/>
      <c r="AE7926" s="22"/>
      <c r="AF7926" s="22"/>
    </row>
    <row r="7927" spans="29:32" x14ac:dyDescent="0.2">
      <c r="AC7927" s="20"/>
      <c r="AE7927" s="22"/>
      <c r="AF7927" s="22"/>
    </row>
    <row r="7928" spans="29:32" x14ac:dyDescent="0.2">
      <c r="AC7928" s="20"/>
      <c r="AE7928" s="22"/>
      <c r="AF7928" s="22"/>
    </row>
    <row r="7929" spans="29:32" x14ac:dyDescent="0.2">
      <c r="AC7929" s="20"/>
      <c r="AE7929" s="22"/>
      <c r="AF7929" s="22"/>
    </row>
    <row r="7930" spans="29:32" x14ac:dyDescent="0.2">
      <c r="AC7930" s="20"/>
      <c r="AE7930" s="22"/>
      <c r="AF7930" s="22"/>
    </row>
    <row r="7931" spans="29:32" x14ac:dyDescent="0.2">
      <c r="AC7931" s="20"/>
      <c r="AE7931" s="22"/>
      <c r="AF7931" s="22"/>
    </row>
    <row r="7932" spans="29:32" x14ac:dyDescent="0.2">
      <c r="AC7932" s="20"/>
      <c r="AE7932" s="22"/>
      <c r="AF7932" s="22"/>
    </row>
    <row r="7933" spans="29:32" x14ac:dyDescent="0.2">
      <c r="AC7933" s="20"/>
      <c r="AE7933" s="22"/>
      <c r="AF7933" s="22"/>
    </row>
    <row r="7934" spans="29:32" x14ac:dyDescent="0.2">
      <c r="AC7934" s="20"/>
      <c r="AE7934" s="22"/>
      <c r="AF7934" s="22"/>
    </row>
    <row r="7935" spans="29:32" x14ac:dyDescent="0.2">
      <c r="AC7935" s="20"/>
      <c r="AE7935" s="22"/>
      <c r="AF7935" s="22"/>
    </row>
    <row r="7936" spans="29:32" x14ac:dyDescent="0.2">
      <c r="AC7936" s="20"/>
      <c r="AE7936" s="22"/>
      <c r="AF7936" s="22"/>
    </row>
    <row r="7937" spans="29:32" x14ac:dyDescent="0.2">
      <c r="AC7937" s="20"/>
      <c r="AE7937" s="22"/>
      <c r="AF7937" s="22"/>
    </row>
    <row r="7938" spans="29:32" x14ac:dyDescent="0.2">
      <c r="AC7938" s="20"/>
      <c r="AE7938" s="22"/>
      <c r="AF7938" s="22"/>
    </row>
    <row r="7939" spans="29:32" x14ac:dyDescent="0.2">
      <c r="AC7939" s="20"/>
      <c r="AE7939" s="22"/>
      <c r="AF7939" s="22"/>
    </row>
    <row r="7940" spans="29:32" x14ac:dyDescent="0.2">
      <c r="AC7940" s="20"/>
      <c r="AE7940" s="22"/>
      <c r="AF7940" s="22"/>
    </row>
    <row r="7941" spans="29:32" x14ac:dyDescent="0.2">
      <c r="AC7941" s="20"/>
      <c r="AE7941" s="22"/>
      <c r="AF7941" s="22"/>
    </row>
    <row r="7942" spans="29:32" x14ac:dyDescent="0.2">
      <c r="AC7942" s="20"/>
      <c r="AE7942" s="22"/>
      <c r="AF7942" s="22"/>
    </row>
    <row r="7943" spans="29:32" x14ac:dyDescent="0.2">
      <c r="AC7943" s="20"/>
      <c r="AE7943" s="22"/>
      <c r="AF7943" s="22"/>
    </row>
    <row r="7944" spans="29:32" x14ac:dyDescent="0.2">
      <c r="AC7944" s="20"/>
      <c r="AE7944" s="22"/>
      <c r="AF7944" s="22"/>
    </row>
    <row r="7945" spans="29:32" x14ac:dyDescent="0.2">
      <c r="AC7945" s="20"/>
      <c r="AE7945" s="22"/>
      <c r="AF7945" s="22"/>
    </row>
    <row r="7946" spans="29:32" x14ac:dyDescent="0.2">
      <c r="AC7946" s="20"/>
      <c r="AE7946" s="22"/>
      <c r="AF7946" s="22"/>
    </row>
    <row r="7947" spans="29:32" x14ac:dyDescent="0.2">
      <c r="AC7947" s="20"/>
      <c r="AE7947" s="22"/>
      <c r="AF7947" s="22"/>
    </row>
    <row r="7948" spans="29:32" x14ac:dyDescent="0.2">
      <c r="AC7948" s="20"/>
      <c r="AE7948" s="22"/>
      <c r="AF7948" s="22"/>
    </row>
    <row r="7949" spans="29:32" x14ac:dyDescent="0.2">
      <c r="AC7949" s="20"/>
      <c r="AE7949" s="22"/>
      <c r="AF7949" s="22"/>
    </row>
    <row r="7950" spans="29:32" x14ac:dyDescent="0.2">
      <c r="AC7950" s="20"/>
      <c r="AE7950" s="22"/>
      <c r="AF7950" s="22"/>
    </row>
    <row r="7951" spans="29:32" x14ac:dyDescent="0.2">
      <c r="AC7951" s="20"/>
      <c r="AE7951" s="22"/>
      <c r="AF7951" s="22"/>
    </row>
    <row r="7952" spans="29:32" x14ac:dyDescent="0.2">
      <c r="AC7952" s="20"/>
      <c r="AE7952" s="22"/>
      <c r="AF7952" s="22"/>
    </row>
    <row r="7953" spans="29:32" x14ac:dyDescent="0.2">
      <c r="AC7953" s="20"/>
      <c r="AE7953" s="22"/>
      <c r="AF7953" s="22"/>
    </row>
    <row r="7954" spans="29:32" x14ac:dyDescent="0.2">
      <c r="AC7954" s="20"/>
      <c r="AE7954" s="22"/>
      <c r="AF7954" s="22"/>
    </row>
    <row r="7955" spans="29:32" x14ac:dyDescent="0.2">
      <c r="AC7955" s="20"/>
      <c r="AE7955" s="22"/>
      <c r="AF7955" s="22"/>
    </row>
    <row r="7956" spans="29:32" x14ac:dyDescent="0.2">
      <c r="AC7956" s="20"/>
      <c r="AE7956" s="22"/>
      <c r="AF7956" s="22"/>
    </row>
    <row r="7957" spans="29:32" x14ac:dyDescent="0.2">
      <c r="AC7957" s="20"/>
      <c r="AE7957" s="22"/>
      <c r="AF7957" s="22"/>
    </row>
    <row r="7958" spans="29:32" x14ac:dyDescent="0.2">
      <c r="AC7958" s="20"/>
      <c r="AE7958" s="22"/>
      <c r="AF7958" s="22"/>
    </row>
    <row r="7959" spans="29:32" x14ac:dyDescent="0.2">
      <c r="AC7959" s="20"/>
      <c r="AE7959" s="22"/>
      <c r="AF7959" s="22"/>
    </row>
    <row r="7960" spans="29:32" x14ac:dyDescent="0.2">
      <c r="AC7960" s="20"/>
      <c r="AE7960" s="22"/>
      <c r="AF7960" s="22"/>
    </row>
    <row r="7961" spans="29:32" x14ac:dyDescent="0.2">
      <c r="AC7961" s="20"/>
      <c r="AE7961" s="22"/>
      <c r="AF7961" s="22"/>
    </row>
    <row r="7962" spans="29:32" x14ac:dyDescent="0.2">
      <c r="AC7962" s="20"/>
      <c r="AE7962" s="22"/>
      <c r="AF7962" s="22"/>
    </row>
    <row r="7963" spans="29:32" x14ac:dyDescent="0.2">
      <c r="AC7963" s="20"/>
      <c r="AE7963" s="22"/>
      <c r="AF7963" s="22"/>
    </row>
    <row r="7964" spans="29:32" x14ac:dyDescent="0.2">
      <c r="AC7964" s="20"/>
      <c r="AE7964" s="22"/>
      <c r="AF7964" s="22"/>
    </row>
    <row r="7965" spans="29:32" x14ac:dyDescent="0.2">
      <c r="AC7965" s="20"/>
      <c r="AE7965" s="22"/>
      <c r="AF7965" s="22"/>
    </row>
    <row r="7966" spans="29:32" x14ac:dyDescent="0.2">
      <c r="AC7966" s="20"/>
      <c r="AE7966" s="22"/>
      <c r="AF7966" s="22"/>
    </row>
    <row r="7967" spans="29:32" x14ac:dyDescent="0.2">
      <c r="AC7967" s="20"/>
      <c r="AE7967" s="22"/>
      <c r="AF7967" s="22"/>
    </row>
    <row r="7968" spans="29:32" x14ac:dyDescent="0.2">
      <c r="AC7968" s="20"/>
      <c r="AE7968" s="22"/>
      <c r="AF7968" s="22"/>
    </row>
    <row r="7969" spans="29:32" x14ac:dyDescent="0.2">
      <c r="AC7969" s="20"/>
      <c r="AE7969" s="22"/>
      <c r="AF7969" s="22"/>
    </row>
    <row r="7970" spans="29:32" x14ac:dyDescent="0.2">
      <c r="AC7970" s="20"/>
      <c r="AE7970" s="22"/>
      <c r="AF7970" s="22"/>
    </row>
    <row r="7971" spans="29:32" x14ac:dyDescent="0.2">
      <c r="AC7971" s="20"/>
      <c r="AE7971" s="22"/>
      <c r="AF7971" s="22"/>
    </row>
    <row r="7972" spans="29:32" x14ac:dyDescent="0.2">
      <c r="AC7972" s="20"/>
      <c r="AE7972" s="22"/>
      <c r="AF7972" s="22"/>
    </row>
    <row r="7973" spans="29:32" x14ac:dyDescent="0.2">
      <c r="AC7973" s="20"/>
      <c r="AE7973" s="22"/>
      <c r="AF7973" s="22"/>
    </row>
    <row r="7974" spans="29:32" x14ac:dyDescent="0.2">
      <c r="AC7974" s="20"/>
      <c r="AE7974" s="22"/>
      <c r="AF7974" s="22"/>
    </row>
    <row r="7975" spans="29:32" x14ac:dyDescent="0.2">
      <c r="AC7975" s="20"/>
      <c r="AE7975" s="22"/>
      <c r="AF7975" s="22"/>
    </row>
    <row r="7976" spans="29:32" x14ac:dyDescent="0.2">
      <c r="AC7976" s="20"/>
      <c r="AE7976" s="22"/>
      <c r="AF7976" s="22"/>
    </row>
    <row r="7977" spans="29:32" x14ac:dyDescent="0.2">
      <c r="AC7977" s="20"/>
      <c r="AE7977" s="22"/>
      <c r="AF7977" s="22"/>
    </row>
    <row r="7978" spans="29:32" x14ac:dyDescent="0.2">
      <c r="AC7978" s="20"/>
      <c r="AE7978" s="22"/>
      <c r="AF7978" s="22"/>
    </row>
    <row r="7979" spans="29:32" x14ac:dyDescent="0.2">
      <c r="AC7979" s="20"/>
      <c r="AE7979" s="22"/>
      <c r="AF7979" s="22"/>
    </row>
    <row r="7980" spans="29:32" x14ac:dyDescent="0.2">
      <c r="AC7980" s="20"/>
      <c r="AE7980" s="22"/>
      <c r="AF7980" s="22"/>
    </row>
    <row r="7981" spans="29:32" x14ac:dyDescent="0.2">
      <c r="AC7981" s="20"/>
      <c r="AE7981" s="22"/>
      <c r="AF7981" s="22"/>
    </row>
    <row r="7982" spans="29:32" x14ac:dyDescent="0.2">
      <c r="AC7982" s="20"/>
      <c r="AE7982" s="22"/>
      <c r="AF7982" s="22"/>
    </row>
    <row r="7983" spans="29:32" x14ac:dyDescent="0.2">
      <c r="AC7983" s="20"/>
      <c r="AE7983" s="22"/>
      <c r="AF7983" s="22"/>
    </row>
    <row r="7984" spans="29:32" x14ac:dyDescent="0.2">
      <c r="AC7984" s="20"/>
      <c r="AE7984" s="22"/>
      <c r="AF7984" s="22"/>
    </row>
    <row r="7985" spans="29:32" x14ac:dyDescent="0.2">
      <c r="AC7985" s="20"/>
      <c r="AE7985" s="22"/>
      <c r="AF7985" s="22"/>
    </row>
    <row r="7986" spans="29:32" x14ac:dyDescent="0.2">
      <c r="AC7986" s="20"/>
      <c r="AE7986" s="22"/>
      <c r="AF7986" s="22"/>
    </row>
    <row r="7987" spans="29:32" x14ac:dyDescent="0.2">
      <c r="AC7987" s="20"/>
      <c r="AE7987" s="22"/>
      <c r="AF7987" s="22"/>
    </row>
    <row r="7988" spans="29:32" x14ac:dyDescent="0.2">
      <c r="AC7988" s="20"/>
      <c r="AE7988" s="22"/>
      <c r="AF7988" s="22"/>
    </row>
    <row r="7989" spans="29:32" x14ac:dyDescent="0.2">
      <c r="AC7989" s="20"/>
      <c r="AE7989" s="22"/>
      <c r="AF7989" s="22"/>
    </row>
    <row r="7990" spans="29:32" x14ac:dyDescent="0.2">
      <c r="AC7990" s="20"/>
      <c r="AE7990" s="22"/>
      <c r="AF7990" s="22"/>
    </row>
    <row r="7991" spans="29:32" x14ac:dyDescent="0.2">
      <c r="AC7991" s="20"/>
      <c r="AE7991" s="22"/>
      <c r="AF7991" s="22"/>
    </row>
    <row r="7992" spans="29:32" x14ac:dyDescent="0.2">
      <c r="AC7992" s="20"/>
      <c r="AE7992" s="22"/>
      <c r="AF7992" s="22"/>
    </row>
    <row r="7993" spans="29:32" x14ac:dyDescent="0.2">
      <c r="AC7993" s="20"/>
      <c r="AE7993" s="22"/>
      <c r="AF7993" s="22"/>
    </row>
    <row r="7994" spans="29:32" x14ac:dyDescent="0.2">
      <c r="AC7994" s="20"/>
      <c r="AE7994" s="22"/>
      <c r="AF7994" s="22"/>
    </row>
    <row r="7995" spans="29:32" x14ac:dyDescent="0.2">
      <c r="AC7995" s="20"/>
      <c r="AE7995" s="22"/>
      <c r="AF7995" s="22"/>
    </row>
    <row r="7996" spans="29:32" x14ac:dyDescent="0.2">
      <c r="AC7996" s="20"/>
      <c r="AE7996" s="22"/>
      <c r="AF7996" s="22"/>
    </row>
    <row r="7997" spans="29:32" x14ac:dyDescent="0.2">
      <c r="AC7997" s="20"/>
      <c r="AE7997" s="22"/>
      <c r="AF7997" s="22"/>
    </row>
    <row r="7998" spans="29:32" x14ac:dyDescent="0.2">
      <c r="AC7998" s="20"/>
      <c r="AE7998" s="22"/>
      <c r="AF7998" s="22"/>
    </row>
    <row r="7999" spans="29:32" x14ac:dyDescent="0.2">
      <c r="AC7999" s="20"/>
      <c r="AE7999" s="22"/>
      <c r="AF7999" s="22"/>
    </row>
    <row r="8000" spans="29:32" x14ac:dyDescent="0.2">
      <c r="AC8000" s="20"/>
      <c r="AE8000" s="22"/>
      <c r="AF8000" s="22"/>
    </row>
    <row r="8001" spans="29:32" x14ac:dyDescent="0.2">
      <c r="AC8001" s="20"/>
      <c r="AE8001" s="22"/>
      <c r="AF8001" s="22"/>
    </row>
    <row r="8002" spans="29:32" x14ac:dyDescent="0.2">
      <c r="AC8002" s="20"/>
      <c r="AE8002" s="22"/>
      <c r="AF8002" s="22"/>
    </row>
    <row r="8003" spans="29:32" x14ac:dyDescent="0.2">
      <c r="AC8003" s="20"/>
      <c r="AE8003" s="22"/>
      <c r="AF8003" s="22"/>
    </row>
    <row r="8004" spans="29:32" x14ac:dyDescent="0.2">
      <c r="AC8004" s="20"/>
      <c r="AE8004" s="22"/>
      <c r="AF8004" s="22"/>
    </row>
    <row r="8005" spans="29:32" x14ac:dyDescent="0.2">
      <c r="AC8005" s="20"/>
      <c r="AE8005" s="22"/>
      <c r="AF8005" s="22"/>
    </row>
    <row r="8006" spans="29:32" x14ac:dyDescent="0.2">
      <c r="AC8006" s="20"/>
      <c r="AE8006" s="22"/>
      <c r="AF8006" s="22"/>
    </row>
    <row r="8007" spans="29:32" x14ac:dyDescent="0.2">
      <c r="AC8007" s="20"/>
      <c r="AE8007" s="22"/>
      <c r="AF8007" s="22"/>
    </row>
    <row r="8008" spans="29:32" x14ac:dyDescent="0.2">
      <c r="AC8008" s="20"/>
      <c r="AE8008" s="22"/>
      <c r="AF8008" s="22"/>
    </row>
    <row r="8009" spans="29:32" x14ac:dyDescent="0.2">
      <c r="AC8009" s="20"/>
      <c r="AE8009" s="22"/>
      <c r="AF8009" s="22"/>
    </row>
    <row r="8010" spans="29:32" x14ac:dyDescent="0.2">
      <c r="AC8010" s="20"/>
      <c r="AE8010" s="22"/>
      <c r="AF8010" s="22"/>
    </row>
    <row r="8011" spans="29:32" x14ac:dyDescent="0.2">
      <c r="AC8011" s="20"/>
      <c r="AE8011" s="22"/>
      <c r="AF8011" s="22"/>
    </row>
    <row r="8012" spans="29:32" x14ac:dyDescent="0.2">
      <c r="AC8012" s="20"/>
      <c r="AE8012" s="22"/>
      <c r="AF8012" s="22"/>
    </row>
    <row r="8013" spans="29:32" x14ac:dyDescent="0.2">
      <c r="AC8013" s="20"/>
      <c r="AE8013" s="22"/>
      <c r="AF8013" s="22"/>
    </row>
    <row r="8014" spans="29:32" x14ac:dyDescent="0.2">
      <c r="AC8014" s="20"/>
      <c r="AE8014" s="22"/>
      <c r="AF8014" s="22"/>
    </row>
    <row r="8015" spans="29:32" x14ac:dyDescent="0.2">
      <c r="AC8015" s="20"/>
      <c r="AE8015" s="22"/>
      <c r="AF8015" s="22"/>
    </row>
    <row r="8016" spans="29:32" x14ac:dyDescent="0.2">
      <c r="AC8016" s="20"/>
      <c r="AE8016" s="22"/>
      <c r="AF8016" s="22"/>
    </row>
    <row r="8017" spans="29:32" x14ac:dyDescent="0.2">
      <c r="AC8017" s="20"/>
      <c r="AE8017" s="22"/>
      <c r="AF8017" s="22"/>
    </row>
    <row r="8018" spans="29:32" x14ac:dyDescent="0.2">
      <c r="AC8018" s="20"/>
      <c r="AE8018" s="22"/>
      <c r="AF8018" s="22"/>
    </row>
    <row r="8019" spans="29:32" x14ac:dyDescent="0.2">
      <c r="AC8019" s="20"/>
      <c r="AE8019" s="22"/>
      <c r="AF8019" s="22"/>
    </row>
    <row r="8020" spans="29:32" x14ac:dyDescent="0.2">
      <c r="AC8020" s="20"/>
      <c r="AE8020" s="22"/>
      <c r="AF8020" s="22"/>
    </row>
    <row r="8021" spans="29:32" x14ac:dyDescent="0.2">
      <c r="AC8021" s="20"/>
      <c r="AE8021" s="22"/>
      <c r="AF8021" s="22"/>
    </row>
    <row r="8022" spans="29:32" x14ac:dyDescent="0.2">
      <c r="AC8022" s="20"/>
      <c r="AE8022" s="22"/>
      <c r="AF8022" s="22"/>
    </row>
    <row r="8023" spans="29:32" x14ac:dyDescent="0.2">
      <c r="AC8023" s="20"/>
      <c r="AE8023" s="22"/>
      <c r="AF8023" s="22"/>
    </row>
    <row r="8024" spans="29:32" x14ac:dyDescent="0.2">
      <c r="AC8024" s="20"/>
      <c r="AE8024" s="22"/>
      <c r="AF8024" s="22"/>
    </row>
    <row r="8025" spans="29:32" x14ac:dyDescent="0.2">
      <c r="AC8025" s="20"/>
      <c r="AE8025" s="22"/>
      <c r="AF8025" s="22"/>
    </row>
    <row r="8026" spans="29:32" x14ac:dyDescent="0.2">
      <c r="AC8026" s="20"/>
      <c r="AE8026" s="22"/>
      <c r="AF8026" s="22"/>
    </row>
    <row r="8027" spans="29:32" x14ac:dyDescent="0.2">
      <c r="AC8027" s="20"/>
      <c r="AE8027" s="22"/>
      <c r="AF8027" s="22"/>
    </row>
    <row r="8028" spans="29:32" x14ac:dyDescent="0.2">
      <c r="AC8028" s="20"/>
      <c r="AE8028" s="22"/>
      <c r="AF8028" s="22"/>
    </row>
    <row r="8029" spans="29:32" x14ac:dyDescent="0.2">
      <c r="AC8029" s="20"/>
      <c r="AE8029" s="22"/>
      <c r="AF8029" s="22"/>
    </row>
    <row r="8030" spans="29:32" x14ac:dyDescent="0.2">
      <c r="AC8030" s="20"/>
      <c r="AE8030" s="22"/>
      <c r="AF8030" s="22"/>
    </row>
    <row r="8031" spans="29:32" x14ac:dyDescent="0.2">
      <c r="AC8031" s="20"/>
      <c r="AE8031" s="22"/>
      <c r="AF8031" s="22"/>
    </row>
    <row r="8032" spans="29:32" x14ac:dyDescent="0.2">
      <c r="AC8032" s="20"/>
      <c r="AE8032" s="22"/>
      <c r="AF8032" s="22"/>
    </row>
    <row r="8033" spans="29:32" x14ac:dyDescent="0.2">
      <c r="AC8033" s="20"/>
      <c r="AE8033" s="22"/>
      <c r="AF8033" s="22"/>
    </row>
    <row r="8034" spans="29:32" x14ac:dyDescent="0.2">
      <c r="AC8034" s="20"/>
      <c r="AE8034" s="22"/>
      <c r="AF8034" s="22"/>
    </row>
    <row r="8035" spans="29:32" x14ac:dyDescent="0.2">
      <c r="AC8035" s="20"/>
      <c r="AE8035" s="22"/>
      <c r="AF8035" s="22"/>
    </row>
    <row r="8036" spans="29:32" x14ac:dyDescent="0.2">
      <c r="AC8036" s="20"/>
      <c r="AE8036" s="22"/>
      <c r="AF8036" s="22"/>
    </row>
    <row r="8037" spans="29:32" x14ac:dyDescent="0.2">
      <c r="AC8037" s="20"/>
      <c r="AE8037" s="22"/>
      <c r="AF8037" s="22"/>
    </row>
    <row r="8038" spans="29:32" x14ac:dyDescent="0.2">
      <c r="AC8038" s="20"/>
      <c r="AE8038" s="22"/>
      <c r="AF8038" s="22"/>
    </row>
    <row r="8039" spans="29:32" x14ac:dyDescent="0.2">
      <c r="AC8039" s="20"/>
      <c r="AE8039" s="22"/>
      <c r="AF8039" s="22"/>
    </row>
    <row r="8040" spans="29:32" x14ac:dyDescent="0.2">
      <c r="AC8040" s="20"/>
      <c r="AE8040" s="22"/>
      <c r="AF8040" s="22"/>
    </row>
    <row r="8041" spans="29:32" x14ac:dyDescent="0.2">
      <c r="AC8041" s="20"/>
      <c r="AE8041" s="22"/>
      <c r="AF8041" s="22"/>
    </row>
    <row r="8042" spans="29:32" x14ac:dyDescent="0.2">
      <c r="AC8042" s="20"/>
      <c r="AE8042" s="22"/>
      <c r="AF8042" s="22"/>
    </row>
    <row r="8043" spans="29:32" x14ac:dyDescent="0.2">
      <c r="AC8043" s="20"/>
      <c r="AE8043" s="22"/>
      <c r="AF8043" s="22"/>
    </row>
    <row r="8044" spans="29:32" x14ac:dyDescent="0.2">
      <c r="AC8044" s="20"/>
      <c r="AE8044" s="22"/>
      <c r="AF8044" s="22"/>
    </row>
    <row r="8045" spans="29:32" x14ac:dyDescent="0.2">
      <c r="AC8045" s="20"/>
      <c r="AE8045" s="22"/>
      <c r="AF8045" s="22"/>
    </row>
    <row r="8046" spans="29:32" x14ac:dyDescent="0.2">
      <c r="AC8046" s="20"/>
      <c r="AE8046" s="22"/>
      <c r="AF8046" s="22"/>
    </row>
    <row r="8047" spans="29:32" x14ac:dyDescent="0.2">
      <c r="AC8047" s="20"/>
      <c r="AE8047" s="22"/>
      <c r="AF8047" s="22"/>
    </row>
    <row r="8048" spans="29:32" x14ac:dyDescent="0.2">
      <c r="AC8048" s="20"/>
      <c r="AE8048" s="22"/>
      <c r="AF8048" s="22"/>
    </row>
    <row r="8049" spans="29:32" x14ac:dyDescent="0.2">
      <c r="AC8049" s="20"/>
      <c r="AE8049" s="22"/>
      <c r="AF8049" s="22"/>
    </row>
    <row r="8050" spans="29:32" x14ac:dyDescent="0.2">
      <c r="AC8050" s="20"/>
      <c r="AE8050" s="22"/>
      <c r="AF8050" s="22"/>
    </row>
    <row r="8051" spans="29:32" x14ac:dyDescent="0.2">
      <c r="AC8051" s="20"/>
      <c r="AE8051" s="22"/>
      <c r="AF8051" s="22"/>
    </row>
    <row r="8052" spans="29:32" x14ac:dyDescent="0.2">
      <c r="AC8052" s="20"/>
      <c r="AE8052" s="22"/>
      <c r="AF8052" s="22"/>
    </row>
    <row r="8053" spans="29:32" x14ac:dyDescent="0.2">
      <c r="AC8053" s="20"/>
      <c r="AE8053" s="22"/>
      <c r="AF8053" s="22"/>
    </row>
    <row r="8054" spans="29:32" x14ac:dyDescent="0.2">
      <c r="AC8054" s="20"/>
      <c r="AE8054" s="22"/>
      <c r="AF8054" s="22"/>
    </row>
    <row r="8055" spans="29:32" x14ac:dyDescent="0.2">
      <c r="AC8055" s="20"/>
      <c r="AE8055" s="22"/>
      <c r="AF8055" s="22"/>
    </row>
    <row r="8056" spans="29:32" x14ac:dyDescent="0.2">
      <c r="AC8056" s="20"/>
      <c r="AE8056" s="22"/>
      <c r="AF8056" s="22"/>
    </row>
    <row r="8057" spans="29:32" x14ac:dyDescent="0.2">
      <c r="AC8057" s="20"/>
      <c r="AE8057" s="22"/>
      <c r="AF8057" s="22"/>
    </row>
    <row r="8058" spans="29:32" x14ac:dyDescent="0.2">
      <c r="AC8058" s="20"/>
      <c r="AE8058" s="22"/>
      <c r="AF8058" s="22"/>
    </row>
    <row r="8059" spans="29:32" x14ac:dyDescent="0.2">
      <c r="AC8059" s="20"/>
      <c r="AE8059" s="22"/>
      <c r="AF8059" s="22"/>
    </row>
    <row r="8060" spans="29:32" x14ac:dyDescent="0.2">
      <c r="AC8060" s="20"/>
      <c r="AE8060" s="22"/>
      <c r="AF8060" s="22"/>
    </row>
    <row r="8061" spans="29:32" x14ac:dyDescent="0.2">
      <c r="AC8061" s="20"/>
      <c r="AE8061" s="22"/>
      <c r="AF8061" s="22"/>
    </row>
    <row r="8062" spans="29:32" x14ac:dyDescent="0.2">
      <c r="AC8062" s="20"/>
      <c r="AE8062" s="22"/>
      <c r="AF8062" s="22"/>
    </row>
    <row r="8063" spans="29:32" x14ac:dyDescent="0.2">
      <c r="AC8063" s="20"/>
      <c r="AE8063" s="22"/>
      <c r="AF8063" s="22"/>
    </row>
    <row r="8064" spans="29:32" x14ac:dyDescent="0.2">
      <c r="AC8064" s="20"/>
      <c r="AE8064" s="22"/>
      <c r="AF8064" s="22"/>
    </row>
    <row r="8065" spans="29:32" x14ac:dyDescent="0.2">
      <c r="AC8065" s="20"/>
      <c r="AE8065" s="22"/>
      <c r="AF8065" s="22"/>
    </row>
    <row r="8066" spans="29:32" x14ac:dyDescent="0.2">
      <c r="AC8066" s="20"/>
      <c r="AE8066" s="22"/>
      <c r="AF8066" s="22"/>
    </row>
    <row r="8067" spans="29:32" x14ac:dyDescent="0.2">
      <c r="AC8067" s="20"/>
      <c r="AE8067" s="22"/>
      <c r="AF8067" s="22"/>
    </row>
    <row r="8068" spans="29:32" x14ac:dyDescent="0.2">
      <c r="AC8068" s="20"/>
      <c r="AE8068" s="22"/>
      <c r="AF8068" s="22"/>
    </row>
    <row r="8069" spans="29:32" x14ac:dyDescent="0.2">
      <c r="AC8069" s="20"/>
      <c r="AE8069" s="22"/>
      <c r="AF8069" s="22"/>
    </row>
    <row r="8070" spans="29:32" x14ac:dyDescent="0.2">
      <c r="AC8070" s="20"/>
      <c r="AE8070" s="22"/>
      <c r="AF8070" s="22"/>
    </row>
    <row r="8071" spans="29:32" x14ac:dyDescent="0.2">
      <c r="AC8071" s="20"/>
      <c r="AE8071" s="22"/>
      <c r="AF8071" s="22"/>
    </row>
    <row r="8072" spans="29:32" x14ac:dyDescent="0.2">
      <c r="AC8072" s="20"/>
      <c r="AE8072" s="22"/>
      <c r="AF8072" s="22"/>
    </row>
    <row r="8073" spans="29:32" x14ac:dyDescent="0.2">
      <c r="AC8073" s="20"/>
      <c r="AE8073" s="22"/>
      <c r="AF8073" s="22"/>
    </row>
    <row r="8074" spans="29:32" x14ac:dyDescent="0.2">
      <c r="AC8074" s="20"/>
      <c r="AE8074" s="22"/>
      <c r="AF8074" s="22"/>
    </row>
    <row r="8075" spans="29:32" x14ac:dyDescent="0.2">
      <c r="AC8075" s="20"/>
      <c r="AE8075" s="22"/>
      <c r="AF8075" s="22"/>
    </row>
    <row r="8076" spans="29:32" x14ac:dyDescent="0.2">
      <c r="AC8076" s="20"/>
      <c r="AE8076" s="22"/>
      <c r="AF8076" s="22"/>
    </row>
    <row r="8077" spans="29:32" x14ac:dyDescent="0.2">
      <c r="AC8077" s="20"/>
      <c r="AE8077" s="22"/>
      <c r="AF8077" s="22"/>
    </row>
    <row r="8078" spans="29:32" x14ac:dyDescent="0.2">
      <c r="AC8078" s="20"/>
      <c r="AE8078" s="22"/>
      <c r="AF8078" s="22"/>
    </row>
    <row r="8079" spans="29:32" x14ac:dyDescent="0.2">
      <c r="AC8079" s="20"/>
      <c r="AE8079" s="22"/>
      <c r="AF8079" s="22"/>
    </row>
    <row r="8080" spans="29:32" x14ac:dyDescent="0.2">
      <c r="AC8080" s="20"/>
      <c r="AE8080" s="22"/>
      <c r="AF8080" s="22"/>
    </row>
    <row r="8081" spans="29:32" x14ac:dyDescent="0.2">
      <c r="AC8081" s="20"/>
      <c r="AE8081" s="22"/>
      <c r="AF8081" s="22"/>
    </row>
    <row r="8082" spans="29:32" x14ac:dyDescent="0.2">
      <c r="AC8082" s="20"/>
      <c r="AE8082" s="22"/>
      <c r="AF8082" s="22"/>
    </row>
    <row r="8083" spans="29:32" x14ac:dyDescent="0.2">
      <c r="AC8083" s="20"/>
      <c r="AE8083" s="22"/>
      <c r="AF8083" s="22"/>
    </row>
    <row r="8084" spans="29:32" x14ac:dyDescent="0.2">
      <c r="AC8084" s="20"/>
      <c r="AE8084" s="22"/>
      <c r="AF8084" s="22"/>
    </row>
    <row r="8085" spans="29:32" x14ac:dyDescent="0.2">
      <c r="AC8085" s="20"/>
      <c r="AE8085" s="22"/>
      <c r="AF8085" s="22"/>
    </row>
    <row r="8086" spans="29:32" x14ac:dyDescent="0.2">
      <c r="AC8086" s="20"/>
      <c r="AE8086" s="22"/>
      <c r="AF8086" s="22"/>
    </row>
    <row r="8087" spans="29:32" x14ac:dyDescent="0.2">
      <c r="AC8087" s="20"/>
      <c r="AE8087" s="22"/>
      <c r="AF8087" s="22"/>
    </row>
    <row r="8088" spans="29:32" x14ac:dyDescent="0.2">
      <c r="AC8088" s="20"/>
      <c r="AE8088" s="22"/>
      <c r="AF8088" s="22"/>
    </row>
    <row r="8089" spans="29:32" x14ac:dyDescent="0.2">
      <c r="AC8089" s="20"/>
      <c r="AE8089" s="22"/>
      <c r="AF8089" s="22"/>
    </row>
    <row r="8090" spans="29:32" x14ac:dyDescent="0.2">
      <c r="AC8090" s="20"/>
      <c r="AE8090" s="22"/>
      <c r="AF8090" s="22"/>
    </row>
    <row r="8091" spans="29:32" x14ac:dyDescent="0.2">
      <c r="AC8091" s="20"/>
      <c r="AE8091" s="22"/>
      <c r="AF8091" s="22"/>
    </row>
    <row r="8092" spans="29:32" x14ac:dyDescent="0.2">
      <c r="AC8092" s="20"/>
      <c r="AE8092" s="22"/>
      <c r="AF8092" s="22"/>
    </row>
    <row r="8093" spans="29:32" x14ac:dyDescent="0.2">
      <c r="AC8093" s="20"/>
      <c r="AE8093" s="22"/>
      <c r="AF8093" s="22"/>
    </row>
    <row r="8094" spans="29:32" x14ac:dyDescent="0.2">
      <c r="AC8094" s="20"/>
      <c r="AE8094" s="22"/>
      <c r="AF8094" s="22"/>
    </row>
    <row r="8095" spans="29:32" x14ac:dyDescent="0.2">
      <c r="AC8095" s="20"/>
      <c r="AE8095" s="22"/>
      <c r="AF8095" s="22"/>
    </row>
    <row r="8096" spans="29:32" x14ac:dyDescent="0.2">
      <c r="AC8096" s="20"/>
      <c r="AE8096" s="22"/>
      <c r="AF8096" s="22"/>
    </row>
    <row r="8097" spans="29:32" x14ac:dyDescent="0.2">
      <c r="AC8097" s="20"/>
      <c r="AE8097" s="22"/>
      <c r="AF8097" s="22"/>
    </row>
    <row r="8098" spans="29:32" x14ac:dyDescent="0.2">
      <c r="AC8098" s="20"/>
      <c r="AE8098" s="22"/>
      <c r="AF8098" s="22"/>
    </row>
    <row r="8099" spans="29:32" x14ac:dyDescent="0.2">
      <c r="AC8099" s="20"/>
      <c r="AE8099" s="22"/>
      <c r="AF8099" s="22"/>
    </row>
    <row r="8100" spans="29:32" x14ac:dyDescent="0.2">
      <c r="AC8100" s="20"/>
      <c r="AE8100" s="22"/>
      <c r="AF8100" s="22"/>
    </row>
    <row r="8101" spans="29:32" x14ac:dyDescent="0.2">
      <c r="AC8101" s="20"/>
      <c r="AE8101" s="22"/>
      <c r="AF8101" s="22"/>
    </row>
    <row r="8102" spans="29:32" x14ac:dyDescent="0.2">
      <c r="AC8102" s="20"/>
      <c r="AE8102" s="22"/>
      <c r="AF8102" s="22"/>
    </row>
    <row r="8103" spans="29:32" x14ac:dyDescent="0.2">
      <c r="AC8103" s="20"/>
      <c r="AE8103" s="22"/>
      <c r="AF8103" s="22"/>
    </row>
    <row r="8104" spans="29:32" x14ac:dyDescent="0.2">
      <c r="AC8104" s="20"/>
      <c r="AE8104" s="22"/>
      <c r="AF8104" s="22"/>
    </row>
    <row r="8105" spans="29:32" x14ac:dyDescent="0.2">
      <c r="AC8105" s="20"/>
      <c r="AE8105" s="22"/>
      <c r="AF8105" s="22"/>
    </row>
    <row r="8106" spans="29:32" x14ac:dyDescent="0.2">
      <c r="AC8106" s="20"/>
      <c r="AE8106" s="22"/>
      <c r="AF8106" s="22"/>
    </row>
    <row r="8107" spans="29:32" x14ac:dyDescent="0.2">
      <c r="AC8107" s="20"/>
      <c r="AE8107" s="22"/>
      <c r="AF8107" s="22"/>
    </row>
    <row r="8108" spans="29:32" x14ac:dyDescent="0.2">
      <c r="AC8108" s="20"/>
      <c r="AE8108" s="22"/>
      <c r="AF8108" s="22"/>
    </row>
    <row r="8109" spans="29:32" x14ac:dyDescent="0.2">
      <c r="AC8109" s="20"/>
      <c r="AE8109" s="22"/>
      <c r="AF8109" s="22"/>
    </row>
    <row r="8110" spans="29:32" x14ac:dyDescent="0.2">
      <c r="AC8110" s="20"/>
      <c r="AE8110" s="22"/>
      <c r="AF8110" s="22"/>
    </row>
    <row r="8111" spans="29:32" x14ac:dyDescent="0.2">
      <c r="AC8111" s="20"/>
      <c r="AE8111" s="22"/>
      <c r="AF8111" s="22"/>
    </row>
    <row r="8112" spans="29:32" x14ac:dyDescent="0.2">
      <c r="AC8112" s="20"/>
      <c r="AE8112" s="22"/>
      <c r="AF8112" s="22"/>
    </row>
    <row r="8113" spans="29:32" x14ac:dyDescent="0.2">
      <c r="AC8113" s="20"/>
      <c r="AE8113" s="22"/>
      <c r="AF8113" s="22"/>
    </row>
    <row r="8114" spans="29:32" x14ac:dyDescent="0.2">
      <c r="AC8114" s="20"/>
      <c r="AE8114" s="22"/>
      <c r="AF8114" s="22"/>
    </row>
    <row r="8115" spans="29:32" x14ac:dyDescent="0.2">
      <c r="AC8115" s="20"/>
      <c r="AE8115" s="22"/>
      <c r="AF8115" s="22"/>
    </row>
    <row r="8116" spans="29:32" x14ac:dyDescent="0.2">
      <c r="AC8116" s="20"/>
      <c r="AE8116" s="22"/>
      <c r="AF8116" s="22"/>
    </row>
    <row r="8117" spans="29:32" x14ac:dyDescent="0.2">
      <c r="AC8117" s="20"/>
      <c r="AE8117" s="22"/>
      <c r="AF8117" s="22"/>
    </row>
    <row r="8118" spans="29:32" x14ac:dyDescent="0.2">
      <c r="AC8118" s="20"/>
      <c r="AE8118" s="22"/>
      <c r="AF8118" s="22"/>
    </row>
    <row r="8119" spans="29:32" x14ac:dyDescent="0.2">
      <c r="AC8119" s="20"/>
      <c r="AE8119" s="22"/>
      <c r="AF8119" s="22"/>
    </row>
    <row r="8120" spans="29:32" x14ac:dyDescent="0.2">
      <c r="AC8120" s="20"/>
      <c r="AE8120" s="22"/>
      <c r="AF8120" s="22"/>
    </row>
    <row r="8121" spans="29:32" x14ac:dyDescent="0.2">
      <c r="AC8121" s="20"/>
      <c r="AE8121" s="22"/>
      <c r="AF8121" s="22"/>
    </row>
    <row r="8122" spans="29:32" x14ac:dyDescent="0.2">
      <c r="AC8122" s="20"/>
      <c r="AE8122" s="22"/>
      <c r="AF8122" s="22"/>
    </row>
    <row r="8123" spans="29:32" x14ac:dyDescent="0.2">
      <c r="AC8123" s="20"/>
      <c r="AE8123" s="22"/>
      <c r="AF8123" s="22"/>
    </row>
    <row r="8124" spans="29:32" x14ac:dyDescent="0.2">
      <c r="AC8124" s="20"/>
      <c r="AE8124" s="22"/>
      <c r="AF8124" s="22"/>
    </row>
    <row r="8125" spans="29:32" x14ac:dyDescent="0.2">
      <c r="AC8125" s="20"/>
      <c r="AE8125" s="22"/>
      <c r="AF8125" s="22"/>
    </row>
    <row r="8126" spans="29:32" x14ac:dyDescent="0.2">
      <c r="AC8126" s="20"/>
      <c r="AE8126" s="22"/>
      <c r="AF8126" s="22"/>
    </row>
    <row r="8127" spans="29:32" x14ac:dyDescent="0.2">
      <c r="AC8127" s="20"/>
      <c r="AE8127" s="22"/>
      <c r="AF8127" s="22"/>
    </row>
    <row r="8128" spans="29:32" x14ac:dyDescent="0.2">
      <c r="AC8128" s="20"/>
      <c r="AE8128" s="22"/>
      <c r="AF8128" s="22"/>
    </row>
    <row r="8129" spans="29:32" x14ac:dyDescent="0.2">
      <c r="AC8129" s="20"/>
      <c r="AE8129" s="22"/>
      <c r="AF8129" s="22"/>
    </row>
    <row r="8130" spans="29:32" x14ac:dyDescent="0.2">
      <c r="AC8130" s="20"/>
      <c r="AE8130" s="22"/>
      <c r="AF8130" s="22"/>
    </row>
    <row r="8131" spans="29:32" x14ac:dyDescent="0.2">
      <c r="AC8131" s="20"/>
      <c r="AE8131" s="22"/>
      <c r="AF8131" s="22"/>
    </row>
    <row r="8132" spans="29:32" x14ac:dyDescent="0.2">
      <c r="AC8132" s="20"/>
      <c r="AE8132" s="22"/>
      <c r="AF8132" s="22"/>
    </row>
    <row r="8133" spans="29:32" x14ac:dyDescent="0.2">
      <c r="AC8133" s="20"/>
      <c r="AE8133" s="22"/>
      <c r="AF8133" s="22"/>
    </row>
    <row r="8134" spans="29:32" x14ac:dyDescent="0.2">
      <c r="AC8134" s="20"/>
      <c r="AE8134" s="22"/>
      <c r="AF8134" s="22"/>
    </row>
    <row r="8135" spans="29:32" x14ac:dyDescent="0.2">
      <c r="AC8135" s="20"/>
      <c r="AE8135" s="22"/>
      <c r="AF8135" s="22"/>
    </row>
    <row r="8136" spans="29:32" x14ac:dyDescent="0.2">
      <c r="AC8136" s="20"/>
      <c r="AE8136" s="22"/>
      <c r="AF8136" s="22"/>
    </row>
    <row r="8137" spans="29:32" x14ac:dyDescent="0.2">
      <c r="AC8137" s="20"/>
      <c r="AE8137" s="22"/>
      <c r="AF8137" s="22"/>
    </row>
    <row r="8138" spans="29:32" x14ac:dyDescent="0.2">
      <c r="AC8138" s="20"/>
      <c r="AE8138" s="22"/>
      <c r="AF8138" s="22"/>
    </row>
    <row r="8139" spans="29:32" x14ac:dyDescent="0.2">
      <c r="AC8139" s="20"/>
      <c r="AE8139" s="22"/>
      <c r="AF8139" s="22"/>
    </row>
    <row r="8140" spans="29:32" x14ac:dyDescent="0.2">
      <c r="AC8140" s="20"/>
      <c r="AE8140" s="22"/>
      <c r="AF8140" s="22"/>
    </row>
    <row r="8141" spans="29:32" x14ac:dyDescent="0.2">
      <c r="AC8141" s="20"/>
      <c r="AE8141" s="22"/>
      <c r="AF8141" s="22"/>
    </row>
    <row r="8142" spans="29:32" x14ac:dyDescent="0.2">
      <c r="AC8142" s="20"/>
      <c r="AE8142" s="22"/>
      <c r="AF8142" s="22"/>
    </row>
    <row r="8143" spans="29:32" x14ac:dyDescent="0.2">
      <c r="AC8143" s="20"/>
      <c r="AE8143" s="22"/>
      <c r="AF8143" s="22"/>
    </row>
    <row r="8144" spans="29:32" x14ac:dyDescent="0.2">
      <c r="AC8144" s="20"/>
      <c r="AE8144" s="22"/>
      <c r="AF8144" s="22"/>
    </row>
    <row r="8145" spans="29:32" x14ac:dyDescent="0.2">
      <c r="AC8145" s="20"/>
      <c r="AE8145" s="22"/>
      <c r="AF8145" s="22"/>
    </row>
    <row r="8146" spans="29:32" x14ac:dyDescent="0.2">
      <c r="AC8146" s="20"/>
      <c r="AE8146" s="22"/>
      <c r="AF8146" s="22"/>
    </row>
    <row r="8147" spans="29:32" x14ac:dyDescent="0.2">
      <c r="AC8147" s="20"/>
      <c r="AE8147" s="22"/>
      <c r="AF8147" s="22"/>
    </row>
    <row r="8148" spans="29:32" x14ac:dyDescent="0.2">
      <c r="AC8148" s="20"/>
      <c r="AE8148" s="22"/>
      <c r="AF8148" s="22"/>
    </row>
    <row r="8149" spans="29:32" x14ac:dyDescent="0.2">
      <c r="AC8149" s="20"/>
      <c r="AE8149" s="22"/>
      <c r="AF8149" s="22"/>
    </row>
    <row r="8150" spans="29:32" x14ac:dyDescent="0.2">
      <c r="AC8150" s="20"/>
      <c r="AE8150" s="22"/>
      <c r="AF8150" s="22"/>
    </row>
    <row r="8151" spans="29:32" x14ac:dyDescent="0.2">
      <c r="AC8151" s="20"/>
      <c r="AE8151" s="22"/>
      <c r="AF8151" s="22"/>
    </row>
    <row r="8152" spans="29:32" x14ac:dyDescent="0.2">
      <c r="AC8152" s="20"/>
      <c r="AE8152" s="22"/>
      <c r="AF8152" s="22"/>
    </row>
    <row r="8153" spans="29:32" x14ac:dyDescent="0.2">
      <c r="AC8153" s="20"/>
      <c r="AE8153" s="22"/>
      <c r="AF8153" s="22"/>
    </row>
    <row r="8154" spans="29:32" x14ac:dyDescent="0.2">
      <c r="AC8154" s="20"/>
      <c r="AE8154" s="22"/>
      <c r="AF8154" s="22"/>
    </row>
    <row r="8155" spans="29:32" x14ac:dyDescent="0.2">
      <c r="AC8155" s="20"/>
      <c r="AE8155" s="22"/>
      <c r="AF8155" s="22"/>
    </row>
    <row r="8156" spans="29:32" x14ac:dyDescent="0.2">
      <c r="AC8156" s="20"/>
      <c r="AE8156" s="22"/>
      <c r="AF8156" s="22"/>
    </row>
    <row r="8157" spans="29:32" x14ac:dyDescent="0.2">
      <c r="AC8157" s="20"/>
      <c r="AE8157" s="22"/>
      <c r="AF8157" s="22"/>
    </row>
    <row r="8158" spans="29:32" x14ac:dyDescent="0.2">
      <c r="AC8158" s="20"/>
      <c r="AE8158" s="22"/>
      <c r="AF8158" s="22"/>
    </row>
    <row r="8159" spans="29:32" x14ac:dyDescent="0.2">
      <c r="AC8159" s="20"/>
      <c r="AE8159" s="22"/>
      <c r="AF8159" s="22"/>
    </row>
    <row r="8160" spans="29:32" x14ac:dyDescent="0.2">
      <c r="AC8160" s="20"/>
      <c r="AE8160" s="22"/>
      <c r="AF8160" s="22"/>
    </row>
    <row r="8161" spans="29:32" x14ac:dyDescent="0.2">
      <c r="AC8161" s="20"/>
      <c r="AE8161" s="22"/>
      <c r="AF8161" s="22"/>
    </row>
    <row r="8162" spans="29:32" x14ac:dyDescent="0.2">
      <c r="AC8162" s="20"/>
      <c r="AE8162" s="22"/>
      <c r="AF8162" s="22"/>
    </row>
    <row r="8163" spans="29:32" x14ac:dyDescent="0.2">
      <c r="AC8163" s="20"/>
      <c r="AE8163" s="22"/>
      <c r="AF8163" s="22"/>
    </row>
    <row r="8164" spans="29:32" x14ac:dyDescent="0.2">
      <c r="AC8164" s="20"/>
      <c r="AE8164" s="22"/>
      <c r="AF8164" s="22"/>
    </row>
    <row r="8165" spans="29:32" x14ac:dyDescent="0.2">
      <c r="AC8165" s="20"/>
      <c r="AE8165" s="22"/>
      <c r="AF8165" s="22"/>
    </row>
    <row r="8166" spans="29:32" x14ac:dyDescent="0.2">
      <c r="AC8166" s="20"/>
      <c r="AE8166" s="22"/>
      <c r="AF8166" s="22"/>
    </row>
    <row r="8167" spans="29:32" x14ac:dyDescent="0.2">
      <c r="AC8167" s="20"/>
      <c r="AE8167" s="22"/>
      <c r="AF8167" s="22"/>
    </row>
    <row r="8168" spans="29:32" x14ac:dyDescent="0.2">
      <c r="AC8168" s="20"/>
      <c r="AE8168" s="22"/>
      <c r="AF8168" s="22"/>
    </row>
    <row r="8169" spans="29:32" x14ac:dyDescent="0.2">
      <c r="AC8169" s="20"/>
      <c r="AE8169" s="22"/>
      <c r="AF8169" s="22"/>
    </row>
    <row r="8170" spans="29:32" x14ac:dyDescent="0.2">
      <c r="AC8170" s="20"/>
      <c r="AE8170" s="22"/>
      <c r="AF8170" s="22"/>
    </row>
    <row r="8171" spans="29:32" x14ac:dyDescent="0.2">
      <c r="AC8171" s="20"/>
      <c r="AE8171" s="22"/>
      <c r="AF8171" s="22"/>
    </row>
    <row r="8172" spans="29:32" x14ac:dyDescent="0.2">
      <c r="AC8172" s="20"/>
      <c r="AE8172" s="22"/>
      <c r="AF8172" s="22"/>
    </row>
    <row r="8173" spans="29:32" x14ac:dyDescent="0.2">
      <c r="AC8173" s="20"/>
      <c r="AE8173" s="22"/>
      <c r="AF8173" s="22"/>
    </row>
    <row r="8174" spans="29:32" x14ac:dyDescent="0.2">
      <c r="AC8174" s="20"/>
      <c r="AE8174" s="22"/>
      <c r="AF8174" s="22"/>
    </row>
    <row r="8175" spans="29:32" x14ac:dyDescent="0.2">
      <c r="AC8175" s="20"/>
      <c r="AE8175" s="22"/>
      <c r="AF8175" s="22"/>
    </row>
    <row r="8176" spans="29:32" x14ac:dyDescent="0.2">
      <c r="AC8176" s="20"/>
      <c r="AE8176" s="22"/>
      <c r="AF8176" s="22"/>
    </row>
    <row r="8177" spans="29:32" x14ac:dyDescent="0.2">
      <c r="AC8177" s="20"/>
      <c r="AE8177" s="22"/>
      <c r="AF8177" s="22"/>
    </row>
    <row r="8178" spans="29:32" x14ac:dyDescent="0.2">
      <c r="AC8178" s="20"/>
      <c r="AE8178" s="22"/>
      <c r="AF8178" s="22"/>
    </row>
    <row r="8179" spans="29:32" x14ac:dyDescent="0.2">
      <c r="AC8179" s="20"/>
      <c r="AE8179" s="22"/>
      <c r="AF8179" s="22"/>
    </row>
    <row r="8180" spans="29:32" x14ac:dyDescent="0.2">
      <c r="AC8180" s="20"/>
      <c r="AE8180" s="22"/>
      <c r="AF8180" s="22"/>
    </row>
    <row r="8181" spans="29:32" x14ac:dyDescent="0.2">
      <c r="AC8181" s="20"/>
      <c r="AE8181" s="22"/>
      <c r="AF8181" s="22"/>
    </row>
    <row r="8182" spans="29:32" x14ac:dyDescent="0.2">
      <c r="AC8182" s="20"/>
      <c r="AE8182" s="22"/>
      <c r="AF8182" s="22"/>
    </row>
    <row r="8183" spans="29:32" x14ac:dyDescent="0.2">
      <c r="AC8183" s="20"/>
      <c r="AE8183" s="22"/>
      <c r="AF8183" s="22"/>
    </row>
    <row r="8184" spans="29:32" x14ac:dyDescent="0.2">
      <c r="AC8184" s="20"/>
      <c r="AE8184" s="22"/>
      <c r="AF8184" s="22"/>
    </row>
    <row r="8185" spans="29:32" x14ac:dyDescent="0.2">
      <c r="AC8185" s="20"/>
      <c r="AE8185" s="22"/>
      <c r="AF8185" s="22"/>
    </row>
    <row r="8186" spans="29:32" x14ac:dyDescent="0.2">
      <c r="AC8186" s="20"/>
      <c r="AE8186" s="22"/>
      <c r="AF8186" s="22"/>
    </row>
    <row r="8187" spans="29:32" x14ac:dyDescent="0.2">
      <c r="AC8187" s="20"/>
      <c r="AE8187" s="22"/>
      <c r="AF8187" s="22"/>
    </row>
    <row r="8188" spans="29:32" x14ac:dyDescent="0.2">
      <c r="AC8188" s="20"/>
      <c r="AE8188" s="22"/>
      <c r="AF8188" s="22"/>
    </row>
    <row r="8189" spans="29:32" x14ac:dyDescent="0.2">
      <c r="AC8189" s="20"/>
      <c r="AE8189" s="22"/>
      <c r="AF8189" s="22"/>
    </row>
    <row r="8190" spans="29:32" x14ac:dyDescent="0.2">
      <c r="AC8190" s="20"/>
      <c r="AE8190" s="22"/>
      <c r="AF8190" s="22"/>
    </row>
    <row r="8191" spans="29:32" x14ac:dyDescent="0.2">
      <c r="AC8191" s="20"/>
      <c r="AE8191" s="22"/>
      <c r="AF8191" s="22"/>
    </row>
    <row r="8192" spans="29:32" x14ac:dyDescent="0.2">
      <c r="AC8192" s="20"/>
      <c r="AE8192" s="22"/>
      <c r="AF8192" s="22"/>
    </row>
    <row r="8193" spans="29:32" x14ac:dyDescent="0.2">
      <c r="AC8193" s="20"/>
      <c r="AE8193" s="22"/>
      <c r="AF8193" s="22"/>
    </row>
    <row r="8194" spans="29:32" x14ac:dyDescent="0.2">
      <c r="AC8194" s="20"/>
      <c r="AE8194" s="22"/>
      <c r="AF8194" s="22"/>
    </row>
    <row r="8195" spans="29:32" x14ac:dyDescent="0.2">
      <c r="AC8195" s="20"/>
      <c r="AE8195" s="22"/>
      <c r="AF8195" s="22"/>
    </row>
    <row r="8196" spans="29:32" x14ac:dyDescent="0.2">
      <c r="AC8196" s="20"/>
      <c r="AE8196" s="22"/>
      <c r="AF8196" s="22"/>
    </row>
    <row r="8197" spans="29:32" x14ac:dyDescent="0.2">
      <c r="AC8197" s="20"/>
      <c r="AE8197" s="22"/>
      <c r="AF8197" s="22"/>
    </row>
    <row r="8198" spans="29:32" x14ac:dyDescent="0.2">
      <c r="AC8198" s="20"/>
      <c r="AE8198" s="22"/>
      <c r="AF8198" s="22"/>
    </row>
    <row r="8199" spans="29:32" x14ac:dyDescent="0.2">
      <c r="AC8199" s="20"/>
      <c r="AE8199" s="22"/>
      <c r="AF8199" s="22"/>
    </row>
    <row r="8200" spans="29:32" x14ac:dyDescent="0.2">
      <c r="AC8200" s="20"/>
      <c r="AE8200" s="22"/>
      <c r="AF8200" s="22"/>
    </row>
    <row r="8201" spans="29:32" x14ac:dyDescent="0.2">
      <c r="AC8201" s="20"/>
      <c r="AE8201" s="22"/>
      <c r="AF8201" s="22"/>
    </row>
    <row r="8202" spans="29:32" x14ac:dyDescent="0.2">
      <c r="AC8202" s="20"/>
      <c r="AE8202" s="22"/>
      <c r="AF8202" s="22"/>
    </row>
    <row r="8203" spans="29:32" x14ac:dyDescent="0.2">
      <c r="AC8203" s="20"/>
      <c r="AE8203" s="22"/>
      <c r="AF8203" s="22"/>
    </row>
    <row r="8204" spans="29:32" x14ac:dyDescent="0.2">
      <c r="AC8204" s="20"/>
      <c r="AE8204" s="22"/>
      <c r="AF8204" s="22"/>
    </row>
    <row r="8205" spans="29:32" x14ac:dyDescent="0.2">
      <c r="AC8205" s="20"/>
      <c r="AE8205" s="22"/>
      <c r="AF8205" s="22"/>
    </row>
    <row r="8206" spans="29:32" x14ac:dyDescent="0.2">
      <c r="AC8206" s="20"/>
      <c r="AE8206" s="22"/>
      <c r="AF8206" s="22"/>
    </row>
    <row r="8207" spans="29:32" x14ac:dyDescent="0.2">
      <c r="AC8207" s="20"/>
      <c r="AE8207" s="22"/>
      <c r="AF8207" s="22"/>
    </row>
    <row r="8208" spans="29:32" x14ac:dyDescent="0.2">
      <c r="AC8208" s="20"/>
      <c r="AE8208" s="22"/>
      <c r="AF8208" s="22"/>
    </row>
    <row r="8209" spans="29:32" x14ac:dyDescent="0.2">
      <c r="AC8209" s="20"/>
      <c r="AE8209" s="22"/>
      <c r="AF8209" s="22"/>
    </row>
    <row r="8210" spans="29:32" x14ac:dyDescent="0.2">
      <c r="AC8210" s="20"/>
      <c r="AE8210" s="22"/>
      <c r="AF8210" s="22"/>
    </row>
    <row r="8211" spans="29:32" x14ac:dyDescent="0.2">
      <c r="AC8211" s="20"/>
      <c r="AE8211" s="22"/>
      <c r="AF8211" s="22"/>
    </row>
    <row r="8212" spans="29:32" x14ac:dyDescent="0.2">
      <c r="AC8212" s="20"/>
      <c r="AE8212" s="22"/>
      <c r="AF8212" s="22"/>
    </row>
    <row r="8213" spans="29:32" x14ac:dyDescent="0.2">
      <c r="AC8213" s="20"/>
      <c r="AE8213" s="22"/>
      <c r="AF8213" s="22"/>
    </row>
    <row r="8214" spans="29:32" x14ac:dyDescent="0.2">
      <c r="AC8214" s="20"/>
      <c r="AE8214" s="22"/>
      <c r="AF8214" s="22"/>
    </row>
    <row r="8215" spans="29:32" x14ac:dyDescent="0.2">
      <c r="AC8215" s="20"/>
      <c r="AE8215" s="22"/>
      <c r="AF8215" s="22"/>
    </row>
    <row r="8216" spans="29:32" x14ac:dyDescent="0.2">
      <c r="AC8216" s="20"/>
      <c r="AE8216" s="22"/>
      <c r="AF8216" s="22"/>
    </row>
    <row r="8217" spans="29:32" x14ac:dyDescent="0.2">
      <c r="AC8217" s="20"/>
      <c r="AE8217" s="22"/>
      <c r="AF8217" s="22"/>
    </row>
    <row r="8218" spans="29:32" x14ac:dyDescent="0.2">
      <c r="AC8218" s="20"/>
      <c r="AE8218" s="22"/>
      <c r="AF8218" s="22"/>
    </row>
    <row r="8219" spans="29:32" x14ac:dyDescent="0.2">
      <c r="AC8219" s="20"/>
      <c r="AE8219" s="22"/>
      <c r="AF8219" s="22"/>
    </row>
    <row r="8220" spans="29:32" x14ac:dyDescent="0.2">
      <c r="AC8220" s="20"/>
      <c r="AE8220" s="22"/>
      <c r="AF8220" s="22"/>
    </row>
    <row r="8221" spans="29:32" x14ac:dyDescent="0.2">
      <c r="AC8221" s="20"/>
      <c r="AE8221" s="22"/>
      <c r="AF8221" s="22"/>
    </row>
    <row r="8222" spans="29:32" x14ac:dyDescent="0.2">
      <c r="AC8222" s="20"/>
      <c r="AE8222" s="22"/>
      <c r="AF8222" s="22"/>
    </row>
    <row r="8223" spans="29:32" x14ac:dyDescent="0.2">
      <c r="AC8223" s="20"/>
      <c r="AE8223" s="22"/>
      <c r="AF8223" s="22"/>
    </row>
    <row r="8224" spans="29:32" x14ac:dyDescent="0.2">
      <c r="AC8224" s="20"/>
      <c r="AE8224" s="22"/>
      <c r="AF8224" s="22"/>
    </row>
    <row r="8225" spans="29:32" x14ac:dyDescent="0.2">
      <c r="AC8225" s="20"/>
      <c r="AE8225" s="22"/>
      <c r="AF8225" s="22"/>
    </row>
    <row r="8226" spans="29:32" x14ac:dyDescent="0.2">
      <c r="AC8226" s="20"/>
      <c r="AE8226" s="22"/>
      <c r="AF8226" s="22"/>
    </row>
    <row r="8227" spans="29:32" x14ac:dyDescent="0.2">
      <c r="AC8227" s="20"/>
      <c r="AE8227" s="22"/>
      <c r="AF8227" s="22"/>
    </row>
    <row r="8228" spans="29:32" x14ac:dyDescent="0.2">
      <c r="AC8228" s="20"/>
      <c r="AE8228" s="22"/>
      <c r="AF8228" s="22"/>
    </row>
    <row r="8229" spans="29:32" x14ac:dyDescent="0.2">
      <c r="AC8229" s="20"/>
      <c r="AE8229" s="22"/>
      <c r="AF8229" s="22"/>
    </row>
    <row r="8230" spans="29:32" x14ac:dyDescent="0.2">
      <c r="AC8230" s="20"/>
      <c r="AE8230" s="22"/>
      <c r="AF8230" s="22"/>
    </row>
    <row r="8231" spans="29:32" x14ac:dyDescent="0.2">
      <c r="AC8231" s="20"/>
      <c r="AE8231" s="22"/>
      <c r="AF8231" s="22"/>
    </row>
    <row r="8232" spans="29:32" x14ac:dyDescent="0.2">
      <c r="AC8232" s="20"/>
      <c r="AE8232" s="22"/>
      <c r="AF8232" s="22"/>
    </row>
    <row r="8233" spans="29:32" x14ac:dyDescent="0.2">
      <c r="AC8233" s="20"/>
      <c r="AE8233" s="22"/>
      <c r="AF8233" s="22"/>
    </row>
    <row r="8234" spans="29:32" x14ac:dyDescent="0.2">
      <c r="AC8234" s="20"/>
      <c r="AE8234" s="22"/>
      <c r="AF8234" s="22"/>
    </row>
    <row r="8235" spans="29:32" x14ac:dyDescent="0.2">
      <c r="AC8235" s="20"/>
      <c r="AE8235" s="22"/>
      <c r="AF8235" s="22"/>
    </row>
    <row r="8236" spans="29:32" x14ac:dyDescent="0.2">
      <c r="AC8236" s="20"/>
      <c r="AE8236" s="22"/>
      <c r="AF8236" s="22"/>
    </row>
    <row r="8237" spans="29:32" x14ac:dyDescent="0.2">
      <c r="AC8237" s="20"/>
      <c r="AE8237" s="22"/>
      <c r="AF8237" s="22"/>
    </row>
    <row r="8238" spans="29:32" x14ac:dyDescent="0.2">
      <c r="AC8238" s="20"/>
      <c r="AE8238" s="22"/>
      <c r="AF8238" s="22"/>
    </row>
    <row r="8239" spans="29:32" x14ac:dyDescent="0.2">
      <c r="AC8239" s="20"/>
      <c r="AE8239" s="22"/>
      <c r="AF8239" s="22"/>
    </row>
    <row r="8240" spans="29:32" x14ac:dyDescent="0.2">
      <c r="AC8240" s="20"/>
      <c r="AE8240" s="22"/>
      <c r="AF8240" s="22"/>
    </row>
    <row r="8241" spans="29:32" x14ac:dyDescent="0.2">
      <c r="AC8241" s="20"/>
      <c r="AE8241" s="22"/>
      <c r="AF8241" s="22"/>
    </row>
    <row r="8242" spans="29:32" x14ac:dyDescent="0.2">
      <c r="AC8242" s="20"/>
      <c r="AE8242" s="22"/>
      <c r="AF8242" s="22"/>
    </row>
    <row r="8243" spans="29:32" x14ac:dyDescent="0.2">
      <c r="AC8243" s="20"/>
      <c r="AE8243" s="22"/>
      <c r="AF8243" s="22"/>
    </row>
    <row r="8244" spans="29:32" x14ac:dyDescent="0.2">
      <c r="AC8244" s="20"/>
      <c r="AE8244" s="22"/>
      <c r="AF8244" s="22"/>
    </row>
    <row r="8245" spans="29:32" x14ac:dyDescent="0.2">
      <c r="AC8245" s="20"/>
      <c r="AE8245" s="22"/>
      <c r="AF8245" s="22"/>
    </row>
    <row r="8246" spans="29:32" x14ac:dyDescent="0.2">
      <c r="AC8246" s="20"/>
      <c r="AE8246" s="22"/>
      <c r="AF8246" s="22"/>
    </row>
    <row r="8247" spans="29:32" x14ac:dyDescent="0.2">
      <c r="AC8247" s="20"/>
      <c r="AE8247" s="22"/>
      <c r="AF8247" s="22"/>
    </row>
    <row r="8248" spans="29:32" x14ac:dyDescent="0.2">
      <c r="AC8248" s="20"/>
      <c r="AE8248" s="22"/>
      <c r="AF8248" s="22"/>
    </row>
    <row r="8249" spans="29:32" x14ac:dyDescent="0.2">
      <c r="AC8249" s="20"/>
      <c r="AE8249" s="22"/>
      <c r="AF8249" s="22"/>
    </row>
    <row r="8250" spans="29:32" x14ac:dyDescent="0.2">
      <c r="AC8250" s="20"/>
      <c r="AE8250" s="22"/>
      <c r="AF8250" s="22"/>
    </row>
    <row r="8251" spans="29:32" x14ac:dyDescent="0.2">
      <c r="AC8251" s="20"/>
      <c r="AE8251" s="22"/>
      <c r="AF8251" s="22"/>
    </row>
    <row r="8252" spans="29:32" x14ac:dyDescent="0.2">
      <c r="AC8252" s="20"/>
      <c r="AE8252" s="22"/>
      <c r="AF8252" s="22"/>
    </row>
    <row r="8253" spans="29:32" x14ac:dyDescent="0.2">
      <c r="AC8253" s="20"/>
      <c r="AE8253" s="22"/>
      <c r="AF8253" s="22"/>
    </row>
    <row r="8254" spans="29:32" x14ac:dyDescent="0.2">
      <c r="AC8254" s="20"/>
      <c r="AE8254" s="22"/>
      <c r="AF8254" s="22"/>
    </row>
    <row r="8255" spans="29:32" x14ac:dyDescent="0.2">
      <c r="AC8255" s="20"/>
      <c r="AE8255" s="22"/>
      <c r="AF8255" s="22"/>
    </row>
    <row r="8256" spans="29:32" x14ac:dyDescent="0.2">
      <c r="AC8256" s="20"/>
      <c r="AE8256" s="22"/>
      <c r="AF8256" s="22"/>
    </row>
    <row r="8257" spans="29:32" x14ac:dyDescent="0.2">
      <c r="AC8257" s="20"/>
      <c r="AE8257" s="22"/>
      <c r="AF8257" s="22"/>
    </row>
    <row r="8258" spans="29:32" x14ac:dyDescent="0.2">
      <c r="AC8258" s="20"/>
      <c r="AE8258" s="22"/>
      <c r="AF8258" s="22"/>
    </row>
    <row r="8259" spans="29:32" x14ac:dyDescent="0.2">
      <c r="AC8259" s="20"/>
      <c r="AE8259" s="22"/>
      <c r="AF8259" s="22"/>
    </row>
    <row r="8260" spans="29:32" x14ac:dyDescent="0.2">
      <c r="AC8260" s="20"/>
      <c r="AE8260" s="22"/>
      <c r="AF8260" s="22"/>
    </row>
    <row r="8261" spans="29:32" x14ac:dyDescent="0.2">
      <c r="AC8261" s="20"/>
      <c r="AE8261" s="22"/>
      <c r="AF8261" s="22"/>
    </row>
    <row r="8262" spans="29:32" x14ac:dyDescent="0.2">
      <c r="AC8262" s="20"/>
      <c r="AE8262" s="22"/>
      <c r="AF8262" s="22"/>
    </row>
    <row r="8263" spans="29:32" x14ac:dyDescent="0.2">
      <c r="AC8263" s="20"/>
      <c r="AE8263" s="22"/>
      <c r="AF8263" s="22"/>
    </row>
    <row r="8264" spans="29:32" x14ac:dyDescent="0.2">
      <c r="AC8264" s="20"/>
      <c r="AE8264" s="22"/>
      <c r="AF8264" s="22"/>
    </row>
    <row r="8265" spans="29:32" x14ac:dyDescent="0.2">
      <c r="AC8265" s="20"/>
      <c r="AE8265" s="22"/>
      <c r="AF8265" s="22"/>
    </row>
    <row r="8266" spans="29:32" x14ac:dyDescent="0.2">
      <c r="AC8266" s="20"/>
      <c r="AE8266" s="22"/>
      <c r="AF8266" s="22"/>
    </row>
    <row r="8267" spans="29:32" x14ac:dyDescent="0.2">
      <c r="AC8267" s="20"/>
      <c r="AE8267" s="22"/>
      <c r="AF8267" s="22"/>
    </row>
    <row r="8268" spans="29:32" x14ac:dyDescent="0.2">
      <c r="AC8268" s="20"/>
      <c r="AE8268" s="22"/>
      <c r="AF8268" s="22"/>
    </row>
    <row r="8269" spans="29:32" x14ac:dyDescent="0.2">
      <c r="AC8269" s="20"/>
      <c r="AE8269" s="22"/>
      <c r="AF8269" s="22"/>
    </row>
    <row r="8270" spans="29:32" x14ac:dyDescent="0.2">
      <c r="AC8270" s="20"/>
      <c r="AE8270" s="22"/>
      <c r="AF8270" s="22"/>
    </row>
    <row r="8271" spans="29:32" x14ac:dyDescent="0.2">
      <c r="AC8271" s="20"/>
      <c r="AE8271" s="22"/>
      <c r="AF8271" s="22"/>
    </row>
    <row r="8272" spans="29:32" x14ac:dyDescent="0.2">
      <c r="AC8272" s="20"/>
      <c r="AE8272" s="22"/>
      <c r="AF8272" s="22"/>
    </row>
    <row r="8273" spans="29:32" x14ac:dyDescent="0.2">
      <c r="AC8273" s="20"/>
      <c r="AE8273" s="22"/>
      <c r="AF8273" s="22"/>
    </row>
    <row r="8274" spans="29:32" x14ac:dyDescent="0.2">
      <c r="AC8274" s="20"/>
      <c r="AE8274" s="22"/>
      <c r="AF8274" s="22"/>
    </row>
    <row r="8275" spans="29:32" x14ac:dyDescent="0.2">
      <c r="AC8275" s="20"/>
      <c r="AE8275" s="22"/>
      <c r="AF8275" s="22"/>
    </row>
    <row r="8276" spans="29:32" x14ac:dyDescent="0.2">
      <c r="AC8276" s="20"/>
      <c r="AE8276" s="22"/>
      <c r="AF8276" s="22"/>
    </row>
    <row r="8277" spans="29:32" x14ac:dyDescent="0.2">
      <c r="AC8277" s="20"/>
      <c r="AE8277" s="22"/>
      <c r="AF8277" s="22"/>
    </row>
    <row r="8278" spans="29:32" x14ac:dyDescent="0.2">
      <c r="AC8278" s="20"/>
      <c r="AE8278" s="22"/>
      <c r="AF8278" s="22"/>
    </row>
    <row r="8279" spans="29:32" x14ac:dyDescent="0.2">
      <c r="AC8279" s="20"/>
      <c r="AE8279" s="22"/>
      <c r="AF8279" s="22"/>
    </row>
    <row r="8280" spans="29:32" x14ac:dyDescent="0.2">
      <c r="AC8280" s="20"/>
      <c r="AE8280" s="22"/>
      <c r="AF8280" s="22"/>
    </row>
    <row r="8281" spans="29:32" x14ac:dyDescent="0.2">
      <c r="AC8281" s="20"/>
      <c r="AE8281" s="22"/>
      <c r="AF8281" s="22"/>
    </row>
    <row r="8282" spans="29:32" x14ac:dyDescent="0.2">
      <c r="AC8282" s="20"/>
      <c r="AE8282" s="22"/>
      <c r="AF8282" s="22"/>
    </row>
    <row r="8283" spans="29:32" x14ac:dyDescent="0.2">
      <c r="AC8283" s="20"/>
      <c r="AE8283" s="22"/>
      <c r="AF8283" s="22"/>
    </row>
    <row r="8284" spans="29:32" x14ac:dyDescent="0.2">
      <c r="AC8284" s="20"/>
      <c r="AE8284" s="22"/>
      <c r="AF8284" s="22"/>
    </row>
    <row r="8285" spans="29:32" x14ac:dyDescent="0.2">
      <c r="AC8285" s="20"/>
      <c r="AE8285" s="22"/>
      <c r="AF8285" s="22"/>
    </row>
    <row r="8286" spans="29:32" x14ac:dyDescent="0.2">
      <c r="AC8286" s="20"/>
      <c r="AE8286" s="22"/>
      <c r="AF8286" s="22"/>
    </row>
    <row r="8287" spans="29:32" x14ac:dyDescent="0.2">
      <c r="AC8287" s="20"/>
      <c r="AE8287" s="22"/>
      <c r="AF8287" s="22"/>
    </row>
    <row r="8288" spans="29:32" x14ac:dyDescent="0.2">
      <c r="AC8288" s="20"/>
      <c r="AE8288" s="22"/>
      <c r="AF8288" s="22"/>
    </row>
    <row r="8289" spans="29:32" x14ac:dyDescent="0.2">
      <c r="AC8289" s="20"/>
      <c r="AE8289" s="22"/>
      <c r="AF8289" s="22"/>
    </row>
    <row r="8290" spans="29:32" x14ac:dyDescent="0.2">
      <c r="AC8290" s="20"/>
      <c r="AE8290" s="22"/>
      <c r="AF8290" s="22"/>
    </row>
    <row r="8291" spans="29:32" x14ac:dyDescent="0.2">
      <c r="AC8291" s="20"/>
      <c r="AE8291" s="22"/>
      <c r="AF8291" s="22"/>
    </row>
    <row r="8292" spans="29:32" x14ac:dyDescent="0.2">
      <c r="AC8292" s="20"/>
      <c r="AE8292" s="22"/>
      <c r="AF8292" s="22"/>
    </row>
    <row r="8293" spans="29:32" x14ac:dyDescent="0.2">
      <c r="AC8293" s="20"/>
      <c r="AE8293" s="22"/>
      <c r="AF8293" s="22"/>
    </row>
    <row r="8294" spans="29:32" x14ac:dyDescent="0.2">
      <c r="AC8294" s="20"/>
      <c r="AE8294" s="22"/>
      <c r="AF8294" s="22"/>
    </row>
    <row r="8295" spans="29:32" x14ac:dyDescent="0.2">
      <c r="AC8295" s="20"/>
      <c r="AE8295" s="22"/>
      <c r="AF8295" s="22"/>
    </row>
    <row r="8296" spans="29:32" x14ac:dyDescent="0.2">
      <c r="AC8296" s="20"/>
      <c r="AE8296" s="22"/>
      <c r="AF8296" s="22"/>
    </row>
    <row r="8297" spans="29:32" x14ac:dyDescent="0.2">
      <c r="AC8297" s="20"/>
      <c r="AE8297" s="22"/>
      <c r="AF8297" s="22"/>
    </row>
    <row r="8298" spans="29:32" x14ac:dyDescent="0.2">
      <c r="AC8298" s="20"/>
      <c r="AE8298" s="22"/>
      <c r="AF8298" s="22"/>
    </row>
    <row r="8299" spans="29:32" x14ac:dyDescent="0.2">
      <c r="AC8299" s="20"/>
      <c r="AE8299" s="22"/>
      <c r="AF8299" s="22"/>
    </row>
    <row r="8300" spans="29:32" x14ac:dyDescent="0.2">
      <c r="AC8300" s="20"/>
      <c r="AE8300" s="22"/>
      <c r="AF8300" s="22"/>
    </row>
    <row r="8301" spans="29:32" x14ac:dyDescent="0.2">
      <c r="AC8301" s="20"/>
      <c r="AE8301" s="22"/>
      <c r="AF8301" s="22"/>
    </row>
    <row r="8302" spans="29:32" x14ac:dyDescent="0.2">
      <c r="AC8302" s="20"/>
      <c r="AE8302" s="22"/>
      <c r="AF8302" s="22"/>
    </row>
    <row r="8303" spans="29:32" x14ac:dyDescent="0.2">
      <c r="AC8303" s="20"/>
      <c r="AE8303" s="22"/>
      <c r="AF8303" s="22"/>
    </row>
    <row r="8304" spans="29:32" x14ac:dyDescent="0.2">
      <c r="AC8304" s="20"/>
      <c r="AE8304" s="22"/>
      <c r="AF8304" s="22"/>
    </row>
    <row r="8305" spans="29:32" x14ac:dyDescent="0.2">
      <c r="AC8305" s="20"/>
      <c r="AE8305" s="22"/>
      <c r="AF8305" s="22"/>
    </row>
    <row r="8306" spans="29:32" x14ac:dyDescent="0.2">
      <c r="AC8306" s="20"/>
      <c r="AE8306" s="22"/>
      <c r="AF8306" s="22"/>
    </row>
    <row r="8307" spans="29:32" x14ac:dyDescent="0.2">
      <c r="AC8307" s="20"/>
      <c r="AE8307" s="22"/>
      <c r="AF8307" s="22"/>
    </row>
    <row r="8308" spans="29:32" x14ac:dyDescent="0.2">
      <c r="AC8308" s="20"/>
      <c r="AE8308" s="22"/>
      <c r="AF8308" s="22"/>
    </row>
    <row r="8309" spans="29:32" x14ac:dyDescent="0.2">
      <c r="AC8309" s="20"/>
      <c r="AE8309" s="22"/>
      <c r="AF8309" s="22"/>
    </row>
    <row r="8310" spans="29:32" x14ac:dyDescent="0.2">
      <c r="AC8310" s="20"/>
      <c r="AE8310" s="22"/>
      <c r="AF8310" s="22"/>
    </row>
    <row r="8311" spans="29:32" x14ac:dyDescent="0.2">
      <c r="AC8311" s="20"/>
      <c r="AE8311" s="22"/>
      <c r="AF8311" s="22"/>
    </row>
    <row r="8312" spans="29:32" x14ac:dyDescent="0.2">
      <c r="AC8312" s="20"/>
      <c r="AE8312" s="22"/>
      <c r="AF8312" s="22"/>
    </row>
    <row r="8313" spans="29:32" x14ac:dyDescent="0.2">
      <c r="AC8313" s="20"/>
      <c r="AE8313" s="22"/>
      <c r="AF8313" s="22"/>
    </row>
    <row r="8314" spans="29:32" x14ac:dyDescent="0.2">
      <c r="AC8314" s="20"/>
      <c r="AE8314" s="22"/>
      <c r="AF8314" s="22"/>
    </row>
    <row r="8315" spans="29:32" x14ac:dyDescent="0.2">
      <c r="AC8315" s="20"/>
      <c r="AE8315" s="22"/>
      <c r="AF8315" s="22"/>
    </row>
    <row r="8316" spans="29:32" x14ac:dyDescent="0.2">
      <c r="AC8316" s="20"/>
      <c r="AE8316" s="22"/>
      <c r="AF8316" s="22"/>
    </row>
    <row r="8317" spans="29:32" x14ac:dyDescent="0.2">
      <c r="AC8317" s="20"/>
      <c r="AE8317" s="22"/>
      <c r="AF8317" s="22"/>
    </row>
    <row r="8318" spans="29:32" x14ac:dyDescent="0.2">
      <c r="AC8318" s="20"/>
      <c r="AE8318" s="22"/>
      <c r="AF8318" s="22"/>
    </row>
    <row r="8319" spans="29:32" x14ac:dyDescent="0.2">
      <c r="AC8319" s="20"/>
      <c r="AE8319" s="22"/>
      <c r="AF8319" s="22"/>
    </row>
    <row r="8320" spans="29:32" x14ac:dyDescent="0.2">
      <c r="AC8320" s="20"/>
      <c r="AE8320" s="22"/>
      <c r="AF8320" s="22"/>
    </row>
    <row r="8321" spans="29:32" x14ac:dyDescent="0.2">
      <c r="AC8321" s="20"/>
      <c r="AE8321" s="22"/>
      <c r="AF8321" s="22"/>
    </row>
    <row r="8322" spans="29:32" x14ac:dyDescent="0.2">
      <c r="AC8322" s="20"/>
      <c r="AE8322" s="22"/>
      <c r="AF8322" s="22"/>
    </row>
    <row r="8323" spans="29:32" x14ac:dyDescent="0.2">
      <c r="AC8323" s="20"/>
      <c r="AE8323" s="22"/>
      <c r="AF8323" s="22"/>
    </row>
    <row r="8324" spans="29:32" x14ac:dyDescent="0.2">
      <c r="AC8324" s="20"/>
      <c r="AE8324" s="22"/>
      <c r="AF8324" s="22"/>
    </row>
    <row r="8325" spans="29:32" x14ac:dyDescent="0.2">
      <c r="AC8325" s="20"/>
      <c r="AE8325" s="22"/>
      <c r="AF8325" s="22"/>
    </row>
    <row r="8326" spans="29:32" x14ac:dyDescent="0.2">
      <c r="AC8326" s="20"/>
      <c r="AE8326" s="22"/>
      <c r="AF8326" s="22"/>
    </row>
    <row r="8327" spans="29:32" x14ac:dyDescent="0.2">
      <c r="AC8327" s="20"/>
      <c r="AE8327" s="22"/>
      <c r="AF8327" s="22"/>
    </row>
    <row r="8328" spans="29:32" x14ac:dyDescent="0.2">
      <c r="AC8328" s="20"/>
      <c r="AE8328" s="22"/>
      <c r="AF8328" s="22"/>
    </row>
    <row r="8329" spans="29:32" x14ac:dyDescent="0.2">
      <c r="AC8329" s="20"/>
      <c r="AE8329" s="22"/>
      <c r="AF8329" s="22"/>
    </row>
    <row r="8330" spans="29:32" x14ac:dyDescent="0.2">
      <c r="AC8330" s="20"/>
      <c r="AE8330" s="22"/>
      <c r="AF8330" s="22"/>
    </row>
    <row r="8331" spans="29:32" x14ac:dyDescent="0.2">
      <c r="AC8331" s="20"/>
      <c r="AE8331" s="22"/>
      <c r="AF8331" s="22"/>
    </row>
    <row r="8332" spans="29:32" x14ac:dyDescent="0.2">
      <c r="AC8332" s="20"/>
      <c r="AE8332" s="22"/>
      <c r="AF8332" s="22"/>
    </row>
    <row r="8333" spans="29:32" x14ac:dyDescent="0.2">
      <c r="AC8333" s="20"/>
      <c r="AE8333" s="22"/>
      <c r="AF8333" s="22"/>
    </row>
    <row r="8334" spans="29:32" x14ac:dyDescent="0.2">
      <c r="AC8334" s="20"/>
      <c r="AE8334" s="22"/>
      <c r="AF8334" s="22"/>
    </row>
    <row r="8335" spans="29:32" x14ac:dyDescent="0.2">
      <c r="AC8335" s="20"/>
      <c r="AE8335" s="22"/>
      <c r="AF8335" s="22"/>
    </row>
    <row r="8336" spans="29:32" x14ac:dyDescent="0.2">
      <c r="AC8336" s="20"/>
      <c r="AE8336" s="22"/>
      <c r="AF8336" s="22"/>
    </row>
    <row r="8337" spans="29:32" x14ac:dyDescent="0.2">
      <c r="AC8337" s="20"/>
      <c r="AE8337" s="22"/>
      <c r="AF8337" s="22"/>
    </row>
    <row r="8338" spans="29:32" x14ac:dyDescent="0.2">
      <c r="AC8338" s="20"/>
      <c r="AE8338" s="22"/>
      <c r="AF8338" s="22"/>
    </row>
    <row r="8339" spans="29:32" x14ac:dyDescent="0.2">
      <c r="AC8339" s="20"/>
      <c r="AE8339" s="22"/>
      <c r="AF8339" s="22"/>
    </row>
    <row r="8340" spans="29:32" x14ac:dyDescent="0.2">
      <c r="AC8340" s="20"/>
      <c r="AE8340" s="22"/>
      <c r="AF8340" s="22"/>
    </row>
    <row r="8341" spans="29:32" x14ac:dyDescent="0.2">
      <c r="AC8341" s="20"/>
      <c r="AE8341" s="22"/>
      <c r="AF8341" s="22"/>
    </row>
    <row r="8342" spans="29:32" x14ac:dyDescent="0.2">
      <c r="AC8342" s="20"/>
      <c r="AE8342" s="22"/>
      <c r="AF8342" s="22"/>
    </row>
    <row r="8343" spans="29:32" x14ac:dyDescent="0.2">
      <c r="AC8343" s="20"/>
      <c r="AE8343" s="22"/>
      <c r="AF8343" s="22"/>
    </row>
    <row r="8344" spans="29:32" x14ac:dyDescent="0.2">
      <c r="AC8344" s="20"/>
      <c r="AE8344" s="22"/>
      <c r="AF8344" s="22"/>
    </row>
    <row r="8345" spans="29:32" x14ac:dyDescent="0.2">
      <c r="AC8345" s="20"/>
      <c r="AE8345" s="22"/>
      <c r="AF8345" s="22"/>
    </row>
    <row r="8346" spans="29:32" x14ac:dyDescent="0.2">
      <c r="AC8346" s="20"/>
      <c r="AE8346" s="22"/>
      <c r="AF8346" s="22"/>
    </row>
    <row r="8347" spans="29:32" x14ac:dyDescent="0.2">
      <c r="AC8347" s="20"/>
      <c r="AE8347" s="22"/>
      <c r="AF8347" s="22"/>
    </row>
    <row r="8348" spans="29:32" x14ac:dyDescent="0.2">
      <c r="AC8348" s="20"/>
      <c r="AE8348" s="22"/>
      <c r="AF8348" s="22"/>
    </row>
    <row r="8349" spans="29:32" x14ac:dyDescent="0.2">
      <c r="AC8349" s="20"/>
      <c r="AE8349" s="22"/>
      <c r="AF8349" s="22"/>
    </row>
    <row r="8350" spans="29:32" x14ac:dyDescent="0.2">
      <c r="AC8350" s="20"/>
      <c r="AE8350" s="22"/>
      <c r="AF8350" s="22"/>
    </row>
    <row r="8351" spans="29:32" x14ac:dyDescent="0.2">
      <c r="AC8351" s="20"/>
      <c r="AE8351" s="22"/>
      <c r="AF8351" s="22"/>
    </row>
    <row r="8352" spans="29:32" x14ac:dyDescent="0.2">
      <c r="AC8352" s="20"/>
      <c r="AE8352" s="22"/>
      <c r="AF8352" s="22"/>
    </row>
    <row r="8353" spans="29:32" x14ac:dyDescent="0.2">
      <c r="AC8353" s="20"/>
      <c r="AE8353" s="22"/>
      <c r="AF8353" s="22"/>
    </row>
    <row r="8354" spans="29:32" x14ac:dyDescent="0.2">
      <c r="AC8354" s="20"/>
      <c r="AE8354" s="22"/>
      <c r="AF8354" s="22"/>
    </row>
    <row r="8355" spans="29:32" x14ac:dyDescent="0.2">
      <c r="AC8355" s="20"/>
      <c r="AE8355" s="22"/>
      <c r="AF8355" s="22"/>
    </row>
    <row r="8356" spans="29:32" x14ac:dyDescent="0.2">
      <c r="AC8356" s="20"/>
      <c r="AE8356" s="22"/>
      <c r="AF8356" s="22"/>
    </row>
    <row r="8357" spans="29:32" x14ac:dyDescent="0.2">
      <c r="AC8357" s="20"/>
      <c r="AE8357" s="22"/>
      <c r="AF8357" s="22"/>
    </row>
    <row r="8358" spans="29:32" x14ac:dyDescent="0.2">
      <c r="AC8358" s="20"/>
      <c r="AE8358" s="22"/>
      <c r="AF8358" s="22"/>
    </row>
    <row r="8359" spans="29:32" x14ac:dyDescent="0.2">
      <c r="AC8359" s="20"/>
      <c r="AE8359" s="22"/>
      <c r="AF8359" s="22"/>
    </row>
    <row r="8360" spans="29:32" x14ac:dyDescent="0.2">
      <c r="AC8360" s="20"/>
      <c r="AE8360" s="22"/>
      <c r="AF8360" s="22"/>
    </row>
    <row r="8361" spans="29:32" x14ac:dyDescent="0.2">
      <c r="AC8361" s="20"/>
      <c r="AE8361" s="22"/>
      <c r="AF8361" s="22"/>
    </row>
    <row r="8362" spans="29:32" x14ac:dyDescent="0.2">
      <c r="AC8362" s="20"/>
      <c r="AE8362" s="22"/>
      <c r="AF8362" s="22"/>
    </row>
    <row r="8363" spans="29:32" x14ac:dyDescent="0.2">
      <c r="AC8363" s="20"/>
      <c r="AE8363" s="22"/>
      <c r="AF8363" s="22"/>
    </row>
    <row r="8364" spans="29:32" x14ac:dyDescent="0.2">
      <c r="AC8364" s="20"/>
      <c r="AE8364" s="22"/>
      <c r="AF8364" s="22"/>
    </row>
    <row r="8365" spans="29:32" x14ac:dyDescent="0.2">
      <c r="AC8365" s="20"/>
      <c r="AE8365" s="22"/>
      <c r="AF8365" s="22"/>
    </row>
    <row r="8366" spans="29:32" x14ac:dyDescent="0.2">
      <c r="AC8366" s="20"/>
      <c r="AE8366" s="22"/>
      <c r="AF8366" s="22"/>
    </row>
    <row r="8367" spans="29:32" x14ac:dyDescent="0.2">
      <c r="AC8367" s="20"/>
      <c r="AE8367" s="22"/>
      <c r="AF8367" s="22"/>
    </row>
    <row r="8368" spans="29:32" x14ac:dyDescent="0.2">
      <c r="AC8368" s="20"/>
      <c r="AE8368" s="22"/>
      <c r="AF8368" s="22"/>
    </row>
    <row r="8369" spans="29:32" x14ac:dyDescent="0.2">
      <c r="AC8369" s="20"/>
      <c r="AE8369" s="22"/>
      <c r="AF8369" s="22"/>
    </row>
    <row r="8370" spans="29:32" x14ac:dyDescent="0.2">
      <c r="AC8370" s="20"/>
      <c r="AE8370" s="22"/>
      <c r="AF8370" s="22"/>
    </row>
    <row r="8371" spans="29:32" x14ac:dyDescent="0.2">
      <c r="AC8371" s="20"/>
      <c r="AE8371" s="22"/>
      <c r="AF8371" s="22"/>
    </row>
    <row r="8372" spans="29:32" x14ac:dyDescent="0.2">
      <c r="AC8372" s="20"/>
      <c r="AE8372" s="22"/>
      <c r="AF8372" s="22"/>
    </row>
    <row r="8373" spans="29:32" x14ac:dyDescent="0.2">
      <c r="AC8373" s="20"/>
      <c r="AE8373" s="22"/>
      <c r="AF8373" s="22"/>
    </row>
    <row r="8374" spans="29:32" x14ac:dyDescent="0.2">
      <c r="AC8374" s="20"/>
      <c r="AE8374" s="22"/>
      <c r="AF8374" s="22"/>
    </row>
    <row r="8375" spans="29:32" x14ac:dyDescent="0.2">
      <c r="AC8375" s="20"/>
      <c r="AE8375" s="22"/>
      <c r="AF8375" s="22"/>
    </row>
    <row r="8376" spans="29:32" x14ac:dyDescent="0.2">
      <c r="AC8376" s="20"/>
      <c r="AE8376" s="22"/>
      <c r="AF8376" s="22"/>
    </row>
    <row r="8377" spans="29:32" x14ac:dyDescent="0.2">
      <c r="AC8377" s="20"/>
      <c r="AE8377" s="22"/>
      <c r="AF8377" s="22"/>
    </row>
    <row r="8378" spans="29:32" x14ac:dyDescent="0.2">
      <c r="AC8378" s="20"/>
      <c r="AE8378" s="22"/>
      <c r="AF8378" s="22"/>
    </row>
    <row r="8379" spans="29:32" x14ac:dyDescent="0.2">
      <c r="AC8379" s="20"/>
      <c r="AE8379" s="22"/>
      <c r="AF8379" s="22"/>
    </row>
    <row r="8380" spans="29:32" x14ac:dyDescent="0.2">
      <c r="AC8380" s="20"/>
      <c r="AE8380" s="22"/>
      <c r="AF8380" s="22"/>
    </row>
    <row r="8381" spans="29:32" x14ac:dyDescent="0.2">
      <c r="AC8381" s="20"/>
      <c r="AE8381" s="22"/>
      <c r="AF8381" s="22"/>
    </row>
    <row r="8382" spans="29:32" x14ac:dyDescent="0.2">
      <c r="AC8382" s="20"/>
      <c r="AE8382" s="22"/>
      <c r="AF8382" s="22"/>
    </row>
    <row r="8383" spans="29:32" x14ac:dyDescent="0.2">
      <c r="AC8383" s="20"/>
      <c r="AE8383" s="22"/>
      <c r="AF8383" s="22"/>
    </row>
    <row r="8384" spans="29:32" x14ac:dyDescent="0.2">
      <c r="AC8384" s="20"/>
      <c r="AE8384" s="22"/>
      <c r="AF8384" s="22"/>
    </row>
    <row r="8385" spans="29:32" x14ac:dyDescent="0.2">
      <c r="AC8385" s="20"/>
      <c r="AE8385" s="22"/>
      <c r="AF8385" s="22"/>
    </row>
    <row r="8386" spans="29:32" x14ac:dyDescent="0.2">
      <c r="AC8386" s="20"/>
      <c r="AE8386" s="22"/>
      <c r="AF8386" s="22"/>
    </row>
    <row r="8387" spans="29:32" x14ac:dyDescent="0.2">
      <c r="AC8387" s="20"/>
      <c r="AE8387" s="22"/>
      <c r="AF8387" s="22"/>
    </row>
    <row r="8388" spans="29:32" x14ac:dyDescent="0.2">
      <c r="AC8388" s="20"/>
      <c r="AE8388" s="22"/>
      <c r="AF8388" s="22"/>
    </row>
    <row r="8389" spans="29:32" x14ac:dyDescent="0.2">
      <c r="AC8389" s="20"/>
      <c r="AE8389" s="22"/>
      <c r="AF8389" s="22"/>
    </row>
    <row r="8390" spans="29:32" x14ac:dyDescent="0.2">
      <c r="AC8390" s="20"/>
      <c r="AE8390" s="22"/>
      <c r="AF8390" s="22"/>
    </row>
    <row r="8391" spans="29:32" x14ac:dyDescent="0.2">
      <c r="AC8391" s="20"/>
      <c r="AE8391" s="22"/>
      <c r="AF8391" s="22"/>
    </row>
    <row r="8392" spans="29:32" x14ac:dyDescent="0.2">
      <c r="AC8392" s="20"/>
      <c r="AE8392" s="22"/>
      <c r="AF8392" s="22"/>
    </row>
    <row r="8393" spans="29:32" x14ac:dyDescent="0.2">
      <c r="AC8393" s="20"/>
      <c r="AE8393" s="22"/>
      <c r="AF8393" s="22"/>
    </row>
    <row r="8394" spans="29:32" x14ac:dyDescent="0.2">
      <c r="AC8394" s="20"/>
      <c r="AE8394" s="22"/>
      <c r="AF8394" s="22"/>
    </row>
    <row r="8395" spans="29:32" x14ac:dyDescent="0.2">
      <c r="AC8395" s="20"/>
      <c r="AE8395" s="22"/>
      <c r="AF8395" s="22"/>
    </row>
    <row r="8396" spans="29:32" x14ac:dyDescent="0.2">
      <c r="AC8396" s="20"/>
      <c r="AE8396" s="22"/>
      <c r="AF8396" s="22"/>
    </row>
    <row r="8397" spans="29:32" x14ac:dyDescent="0.2">
      <c r="AC8397" s="20"/>
      <c r="AE8397" s="22"/>
      <c r="AF8397" s="22"/>
    </row>
    <row r="8398" spans="29:32" x14ac:dyDescent="0.2">
      <c r="AC8398" s="20"/>
      <c r="AE8398" s="22"/>
      <c r="AF8398" s="22"/>
    </row>
    <row r="8399" spans="29:32" x14ac:dyDescent="0.2">
      <c r="AC8399" s="20"/>
      <c r="AE8399" s="22"/>
      <c r="AF8399" s="22"/>
    </row>
    <row r="8400" spans="29:32" x14ac:dyDescent="0.2">
      <c r="AC8400" s="20"/>
      <c r="AE8400" s="22"/>
      <c r="AF8400" s="22"/>
    </row>
    <row r="8401" spans="29:32" x14ac:dyDescent="0.2">
      <c r="AC8401" s="20"/>
      <c r="AE8401" s="22"/>
      <c r="AF8401" s="22"/>
    </row>
    <row r="8402" spans="29:32" x14ac:dyDescent="0.2">
      <c r="AC8402" s="20"/>
      <c r="AE8402" s="22"/>
      <c r="AF8402" s="22"/>
    </row>
    <row r="8403" spans="29:32" x14ac:dyDescent="0.2">
      <c r="AC8403" s="20"/>
      <c r="AE8403" s="22"/>
      <c r="AF8403" s="22"/>
    </row>
    <row r="8404" spans="29:32" x14ac:dyDescent="0.2">
      <c r="AC8404" s="20"/>
      <c r="AE8404" s="22"/>
      <c r="AF8404" s="22"/>
    </row>
    <row r="8405" spans="29:32" x14ac:dyDescent="0.2">
      <c r="AC8405" s="20"/>
      <c r="AE8405" s="22"/>
      <c r="AF8405" s="22"/>
    </row>
    <row r="8406" spans="29:32" x14ac:dyDescent="0.2">
      <c r="AC8406" s="20"/>
      <c r="AE8406" s="22"/>
      <c r="AF8406" s="22"/>
    </row>
    <row r="8407" spans="29:32" x14ac:dyDescent="0.2">
      <c r="AC8407" s="20"/>
      <c r="AE8407" s="22"/>
      <c r="AF8407" s="22"/>
    </row>
    <row r="8408" spans="29:32" x14ac:dyDescent="0.2">
      <c r="AC8408" s="20"/>
      <c r="AE8408" s="22"/>
      <c r="AF8408" s="22"/>
    </row>
    <row r="8409" spans="29:32" x14ac:dyDescent="0.2">
      <c r="AC8409" s="20"/>
      <c r="AE8409" s="22"/>
      <c r="AF8409" s="22"/>
    </row>
    <row r="8410" spans="29:32" x14ac:dyDescent="0.2">
      <c r="AC8410" s="20"/>
      <c r="AE8410" s="22"/>
      <c r="AF8410" s="22"/>
    </row>
    <row r="8411" spans="29:32" x14ac:dyDescent="0.2">
      <c r="AC8411" s="20"/>
      <c r="AE8411" s="22"/>
      <c r="AF8411" s="22"/>
    </row>
    <row r="8412" spans="29:32" x14ac:dyDescent="0.2">
      <c r="AC8412" s="20"/>
      <c r="AE8412" s="22"/>
      <c r="AF8412" s="22"/>
    </row>
    <row r="8413" spans="29:32" x14ac:dyDescent="0.2">
      <c r="AC8413" s="20"/>
      <c r="AE8413" s="22"/>
      <c r="AF8413" s="22"/>
    </row>
    <row r="8414" spans="29:32" x14ac:dyDescent="0.2">
      <c r="AC8414" s="20"/>
      <c r="AE8414" s="22"/>
      <c r="AF8414" s="22"/>
    </row>
    <row r="8415" spans="29:32" x14ac:dyDescent="0.2">
      <c r="AC8415" s="20"/>
      <c r="AE8415" s="22"/>
      <c r="AF8415" s="22"/>
    </row>
    <row r="8416" spans="29:32" x14ac:dyDescent="0.2">
      <c r="AC8416" s="20"/>
      <c r="AE8416" s="22"/>
      <c r="AF8416" s="22"/>
    </row>
    <row r="8417" spans="29:32" x14ac:dyDescent="0.2">
      <c r="AC8417" s="20"/>
      <c r="AE8417" s="22"/>
      <c r="AF8417" s="22"/>
    </row>
    <row r="8418" spans="29:32" x14ac:dyDescent="0.2">
      <c r="AC8418" s="20"/>
      <c r="AE8418" s="22"/>
      <c r="AF8418" s="22"/>
    </row>
    <row r="8419" spans="29:32" x14ac:dyDescent="0.2">
      <c r="AC8419" s="20"/>
      <c r="AE8419" s="22"/>
      <c r="AF8419" s="22"/>
    </row>
    <row r="8420" spans="29:32" x14ac:dyDescent="0.2">
      <c r="AC8420" s="20"/>
      <c r="AE8420" s="22"/>
      <c r="AF8420" s="22"/>
    </row>
    <row r="8421" spans="29:32" x14ac:dyDescent="0.2">
      <c r="AC8421" s="20"/>
      <c r="AE8421" s="22"/>
      <c r="AF8421" s="22"/>
    </row>
    <row r="8422" spans="29:32" x14ac:dyDescent="0.2">
      <c r="AC8422" s="20"/>
      <c r="AE8422" s="22"/>
      <c r="AF8422" s="22"/>
    </row>
    <row r="8423" spans="29:32" x14ac:dyDescent="0.2">
      <c r="AC8423" s="20"/>
      <c r="AE8423" s="22"/>
      <c r="AF8423" s="22"/>
    </row>
    <row r="8424" spans="29:32" x14ac:dyDescent="0.2">
      <c r="AC8424" s="20"/>
      <c r="AE8424" s="22"/>
      <c r="AF8424" s="22"/>
    </row>
    <row r="8425" spans="29:32" x14ac:dyDescent="0.2">
      <c r="AC8425" s="20"/>
      <c r="AE8425" s="22"/>
      <c r="AF8425" s="22"/>
    </row>
    <row r="8426" spans="29:32" x14ac:dyDescent="0.2">
      <c r="AC8426" s="20"/>
      <c r="AE8426" s="22"/>
      <c r="AF8426" s="22"/>
    </row>
    <row r="8427" spans="29:32" x14ac:dyDescent="0.2">
      <c r="AC8427" s="20"/>
      <c r="AE8427" s="22"/>
      <c r="AF8427" s="22"/>
    </row>
    <row r="8428" spans="29:32" x14ac:dyDescent="0.2">
      <c r="AC8428" s="20"/>
      <c r="AE8428" s="22"/>
      <c r="AF8428" s="22"/>
    </row>
    <row r="8429" spans="29:32" x14ac:dyDescent="0.2">
      <c r="AC8429" s="20"/>
      <c r="AE8429" s="22"/>
      <c r="AF8429" s="22"/>
    </row>
    <row r="8430" spans="29:32" x14ac:dyDescent="0.2">
      <c r="AC8430" s="20"/>
      <c r="AE8430" s="22"/>
      <c r="AF8430" s="22"/>
    </row>
    <row r="8431" spans="29:32" x14ac:dyDescent="0.2">
      <c r="AC8431" s="20"/>
      <c r="AE8431" s="22"/>
      <c r="AF8431" s="22"/>
    </row>
    <row r="8432" spans="29:32" x14ac:dyDescent="0.2">
      <c r="AC8432" s="20"/>
      <c r="AE8432" s="22"/>
      <c r="AF8432" s="22"/>
    </row>
    <row r="8433" spans="29:32" x14ac:dyDescent="0.2">
      <c r="AC8433" s="20"/>
      <c r="AE8433" s="22"/>
      <c r="AF8433" s="22"/>
    </row>
    <row r="8434" spans="29:32" x14ac:dyDescent="0.2">
      <c r="AC8434" s="20"/>
      <c r="AE8434" s="22"/>
      <c r="AF8434" s="22"/>
    </row>
    <row r="8435" spans="29:32" x14ac:dyDescent="0.2">
      <c r="AC8435" s="20"/>
      <c r="AE8435" s="22"/>
      <c r="AF8435" s="22"/>
    </row>
    <row r="8436" spans="29:32" x14ac:dyDescent="0.2">
      <c r="AC8436" s="20"/>
      <c r="AE8436" s="22"/>
      <c r="AF8436" s="22"/>
    </row>
    <row r="8437" spans="29:32" x14ac:dyDescent="0.2">
      <c r="AC8437" s="20"/>
      <c r="AE8437" s="22"/>
      <c r="AF8437" s="22"/>
    </row>
    <row r="8438" spans="29:32" x14ac:dyDescent="0.2">
      <c r="AC8438" s="20"/>
      <c r="AE8438" s="22"/>
      <c r="AF8438" s="22"/>
    </row>
    <row r="8439" spans="29:32" x14ac:dyDescent="0.2">
      <c r="AC8439" s="20"/>
      <c r="AE8439" s="22"/>
      <c r="AF8439" s="22"/>
    </row>
    <row r="8440" spans="29:32" x14ac:dyDescent="0.2">
      <c r="AC8440" s="20"/>
      <c r="AE8440" s="22"/>
      <c r="AF8440" s="22"/>
    </row>
    <row r="8441" spans="29:32" x14ac:dyDescent="0.2">
      <c r="AC8441" s="20"/>
      <c r="AE8441" s="22"/>
      <c r="AF8441" s="22"/>
    </row>
    <row r="8442" spans="29:32" x14ac:dyDescent="0.2">
      <c r="AC8442" s="20"/>
      <c r="AE8442" s="22"/>
      <c r="AF8442" s="22"/>
    </row>
    <row r="8443" spans="29:32" x14ac:dyDescent="0.2">
      <c r="AC8443" s="20"/>
      <c r="AE8443" s="22"/>
      <c r="AF8443" s="22"/>
    </row>
    <row r="8444" spans="29:32" x14ac:dyDescent="0.2">
      <c r="AC8444" s="20"/>
      <c r="AE8444" s="22"/>
      <c r="AF8444" s="22"/>
    </row>
    <row r="8445" spans="29:32" x14ac:dyDescent="0.2">
      <c r="AC8445" s="20"/>
      <c r="AE8445" s="22"/>
      <c r="AF8445" s="22"/>
    </row>
    <row r="8446" spans="29:32" x14ac:dyDescent="0.2">
      <c r="AC8446" s="20"/>
      <c r="AE8446" s="22"/>
      <c r="AF8446" s="22"/>
    </row>
    <row r="8447" spans="29:32" x14ac:dyDescent="0.2">
      <c r="AC8447" s="20"/>
      <c r="AE8447" s="22"/>
      <c r="AF8447" s="22"/>
    </row>
    <row r="8448" spans="29:32" x14ac:dyDescent="0.2">
      <c r="AC8448" s="20"/>
      <c r="AE8448" s="22"/>
      <c r="AF8448" s="22"/>
    </row>
    <row r="8449" spans="29:32" x14ac:dyDescent="0.2">
      <c r="AC8449" s="20"/>
      <c r="AE8449" s="22"/>
      <c r="AF8449" s="22"/>
    </row>
    <row r="8450" spans="29:32" x14ac:dyDescent="0.2">
      <c r="AC8450" s="20"/>
      <c r="AE8450" s="22"/>
      <c r="AF8450" s="22"/>
    </row>
    <row r="8451" spans="29:32" x14ac:dyDescent="0.2">
      <c r="AC8451" s="20"/>
      <c r="AE8451" s="22"/>
      <c r="AF8451" s="22"/>
    </row>
    <row r="8452" spans="29:32" x14ac:dyDescent="0.2">
      <c r="AC8452" s="20"/>
      <c r="AE8452" s="22"/>
      <c r="AF8452" s="22"/>
    </row>
    <row r="8453" spans="29:32" x14ac:dyDescent="0.2">
      <c r="AC8453" s="20"/>
      <c r="AE8453" s="22"/>
      <c r="AF8453" s="22"/>
    </row>
    <row r="8454" spans="29:32" x14ac:dyDescent="0.2">
      <c r="AC8454" s="20"/>
      <c r="AE8454" s="22"/>
      <c r="AF8454" s="22"/>
    </row>
    <row r="8455" spans="29:32" x14ac:dyDescent="0.2">
      <c r="AC8455" s="20"/>
      <c r="AE8455" s="22"/>
      <c r="AF8455" s="22"/>
    </row>
    <row r="8456" spans="29:32" x14ac:dyDescent="0.2">
      <c r="AC8456" s="20"/>
      <c r="AE8456" s="22"/>
      <c r="AF8456" s="22"/>
    </row>
    <row r="8457" spans="29:32" x14ac:dyDescent="0.2">
      <c r="AC8457" s="20"/>
      <c r="AE8457" s="22"/>
      <c r="AF8457" s="22"/>
    </row>
    <row r="8458" spans="29:32" x14ac:dyDescent="0.2">
      <c r="AC8458" s="20"/>
      <c r="AE8458" s="22"/>
      <c r="AF8458" s="22"/>
    </row>
    <row r="8459" spans="29:32" x14ac:dyDescent="0.2">
      <c r="AC8459" s="20"/>
      <c r="AE8459" s="22"/>
      <c r="AF8459" s="22"/>
    </row>
    <row r="8460" spans="29:32" x14ac:dyDescent="0.2">
      <c r="AC8460" s="20"/>
      <c r="AE8460" s="22"/>
      <c r="AF8460" s="22"/>
    </row>
    <row r="8461" spans="29:32" x14ac:dyDescent="0.2">
      <c r="AC8461" s="20"/>
      <c r="AE8461" s="22"/>
      <c r="AF8461" s="22"/>
    </row>
    <row r="8462" spans="29:32" x14ac:dyDescent="0.2">
      <c r="AC8462" s="20"/>
      <c r="AE8462" s="22"/>
      <c r="AF8462" s="22"/>
    </row>
    <row r="8463" spans="29:32" x14ac:dyDescent="0.2">
      <c r="AC8463" s="20"/>
      <c r="AE8463" s="22"/>
      <c r="AF8463" s="22"/>
    </row>
    <row r="8464" spans="29:32" x14ac:dyDescent="0.2">
      <c r="AC8464" s="20"/>
      <c r="AE8464" s="22"/>
      <c r="AF8464" s="22"/>
    </row>
    <row r="8465" spans="29:32" x14ac:dyDescent="0.2">
      <c r="AC8465" s="20"/>
      <c r="AE8465" s="22"/>
      <c r="AF8465" s="22"/>
    </row>
    <row r="8466" spans="29:32" x14ac:dyDescent="0.2">
      <c r="AC8466" s="20"/>
      <c r="AE8466" s="22"/>
      <c r="AF8466" s="22"/>
    </row>
    <row r="8467" spans="29:32" x14ac:dyDescent="0.2">
      <c r="AC8467" s="20"/>
      <c r="AE8467" s="22"/>
      <c r="AF8467" s="22"/>
    </row>
    <row r="8468" spans="29:32" x14ac:dyDescent="0.2">
      <c r="AC8468" s="20"/>
      <c r="AE8468" s="22"/>
      <c r="AF8468" s="22"/>
    </row>
    <row r="8469" spans="29:32" x14ac:dyDescent="0.2">
      <c r="AC8469" s="20"/>
      <c r="AE8469" s="22"/>
      <c r="AF8469" s="22"/>
    </row>
    <row r="8470" spans="29:32" x14ac:dyDescent="0.2">
      <c r="AC8470" s="20"/>
      <c r="AE8470" s="22"/>
      <c r="AF8470" s="22"/>
    </row>
    <row r="8471" spans="29:32" x14ac:dyDescent="0.2">
      <c r="AC8471" s="20"/>
      <c r="AE8471" s="22"/>
      <c r="AF8471" s="22"/>
    </row>
    <row r="8472" spans="29:32" x14ac:dyDescent="0.2">
      <c r="AC8472" s="20"/>
      <c r="AE8472" s="22"/>
      <c r="AF8472" s="22"/>
    </row>
    <row r="8473" spans="29:32" x14ac:dyDescent="0.2">
      <c r="AC8473" s="20"/>
      <c r="AE8473" s="22"/>
      <c r="AF8473" s="22"/>
    </row>
    <row r="8474" spans="29:32" x14ac:dyDescent="0.2">
      <c r="AC8474" s="20"/>
      <c r="AE8474" s="22"/>
      <c r="AF8474" s="22"/>
    </row>
    <row r="8475" spans="29:32" x14ac:dyDescent="0.2">
      <c r="AC8475" s="20"/>
      <c r="AE8475" s="22"/>
      <c r="AF8475" s="22"/>
    </row>
    <row r="8476" spans="29:32" x14ac:dyDescent="0.2">
      <c r="AC8476" s="20"/>
      <c r="AE8476" s="22"/>
      <c r="AF8476" s="22"/>
    </row>
    <row r="8477" spans="29:32" x14ac:dyDescent="0.2">
      <c r="AC8477" s="20"/>
      <c r="AE8477" s="22"/>
      <c r="AF8477" s="22"/>
    </row>
    <row r="8478" spans="29:32" x14ac:dyDescent="0.2">
      <c r="AC8478" s="20"/>
      <c r="AE8478" s="22"/>
      <c r="AF8478" s="22"/>
    </row>
    <row r="8479" spans="29:32" x14ac:dyDescent="0.2">
      <c r="AC8479" s="20"/>
      <c r="AE8479" s="22"/>
      <c r="AF8479" s="22"/>
    </row>
    <row r="8480" spans="29:32" x14ac:dyDescent="0.2">
      <c r="AC8480" s="20"/>
      <c r="AE8480" s="22"/>
      <c r="AF8480" s="22"/>
    </row>
    <row r="8481" spans="29:32" x14ac:dyDescent="0.2">
      <c r="AC8481" s="20"/>
      <c r="AE8481" s="22"/>
      <c r="AF8481" s="22"/>
    </row>
    <row r="8482" spans="29:32" x14ac:dyDescent="0.2">
      <c r="AC8482" s="20"/>
      <c r="AE8482" s="22"/>
      <c r="AF8482" s="22"/>
    </row>
    <row r="8483" spans="29:32" x14ac:dyDescent="0.2">
      <c r="AC8483" s="20"/>
      <c r="AE8483" s="22"/>
      <c r="AF8483" s="22"/>
    </row>
    <row r="8484" spans="29:32" x14ac:dyDescent="0.2">
      <c r="AC8484" s="20"/>
      <c r="AE8484" s="22"/>
      <c r="AF8484" s="22"/>
    </row>
    <row r="8485" spans="29:32" x14ac:dyDescent="0.2">
      <c r="AC8485" s="20"/>
      <c r="AE8485" s="22"/>
      <c r="AF8485" s="22"/>
    </row>
    <row r="8486" spans="29:32" x14ac:dyDescent="0.2">
      <c r="AC8486" s="20"/>
      <c r="AE8486" s="22"/>
      <c r="AF8486" s="22"/>
    </row>
    <row r="8487" spans="29:32" x14ac:dyDescent="0.2">
      <c r="AC8487" s="20"/>
      <c r="AE8487" s="22"/>
      <c r="AF8487" s="22"/>
    </row>
    <row r="8488" spans="29:32" x14ac:dyDescent="0.2">
      <c r="AC8488" s="20"/>
      <c r="AE8488" s="22"/>
      <c r="AF8488" s="22"/>
    </row>
    <row r="8489" spans="29:32" x14ac:dyDescent="0.2">
      <c r="AC8489" s="20"/>
      <c r="AE8489" s="22"/>
      <c r="AF8489" s="22"/>
    </row>
    <row r="8490" spans="29:32" x14ac:dyDescent="0.2">
      <c r="AC8490" s="20"/>
      <c r="AE8490" s="22"/>
      <c r="AF8490" s="22"/>
    </row>
    <row r="8491" spans="29:32" x14ac:dyDescent="0.2">
      <c r="AC8491" s="20"/>
      <c r="AE8491" s="22"/>
      <c r="AF8491" s="22"/>
    </row>
    <row r="8492" spans="29:32" x14ac:dyDescent="0.2">
      <c r="AC8492" s="20"/>
      <c r="AE8492" s="22"/>
      <c r="AF8492" s="22"/>
    </row>
    <row r="8493" spans="29:32" x14ac:dyDescent="0.2">
      <c r="AC8493" s="20"/>
      <c r="AE8493" s="22"/>
      <c r="AF8493" s="22"/>
    </row>
    <row r="8494" spans="29:32" x14ac:dyDescent="0.2">
      <c r="AC8494" s="20"/>
      <c r="AE8494" s="22"/>
      <c r="AF8494" s="22"/>
    </row>
    <row r="8495" spans="29:32" x14ac:dyDescent="0.2">
      <c r="AC8495" s="20"/>
      <c r="AE8495" s="22"/>
      <c r="AF8495" s="22"/>
    </row>
    <row r="8496" spans="29:32" x14ac:dyDescent="0.2">
      <c r="AC8496" s="20"/>
      <c r="AE8496" s="22"/>
      <c r="AF8496" s="22"/>
    </row>
    <row r="8497" spans="29:32" x14ac:dyDescent="0.2">
      <c r="AC8497" s="20"/>
      <c r="AE8497" s="22"/>
      <c r="AF8497" s="22"/>
    </row>
    <row r="8498" spans="29:32" x14ac:dyDescent="0.2">
      <c r="AC8498" s="20"/>
      <c r="AE8498" s="22"/>
      <c r="AF8498" s="22"/>
    </row>
    <row r="8499" spans="29:32" x14ac:dyDescent="0.2">
      <c r="AC8499" s="20"/>
      <c r="AE8499" s="22"/>
      <c r="AF8499" s="22"/>
    </row>
    <row r="8500" spans="29:32" x14ac:dyDescent="0.2">
      <c r="AC8500" s="20"/>
      <c r="AE8500" s="22"/>
      <c r="AF8500" s="22"/>
    </row>
    <row r="8501" spans="29:32" x14ac:dyDescent="0.2">
      <c r="AC8501" s="20"/>
      <c r="AE8501" s="22"/>
      <c r="AF8501" s="22"/>
    </row>
    <row r="8502" spans="29:32" x14ac:dyDescent="0.2">
      <c r="AC8502" s="20"/>
      <c r="AE8502" s="22"/>
      <c r="AF8502" s="22"/>
    </row>
    <row r="8503" spans="29:32" x14ac:dyDescent="0.2">
      <c r="AC8503" s="20"/>
      <c r="AE8503" s="22"/>
      <c r="AF8503" s="22"/>
    </row>
    <row r="8504" spans="29:32" x14ac:dyDescent="0.2">
      <c r="AC8504" s="20"/>
      <c r="AE8504" s="22"/>
      <c r="AF8504" s="22"/>
    </row>
    <row r="8505" spans="29:32" x14ac:dyDescent="0.2">
      <c r="AC8505" s="20"/>
      <c r="AE8505" s="22"/>
      <c r="AF8505" s="22"/>
    </row>
    <row r="8506" spans="29:32" x14ac:dyDescent="0.2">
      <c r="AC8506" s="20"/>
      <c r="AE8506" s="22"/>
      <c r="AF8506" s="22"/>
    </row>
    <row r="8507" spans="29:32" x14ac:dyDescent="0.2">
      <c r="AC8507" s="20"/>
      <c r="AE8507" s="22"/>
      <c r="AF8507" s="22"/>
    </row>
    <row r="8508" spans="29:32" x14ac:dyDescent="0.2">
      <c r="AC8508" s="20"/>
      <c r="AE8508" s="22"/>
      <c r="AF8508" s="22"/>
    </row>
    <row r="8509" spans="29:32" x14ac:dyDescent="0.2">
      <c r="AC8509" s="20"/>
      <c r="AE8509" s="22"/>
      <c r="AF8509" s="22"/>
    </row>
    <row r="8510" spans="29:32" x14ac:dyDescent="0.2">
      <c r="AC8510" s="20"/>
      <c r="AE8510" s="22"/>
      <c r="AF8510" s="22"/>
    </row>
    <row r="8511" spans="29:32" x14ac:dyDescent="0.2">
      <c r="AC8511" s="20"/>
      <c r="AE8511" s="22"/>
      <c r="AF8511" s="22"/>
    </row>
    <row r="8512" spans="29:32" x14ac:dyDescent="0.2">
      <c r="AC8512" s="20"/>
      <c r="AE8512" s="22"/>
      <c r="AF8512" s="22"/>
    </row>
    <row r="8513" spans="29:32" x14ac:dyDescent="0.2">
      <c r="AC8513" s="20"/>
      <c r="AE8513" s="22"/>
      <c r="AF8513" s="22"/>
    </row>
    <row r="8514" spans="29:32" x14ac:dyDescent="0.2">
      <c r="AC8514" s="20"/>
      <c r="AE8514" s="22"/>
      <c r="AF8514" s="22"/>
    </row>
    <row r="8515" spans="29:32" x14ac:dyDescent="0.2">
      <c r="AC8515" s="20"/>
      <c r="AE8515" s="22"/>
      <c r="AF8515" s="22"/>
    </row>
    <row r="8516" spans="29:32" x14ac:dyDescent="0.2">
      <c r="AC8516" s="20"/>
      <c r="AE8516" s="22"/>
      <c r="AF8516" s="22"/>
    </row>
    <row r="8517" spans="29:32" x14ac:dyDescent="0.2">
      <c r="AC8517" s="20"/>
      <c r="AE8517" s="22"/>
      <c r="AF8517" s="22"/>
    </row>
    <row r="8518" spans="29:32" x14ac:dyDescent="0.2">
      <c r="AC8518" s="20"/>
      <c r="AE8518" s="22"/>
      <c r="AF8518" s="22"/>
    </row>
    <row r="8519" spans="29:32" x14ac:dyDescent="0.2">
      <c r="AC8519" s="20"/>
      <c r="AE8519" s="22"/>
      <c r="AF8519" s="22"/>
    </row>
    <row r="8520" spans="29:32" x14ac:dyDescent="0.2">
      <c r="AC8520" s="20"/>
      <c r="AE8520" s="22"/>
      <c r="AF8520" s="22"/>
    </row>
    <row r="8521" spans="29:32" x14ac:dyDescent="0.2">
      <c r="AC8521" s="20"/>
      <c r="AE8521" s="22"/>
      <c r="AF8521" s="22"/>
    </row>
    <row r="8522" spans="29:32" x14ac:dyDescent="0.2">
      <c r="AC8522" s="20"/>
      <c r="AE8522" s="22"/>
      <c r="AF8522" s="22"/>
    </row>
    <row r="8523" spans="29:32" x14ac:dyDescent="0.2">
      <c r="AC8523" s="20"/>
      <c r="AE8523" s="22"/>
      <c r="AF8523" s="22"/>
    </row>
    <row r="8524" spans="29:32" x14ac:dyDescent="0.2">
      <c r="AC8524" s="20"/>
      <c r="AE8524" s="22"/>
      <c r="AF8524" s="22"/>
    </row>
    <row r="8525" spans="29:32" x14ac:dyDescent="0.2">
      <c r="AC8525" s="20"/>
      <c r="AE8525" s="22"/>
      <c r="AF8525" s="22"/>
    </row>
    <row r="8526" spans="29:32" x14ac:dyDescent="0.2">
      <c r="AC8526" s="20"/>
      <c r="AE8526" s="22"/>
      <c r="AF8526" s="22"/>
    </row>
    <row r="8527" spans="29:32" x14ac:dyDescent="0.2">
      <c r="AC8527" s="20"/>
      <c r="AE8527" s="22"/>
      <c r="AF8527" s="22"/>
    </row>
    <row r="8528" spans="29:32" x14ac:dyDescent="0.2">
      <c r="AC8528" s="20"/>
      <c r="AE8528" s="22"/>
      <c r="AF8528" s="22"/>
    </row>
    <row r="8529" spans="29:32" x14ac:dyDescent="0.2">
      <c r="AC8529" s="20"/>
      <c r="AE8529" s="22"/>
      <c r="AF8529" s="22"/>
    </row>
    <row r="8530" spans="29:32" x14ac:dyDescent="0.2">
      <c r="AC8530" s="20"/>
      <c r="AE8530" s="22"/>
      <c r="AF8530" s="22"/>
    </row>
    <row r="8531" spans="29:32" x14ac:dyDescent="0.2">
      <c r="AC8531" s="20"/>
      <c r="AE8531" s="22"/>
      <c r="AF8531" s="22"/>
    </row>
    <row r="8532" spans="29:32" x14ac:dyDescent="0.2">
      <c r="AC8532" s="20"/>
      <c r="AE8532" s="22"/>
      <c r="AF8532" s="22"/>
    </row>
    <row r="8533" spans="29:32" x14ac:dyDescent="0.2">
      <c r="AC8533" s="20"/>
      <c r="AE8533" s="22"/>
      <c r="AF8533" s="22"/>
    </row>
    <row r="8534" spans="29:32" x14ac:dyDescent="0.2">
      <c r="AC8534" s="20"/>
      <c r="AE8534" s="22"/>
      <c r="AF8534" s="22"/>
    </row>
    <row r="8535" spans="29:32" x14ac:dyDescent="0.2">
      <c r="AC8535" s="20"/>
      <c r="AE8535" s="22"/>
      <c r="AF8535" s="22"/>
    </row>
    <row r="8536" spans="29:32" x14ac:dyDescent="0.2">
      <c r="AC8536" s="20"/>
      <c r="AE8536" s="22"/>
      <c r="AF8536" s="22"/>
    </row>
    <row r="8537" spans="29:32" x14ac:dyDescent="0.2">
      <c r="AC8537" s="20"/>
      <c r="AE8537" s="22"/>
      <c r="AF8537" s="22"/>
    </row>
    <row r="8538" spans="29:32" x14ac:dyDescent="0.2">
      <c r="AC8538" s="20"/>
      <c r="AE8538" s="22"/>
      <c r="AF8538" s="22"/>
    </row>
    <row r="8539" spans="29:32" x14ac:dyDescent="0.2">
      <c r="AC8539" s="20"/>
      <c r="AE8539" s="22"/>
      <c r="AF8539" s="22"/>
    </row>
    <row r="8540" spans="29:32" x14ac:dyDescent="0.2">
      <c r="AC8540" s="20"/>
      <c r="AE8540" s="22"/>
      <c r="AF8540" s="22"/>
    </row>
    <row r="8541" spans="29:32" x14ac:dyDescent="0.2">
      <c r="AC8541" s="20"/>
      <c r="AE8541" s="22"/>
      <c r="AF8541" s="22"/>
    </row>
    <row r="8542" spans="29:32" x14ac:dyDescent="0.2">
      <c r="AC8542" s="20"/>
      <c r="AE8542" s="22"/>
      <c r="AF8542" s="22"/>
    </row>
    <row r="8543" spans="29:32" x14ac:dyDescent="0.2">
      <c r="AC8543" s="20"/>
      <c r="AE8543" s="22"/>
      <c r="AF8543" s="22"/>
    </row>
    <row r="8544" spans="29:32" x14ac:dyDescent="0.2">
      <c r="AC8544" s="20"/>
      <c r="AE8544" s="22"/>
      <c r="AF8544" s="22"/>
    </row>
    <row r="8545" spans="29:32" x14ac:dyDescent="0.2">
      <c r="AC8545" s="20"/>
      <c r="AE8545" s="22"/>
      <c r="AF8545" s="22"/>
    </row>
    <row r="8546" spans="29:32" x14ac:dyDescent="0.2">
      <c r="AC8546" s="20"/>
      <c r="AE8546" s="22"/>
      <c r="AF8546" s="22"/>
    </row>
    <row r="8547" spans="29:32" x14ac:dyDescent="0.2">
      <c r="AC8547" s="20"/>
      <c r="AE8547" s="22"/>
      <c r="AF8547" s="22"/>
    </row>
    <row r="8548" spans="29:32" x14ac:dyDescent="0.2">
      <c r="AC8548" s="20"/>
      <c r="AE8548" s="22"/>
      <c r="AF8548" s="22"/>
    </row>
    <row r="8549" spans="29:32" x14ac:dyDescent="0.2">
      <c r="AC8549" s="20"/>
      <c r="AE8549" s="22"/>
      <c r="AF8549" s="22"/>
    </row>
    <row r="8550" spans="29:32" x14ac:dyDescent="0.2">
      <c r="AC8550" s="20"/>
      <c r="AE8550" s="22"/>
      <c r="AF8550" s="22"/>
    </row>
    <row r="8551" spans="29:32" x14ac:dyDescent="0.2">
      <c r="AC8551" s="20"/>
      <c r="AE8551" s="22"/>
      <c r="AF8551" s="22"/>
    </row>
    <row r="8552" spans="29:32" x14ac:dyDescent="0.2">
      <c r="AC8552" s="20"/>
      <c r="AE8552" s="22"/>
      <c r="AF8552" s="22"/>
    </row>
    <row r="8553" spans="29:32" x14ac:dyDescent="0.2">
      <c r="AC8553" s="20"/>
      <c r="AE8553" s="22"/>
      <c r="AF8553" s="22"/>
    </row>
    <row r="8554" spans="29:32" x14ac:dyDescent="0.2">
      <c r="AC8554" s="20"/>
      <c r="AE8554" s="22"/>
      <c r="AF8554" s="22"/>
    </row>
    <row r="8555" spans="29:32" x14ac:dyDescent="0.2">
      <c r="AC8555" s="20"/>
      <c r="AE8555" s="22"/>
      <c r="AF8555" s="22"/>
    </row>
    <row r="8556" spans="29:32" x14ac:dyDescent="0.2">
      <c r="AC8556" s="20"/>
      <c r="AE8556" s="22"/>
      <c r="AF8556" s="22"/>
    </row>
    <row r="8557" spans="29:32" x14ac:dyDescent="0.2">
      <c r="AC8557" s="20"/>
      <c r="AE8557" s="22"/>
      <c r="AF8557" s="22"/>
    </row>
    <row r="8558" spans="29:32" x14ac:dyDescent="0.2">
      <c r="AC8558" s="20"/>
      <c r="AE8558" s="22"/>
      <c r="AF8558" s="22"/>
    </row>
    <row r="8559" spans="29:32" x14ac:dyDescent="0.2">
      <c r="AC8559" s="20"/>
      <c r="AE8559" s="22"/>
      <c r="AF8559" s="22"/>
    </row>
    <row r="8560" spans="29:32" x14ac:dyDescent="0.2">
      <c r="AC8560" s="20"/>
      <c r="AE8560" s="22"/>
      <c r="AF8560" s="22"/>
    </row>
    <row r="8561" spans="29:32" x14ac:dyDescent="0.2">
      <c r="AC8561" s="20"/>
      <c r="AE8561" s="22"/>
      <c r="AF8561" s="22"/>
    </row>
    <row r="8562" spans="29:32" x14ac:dyDescent="0.2">
      <c r="AC8562" s="20"/>
      <c r="AE8562" s="22"/>
      <c r="AF8562" s="22"/>
    </row>
    <row r="8563" spans="29:32" x14ac:dyDescent="0.2">
      <c r="AC8563" s="20"/>
      <c r="AE8563" s="22"/>
      <c r="AF8563" s="22"/>
    </row>
    <row r="8564" spans="29:32" x14ac:dyDescent="0.2">
      <c r="AC8564" s="20"/>
      <c r="AE8564" s="22"/>
      <c r="AF8564" s="22"/>
    </row>
    <row r="8565" spans="29:32" x14ac:dyDescent="0.2">
      <c r="AC8565" s="20"/>
      <c r="AE8565" s="22"/>
      <c r="AF8565" s="22"/>
    </row>
    <row r="8566" spans="29:32" x14ac:dyDescent="0.2">
      <c r="AC8566" s="20"/>
      <c r="AE8566" s="22"/>
      <c r="AF8566" s="22"/>
    </row>
    <row r="8567" spans="29:32" x14ac:dyDescent="0.2">
      <c r="AC8567" s="20"/>
      <c r="AE8567" s="22"/>
      <c r="AF8567" s="22"/>
    </row>
    <row r="8568" spans="29:32" x14ac:dyDescent="0.2">
      <c r="AC8568" s="20"/>
      <c r="AE8568" s="22"/>
      <c r="AF8568" s="22"/>
    </row>
    <row r="8569" spans="29:32" x14ac:dyDescent="0.2">
      <c r="AC8569" s="20"/>
      <c r="AE8569" s="22"/>
      <c r="AF8569" s="22"/>
    </row>
    <row r="8570" spans="29:32" x14ac:dyDescent="0.2">
      <c r="AC8570" s="20"/>
      <c r="AE8570" s="22"/>
      <c r="AF8570" s="22"/>
    </row>
    <row r="8571" spans="29:32" x14ac:dyDescent="0.2">
      <c r="AC8571" s="20"/>
      <c r="AE8571" s="22"/>
      <c r="AF8571" s="22"/>
    </row>
    <row r="8572" spans="29:32" x14ac:dyDescent="0.2">
      <c r="AC8572" s="20"/>
      <c r="AE8572" s="22"/>
      <c r="AF8572" s="22"/>
    </row>
    <row r="8573" spans="29:32" x14ac:dyDescent="0.2">
      <c r="AC8573" s="20"/>
      <c r="AE8573" s="22"/>
      <c r="AF8573" s="22"/>
    </row>
    <row r="8574" spans="29:32" x14ac:dyDescent="0.2">
      <c r="AC8574" s="20"/>
      <c r="AE8574" s="22"/>
      <c r="AF8574" s="22"/>
    </row>
    <row r="8575" spans="29:32" x14ac:dyDescent="0.2">
      <c r="AC8575" s="20"/>
      <c r="AE8575" s="22"/>
      <c r="AF8575" s="22"/>
    </row>
    <row r="8576" spans="29:32" x14ac:dyDescent="0.2">
      <c r="AC8576" s="20"/>
      <c r="AE8576" s="22"/>
      <c r="AF8576" s="22"/>
    </row>
    <row r="8577" spans="29:32" x14ac:dyDescent="0.2">
      <c r="AC8577" s="20"/>
      <c r="AE8577" s="22"/>
      <c r="AF8577" s="22"/>
    </row>
    <row r="8578" spans="29:32" x14ac:dyDescent="0.2">
      <c r="AC8578" s="20"/>
      <c r="AE8578" s="22"/>
      <c r="AF8578" s="22"/>
    </row>
    <row r="8579" spans="29:32" x14ac:dyDescent="0.2">
      <c r="AC8579" s="20"/>
      <c r="AE8579" s="22"/>
      <c r="AF8579" s="22"/>
    </row>
    <row r="8580" spans="29:32" x14ac:dyDescent="0.2">
      <c r="AC8580" s="20"/>
      <c r="AE8580" s="22"/>
      <c r="AF8580" s="22"/>
    </row>
    <row r="8581" spans="29:32" x14ac:dyDescent="0.2">
      <c r="AC8581" s="20"/>
      <c r="AE8581" s="22"/>
      <c r="AF8581" s="22"/>
    </row>
    <row r="8582" spans="29:32" x14ac:dyDescent="0.2">
      <c r="AC8582" s="20"/>
      <c r="AE8582" s="22"/>
      <c r="AF8582" s="22"/>
    </row>
    <row r="8583" spans="29:32" x14ac:dyDescent="0.2">
      <c r="AC8583" s="20"/>
      <c r="AE8583" s="22"/>
      <c r="AF8583" s="22"/>
    </row>
    <row r="8584" spans="29:32" x14ac:dyDescent="0.2">
      <c r="AC8584" s="20"/>
      <c r="AE8584" s="22"/>
      <c r="AF8584" s="22"/>
    </row>
    <row r="8585" spans="29:32" x14ac:dyDescent="0.2">
      <c r="AC8585" s="20"/>
      <c r="AE8585" s="22"/>
      <c r="AF8585" s="22"/>
    </row>
    <row r="8586" spans="29:32" x14ac:dyDescent="0.2">
      <c r="AC8586" s="20"/>
      <c r="AE8586" s="22"/>
      <c r="AF8586" s="22"/>
    </row>
    <row r="8587" spans="29:32" x14ac:dyDescent="0.2">
      <c r="AC8587" s="20"/>
      <c r="AE8587" s="22"/>
      <c r="AF8587" s="22"/>
    </row>
    <row r="8588" spans="29:32" x14ac:dyDescent="0.2">
      <c r="AC8588" s="20"/>
      <c r="AE8588" s="22"/>
      <c r="AF8588" s="22"/>
    </row>
    <row r="8589" spans="29:32" x14ac:dyDescent="0.2">
      <c r="AC8589" s="20"/>
      <c r="AE8589" s="22"/>
      <c r="AF8589" s="22"/>
    </row>
    <row r="8590" spans="29:32" x14ac:dyDescent="0.2">
      <c r="AC8590" s="20"/>
      <c r="AE8590" s="22"/>
      <c r="AF8590" s="22"/>
    </row>
    <row r="8591" spans="29:32" x14ac:dyDescent="0.2">
      <c r="AC8591" s="20"/>
      <c r="AE8591" s="22"/>
      <c r="AF8591" s="22"/>
    </row>
    <row r="8592" spans="29:32" x14ac:dyDescent="0.2">
      <c r="AC8592" s="20"/>
      <c r="AE8592" s="22"/>
      <c r="AF8592" s="22"/>
    </row>
    <row r="8593" spans="29:32" x14ac:dyDescent="0.2">
      <c r="AC8593" s="20"/>
      <c r="AE8593" s="22"/>
      <c r="AF8593" s="22"/>
    </row>
    <row r="8594" spans="29:32" x14ac:dyDescent="0.2">
      <c r="AC8594" s="20"/>
      <c r="AE8594" s="22"/>
      <c r="AF8594" s="22"/>
    </row>
    <row r="8595" spans="29:32" x14ac:dyDescent="0.2">
      <c r="AC8595" s="20"/>
      <c r="AE8595" s="22"/>
      <c r="AF8595" s="22"/>
    </row>
    <row r="8596" spans="29:32" x14ac:dyDescent="0.2">
      <c r="AC8596" s="20"/>
      <c r="AE8596" s="22"/>
      <c r="AF8596" s="22"/>
    </row>
    <row r="8597" spans="29:32" x14ac:dyDescent="0.2">
      <c r="AC8597" s="20"/>
      <c r="AE8597" s="22"/>
      <c r="AF8597" s="22"/>
    </row>
    <row r="8598" spans="29:32" x14ac:dyDescent="0.2">
      <c r="AC8598" s="20"/>
      <c r="AE8598" s="22"/>
      <c r="AF8598" s="22"/>
    </row>
    <row r="8599" spans="29:32" x14ac:dyDescent="0.2">
      <c r="AC8599" s="20"/>
      <c r="AE8599" s="22"/>
      <c r="AF8599" s="22"/>
    </row>
    <row r="8600" spans="29:32" x14ac:dyDescent="0.2">
      <c r="AC8600" s="20"/>
      <c r="AE8600" s="22"/>
      <c r="AF8600" s="22"/>
    </row>
    <row r="8601" spans="29:32" x14ac:dyDescent="0.2">
      <c r="AC8601" s="20"/>
      <c r="AE8601" s="22"/>
      <c r="AF8601" s="22"/>
    </row>
    <row r="8602" spans="29:32" x14ac:dyDescent="0.2">
      <c r="AC8602" s="20"/>
      <c r="AE8602" s="22"/>
      <c r="AF8602" s="22"/>
    </row>
    <row r="8603" spans="29:32" x14ac:dyDescent="0.2">
      <c r="AC8603" s="20"/>
      <c r="AE8603" s="22"/>
      <c r="AF8603" s="22"/>
    </row>
    <row r="8604" spans="29:32" x14ac:dyDescent="0.2">
      <c r="AC8604" s="20"/>
      <c r="AE8604" s="22"/>
      <c r="AF8604" s="22"/>
    </row>
    <row r="8605" spans="29:32" x14ac:dyDescent="0.2">
      <c r="AC8605" s="20"/>
      <c r="AE8605" s="22"/>
      <c r="AF8605" s="22"/>
    </row>
    <row r="8606" spans="29:32" x14ac:dyDescent="0.2">
      <c r="AC8606" s="20"/>
      <c r="AE8606" s="22"/>
      <c r="AF8606" s="22"/>
    </row>
    <row r="8607" spans="29:32" x14ac:dyDescent="0.2">
      <c r="AC8607" s="20"/>
      <c r="AE8607" s="22"/>
      <c r="AF8607" s="22"/>
    </row>
    <row r="8608" spans="29:32" x14ac:dyDescent="0.2">
      <c r="AC8608" s="20"/>
      <c r="AE8608" s="22"/>
      <c r="AF8608" s="22"/>
    </row>
    <row r="8609" spans="29:32" x14ac:dyDescent="0.2">
      <c r="AC8609" s="20"/>
      <c r="AE8609" s="22"/>
      <c r="AF8609" s="22"/>
    </row>
    <row r="8610" spans="29:32" x14ac:dyDescent="0.2">
      <c r="AC8610" s="20"/>
      <c r="AE8610" s="22"/>
      <c r="AF8610" s="22"/>
    </row>
    <row r="8611" spans="29:32" x14ac:dyDescent="0.2">
      <c r="AC8611" s="20"/>
      <c r="AE8611" s="22"/>
      <c r="AF8611" s="22"/>
    </row>
    <row r="8612" spans="29:32" x14ac:dyDescent="0.2">
      <c r="AC8612" s="20"/>
      <c r="AE8612" s="22"/>
      <c r="AF8612" s="22"/>
    </row>
    <row r="8613" spans="29:32" x14ac:dyDescent="0.2">
      <c r="AC8613" s="20"/>
      <c r="AE8613" s="22"/>
      <c r="AF8613" s="22"/>
    </row>
    <row r="8614" spans="29:32" x14ac:dyDescent="0.2">
      <c r="AC8614" s="20"/>
      <c r="AE8614" s="22"/>
      <c r="AF8614" s="22"/>
    </row>
    <row r="8615" spans="29:32" x14ac:dyDescent="0.2">
      <c r="AC8615" s="20"/>
      <c r="AE8615" s="22"/>
      <c r="AF8615" s="22"/>
    </row>
    <row r="8616" spans="29:32" x14ac:dyDescent="0.2">
      <c r="AC8616" s="20"/>
      <c r="AE8616" s="22"/>
      <c r="AF8616" s="22"/>
    </row>
    <row r="8617" spans="29:32" x14ac:dyDescent="0.2">
      <c r="AC8617" s="20"/>
      <c r="AE8617" s="22"/>
      <c r="AF8617" s="22"/>
    </row>
    <row r="8618" spans="29:32" x14ac:dyDescent="0.2">
      <c r="AC8618" s="20"/>
      <c r="AE8618" s="22"/>
      <c r="AF8618" s="22"/>
    </row>
    <row r="8619" spans="29:32" x14ac:dyDescent="0.2">
      <c r="AC8619" s="20"/>
      <c r="AE8619" s="22"/>
      <c r="AF8619" s="22"/>
    </row>
    <row r="8620" spans="29:32" x14ac:dyDescent="0.2">
      <c r="AC8620" s="20"/>
      <c r="AE8620" s="22"/>
      <c r="AF8620" s="22"/>
    </row>
    <row r="8621" spans="29:32" x14ac:dyDescent="0.2">
      <c r="AC8621" s="20"/>
      <c r="AE8621" s="22"/>
      <c r="AF8621" s="22"/>
    </row>
    <row r="8622" spans="29:32" x14ac:dyDescent="0.2">
      <c r="AC8622" s="20"/>
      <c r="AE8622" s="22"/>
      <c r="AF8622" s="22"/>
    </row>
    <row r="8623" spans="29:32" x14ac:dyDescent="0.2">
      <c r="AC8623" s="20"/>
      <c r="AE8623" s="22"/>
      <c r="AF8623" s="22"/>
    </row>
    <row r="8624" spans="29:32" x14ac:dyDescent="0.2">
      <c r="AC8624" s="20"/>
      <c r="AE8624" s="22"/>
      <c r="AF8624" s="22"/>
    </row>
    <row r="8625" spans="29:32" x14ac:dyDescent="0.2">
      <c r="AC8625" s="20"/>
      <c r="AE8625" s="22"/>
      <c r="AF8625" s="22"/>
    </row>
    <row r="8626" spans="29:32" x14ac:dyDescent="0.2">
      <c r="AC8626" s="20"/>
      <c r="AE8626" s="22"/>
      <c r="AF8626" s="22"/>
    </row>
    <row r="8627" spans="29:32" x14ac:dyDescent="0.2">
      <c r="AC8627" s="20"/>
      <c r="AE8627" s="22"/>
      <c r="AF8627" s="22"/>
    </row>
    <row r="8628" spans="29:32" x14ac:dyDescent="0.2">
      <c r="AC8628" s="20"/>
      <c r="AE8628" s="22"/>
      <c r="AF8628" s="22"/>
    </row>
    <row r="8629" spans="29:32" x14ac:dyDescent="0.2">
      <c r="AC8629" s="20"/>
      <c r="AE8629" s="22"/>
      <c r="AF8629" s="22"/>
    </row>
    <row r="8630" spans="29:32" x14ac:dyDescent="0.2">
      <c r="AC8630" s="20"/>
      <c r="AE8630" s="22"/>
      <c r="AF8630" s="22"/>
    </row>
    <row r="8631" spans="29:32" x14ac:dyDescent="0.2">
      <c r="AC8631" s="20"/>
      <c r="AE8631" s="22"/>
      <c r="AF8631" s="22"/>
    </row>
    <row r="8632" spans="29:32" x14ac:dyDescent="0.2">
      <c r="AC8632" s="20"/>
      <c r="AE8632" s="22"/>
      <c r="AF8632" s="22"/>
    </row>
    <row r="8633" spans="29:32" x14ac:dyDescent="0.2">
      <c r="AC8633" s="20"/>
      <c r="AE8633" s="22"/>
      <c r="AF8633" s="22"/>
    </row>
    <row r="8634" spans="29:32" x14ac:dyDescent="0.2">
      <c r="AC8634" s="20"/>
      <c r="AE8634" s="22"/>
      <c r="AF8634" s="22"/>
    </row>
    <row r="8635" spans="29:32" x14ac:dyDescent="0.2">
      <c r="AC8635" s="20"/>
      <c r="AE8635" s="22"/>
      <c r="AF8635" s="22"/>
    </row>
    <row r="8636" spans="29:32" x14ac:dyDescent="0.2">
      <c r="AC8636" s="20"/>
      <c r="AE8636" s="22"/>
      <c r="AF8636" s="22"/>
    </row>
    <row r="8637" spans="29:32" x14ac:dyDescent="0.2">
      <c r="AC8637" s="20"/>
      <c r="AE8637" s="22"/>
      <c r="AF8637" s="22"/>
    </row>
    <row r="8638" spans="29:32" x14ac:dyDescent="0.2">
      <c r="AC8638" s="20"/>
      <c r="AE8638" s="22"/>
      <c r="AF8638" s="22"/>
    </row>
    <row r="8639" spans="29:32" x14ac:dyDescent="0.2">
      <c r="AC8639" s="20"/>
      <c r="AE8639" s="22"/>
      <c r="AF8639" s="22"/>
    </row>
    <row r="8640" spans="29:32" x14ac:dyDescent="0.2">
      <c r="AC8640" s="20"/>
      <c r="AE8640" s="22"/>
      <c r="AF8640" s="22"/>
    </row>
    <row r="8641" spans="29:32" x14ac:dyDescent="0.2">
      <c r="AC8641" s="20"/>
      <c r="AE8641" s="22"/>
      <c r="AF8641" s="22"/>
    </row>
    <row r="8642" spans="29:32" x14ac:dyDescent="0.2">
      <c r="AC8642" s="20"/>
      <c r="AE8642" s="22"/>
      <c r="AF8642" s="22"/>
    </row>
    <row r="8643" spans="29:32" x14ac:dyDescent="0.2">
      <c r="AC8643" s="20"/>
      <c r="AE8643" s="22"/>
      <c r="AF8643" s="22"/>
    </row>
    <row r="8644" spans="29:32" x14ac:dyDescent="0.2">
      <c r="AC8644" s="20"/>
      <c r="AE8644" s="22"/>
      <c r="AF8644" s="22"/>
    </row>
    <row r="8645" spans="29:32" x14ac:dyDescent="0.2">
      <c r="AC8645" s="20"/>
      <c r="AE8645" s="22"/>
      <c r="AF8645" s="22"/>
    </row>
    <row r="8646" spans="29:32" x14ac:dyDescent="0.2">
      <c r="AC8646" s="20"/>
      <c r="AE8646" s="22"/>
      <c r="AF8646" s="22"/>
    </row>
    <row r="8647" spans="29:32" x14ac:dyDescent="0.2">
      <c r="AC8647" s="20"/>
      <c r="AE8647" s="22"/>
      <c r="AF8647" s="22"/>
    </row>
    <row r="8648" spans="29:32" x14ac:dyDescent="0.2">
      <c r="AC8648" s="20"/>
      <c r="AE8648" s="22"/>
      <c r="AF8648" s="22"/>
    </row>
    <row r="8649" spans="29:32" x14ac:dyDescent="0.2">
      <c r="AC8649" s="20"/>
      <c r="AE8649" s="22"/>
      <c r="AF8649" s="22"/>
    </row>
    <row r="8650" spans="29:32" x14ac:dyDescent="0.2">
      <c r="AC8650" s="20"/>
      <c r="AE8650" s="22"/>
      <c r="AF8650" s="22"/>
    </row>
    <row r="8651" spans="29:32" x14ac:dyDescent="0.2">
      <c r="AC8651" s="20"/>
      <c r="AE8651" s="22"/>
      <c r="AF8651" s="22"/>
    </row>
    <row r="8652" spans="29:32" x14ac:dyDescent="0.2">
      <c r="AC8652" s="20"/>
      <c r="AE8652" s="22"/>
      <c r="AF8652" s="22"/>
    </row>
    <row r="8653" spans="29:32" x14ac:dyDescent="0.2">
      <c r="AC8653" s="20"/>
      <c r="AE8653" s="22"/>
      <c r="AF8653" s="22"/>
    </row>
    <row r="8654" spans="29:32" x14ac:dyDescent="0.2">
      <c r="AC8654" s="20"/>
      <c r="AE8654" s="22"/>
      <c r="AF8654" s="22"/>
    </row>
    <row r="8655" spans="29:32" x14ac:dyDescent="0.2">
      <c r="AC8655" s="20"/>
      <c r="AE8655" s="22"/>
      <c r="AF8655" s="22"/>
    </row>
    <row r="8656" spans="29:32" x14ac:dyDescent="0.2">
      <c r="AC8656" s="20"/>
      <c r="AE8656" s="22"/>
      <c r="AF8656" s="22"/>
    </row>
    <row r="8657" spans="29:32" x14ac:dyDescent="0.2">
      <c r="AC8657" s="20"/>
      <c r="AE8657" s="22"/>
      <c r="AF8657" s="22"/>
    </row>
    <row r="8658" spans="29:32" x14ac:dyDescent="0.2">
      <c r="AC8658" s="20"/>
      <c r="AE8658" s="22"/>
      <c r="AF8658" s="22"/>
    </row>
    <row r="8659" spans="29:32" x14ac:dyDescent="0.2">
      <c r="AC8659" s="20"/>
      <c r="AE8659" s="22"/>
      <c r="AF8659" s="22"/>
    </row>
    <row r="8660" spans="29:32" x14ac:dyDescent="0.2">
      <c r="AC8660" s="20"/>
      <c r="AE8660" s="22"/>
      <c r="AF8660" s="22"/>
    </row>
    <row r="8661" spans="29:32" x14ac:dyDescent="0.2">
      <c r="AC8661" s="20"/>
      <c r="AE8661" s="22"/>
      <c r="AF8661" s="22"/>
    </row>
    <row r="8662" spans="29:32" x14ac:dyDescent="0.2">
      <c r="AC8662" s="20"/>
      <c r="AE8662" s="22"/>
      <c r="AF8662" s="22"/>
    </row>
    <row r="8663" spans="29:32" x14ac:dyDescent="0.2">
      <c r="AC8663" s="20"/>
      <c r="AE8663" s="22"/>
      <c r="AF8663" s="22"/>
    </row>
    <row r="8664" spans="29:32" x14ac:dyDescent="0.2">
      <c r="AC8664" s="20"/>
      <c r="AE8664" s="22"/>
      <c r="AF8664" s="22"/>
    </row>
    <row r="8665" spans="29:32" x14ac:dyDescent="0.2">
      <c r="AC8665" s="20"/>
      <c r="AE8665" s="22"/>
      <c r="AF8665" s="22"/>
    </row>
    <row r="8666" spans="29:32" x14ac:dyDescent="0.2">
      <c r="AC8666" s="20"/>
      <c r="AE8666" s="22"/>
      <c r="AF8666" s="22"/>
    </row>
    <row r="8667" spans="29:32" x14ac:dyDescent="0.2">
      <c r="AC8667" s="20"/>
      <c r="AE8667" s="22"/>
      <c r="AF8667" s="22"/>
    </row>
    <row r="8668" spans="29:32" x14ac:dyDescent="0.2">
      <c r="AC8668" s="20"/>
      <c r="AE8668" s="22"/>
      <c r="AF8668" s="22"/>
    </row>
    <row r="8669" spans="29:32" x14ac:dyDescent="0.2">
      <c r="AC8669" s="20"/>
      <c r="AE8669" s="22"/>
      <c r="AF8669" s="22"/>
    </row>
    <row r="8670" spans="29:32" x14ac:dyDescent="0.2">
      <c r="AC8670" s="20"/>
      <c r="AE8670" s="22"/>
      <c r="AF8670" s="22"/>
    </row>
    <row r="8671" spans="29:32" x14ac:dyDescent="0.2">
      <c r="AC8671" s="20"/>
      <c r="AE8671" s="22"/>
      <c r="AF8671" s="22"/>
    </row>
    <row r="8672" spans="29:32" x14ac:dyDescent="0.2">
      <c r="AC8672" s="20"/>
      <c r="AE8672" s="22"/>
      <c r="AF8672" s="22"/>
    </row>
    <row r="8673" spans="29:32" x14ac:dyDescent="0.2">
      <c r="AC8673" s="20"/>
      <c r="AE8673" s="22"/>
      <c r="AF8673" s="22"/>
    </row>
    <row r="8674" spans="29:32" x14ac:dyDescent="0.2">
      <c r="AC8674" s="20"/>
      <c r="AE8674" s="22"/>
      <c r="AF8674" s="22"/>
    </row>
    <row r="8675" spans="29:32" x14ac:dyDescent="0.2">
      <c r="AC8675" s="20"/>
      <c r="AE8675" s="22"/>
      <c r="AF8675" s="22"/>
    </row>
    <row r="8676" spans="29:32" x14ac:dyDescent="0.2">
      <c r="AC8676" s="20"/>
      <c r="AE8676" s="22"/>
      <c r="AF8676" s="22"/>
    </row>
    <row r="8677" spans="29:32" x14ac:dyDescent="0.2">
      <c r="AC8677" s="20"/>
      <c r="AE8677" s="22"/>
      <c r="AF8677" s="22"/>
    </row>
    <row r="8678" spans="29:32" x14ac:dyDescent="0.2">
      <c r="AC8678" s="20"/>
      <c r="AE8678" s="22"/>
      <c r="AF8678" s="22"/>
    </row>
    <row r="8679" spans="29:32" x14ac:dyDescent="0.2">
      <c r="AC8679" s="20"/>
      <c r="AE8679" s="22"/>
      <c r="AF8679" s="22"/>
    </row>
    <row r="8680" spans="29:32" x14ac:dyDescent="0.2">
      <c r="AC8680" s="20"/>
      <c r="AE8680" s="22"/>
      <c r="AF8680" s="22"/>
    </row>
    <row r="8681" spans="29:32" x14ac:dyDescent="0.2">
      <c r="AC8681" s="20"/>
      <c r="AE8681" s="22"/>
      <c r="AF8681" s="22"/>
    </row>
    <row r="8682" spans="29:32" x14ac:dyDescent="0.2">
      <c r="AC8682" s="20"/>
      <c r="AE8682" s="22"/>
      <c r="AF8682" s="22"/>
    </row>
    <row r="8683" spans="29:32" x14ac:dyDescent="0.2">
      <c r="AC8683" s="20"/>
      <c r="AE8683" s="22"/>
      <c r="AF8683" s="22"/>
    </row>
    <row r="8684" spans="29:32" x14ac:dyDescent="0.2">
      <c r="AC8684" s="20"/>
      <c r="AE8684" s="22"/>
      <c r="AF8684" s="22"/>
    </row>
    <row r="8685" spans="29:32" x14ac:dyDescent="0.2">
      <c r="AC8685" s="20"/>
      <c r="AE8685" s="22"/>
      <c r="AF8685" s="22"/>
    </row>
    <row r="8686" spans="29:32" x14ac:dyDescent="0.2">
      <c r="AC8686" s="20"/>
      <c r="AE8686" s="22"/>
      <c r="AF8686" s="22"/>
    </row>
    <row r="8687" spans="29:32" x14ac:dyDescent="0.2">
      <c r="AC8687" s="20"/>
      <c r="AE8687" s="22"/>
      <c r="AF8687" s="22"/>
    </row>
    <row r="8688" spans="29:32" x14ac:dyDescent="0.2">
      <c r="AC8688" s="20"/>
      <c r="AE8688" s="22"/>
      <c r="AF8688" s="22"/>
    </row>
    <row r="8689" spans="29:32" x14ac:dyDescent="0.2">
      <c r="AC8689" s="20"/>
      <c r="AE8689" s="22"/>
      <c r="AF8689" s="22"/>
    </row>
    <row r="8690" spans="29:32" x14ac:dyDescent="0.2">
      <c r="AC8690" s="20"/>
      <c r="AE8690" s="22"/>
      <c r="AF8690" s="22"/>
    </row>
    <row r="8691" spans="29:32" x14ac:dyDescent="0.2">
      <c r="AC8691" s="20"/>
      <c r="AE8691" s="22"/>
      <c r="AF8691" s="22"/>
    </row>
    <row r="8692" spans="29:32" x14ac:dyDescent="0.2">
      <c r="AC8692" s="20"/>
      <c r="AE8692" s="22"/>
      <c r="AF8692" s="22"/>
    </row>
    <row r="8693" spans="29:32" x14ac:dyDescent="0.2">
      <c r="AC8693" s="20"/>
      <c r="AE8693" s="22"/>
      <c r="AF8693" s="22"/>
    </row>
    <row r="8694" spans="29:32" x14ac:dyDescent="0.2">
      <c r="AC8694" s="20"/>
      <c r="AE8694" s="22"/>
      <c r="AF8694" s="22"/>
    </row>
    <row r="8695" spans="29:32" x14ac:dyDescent="0.2">
      <c r="AC8695" s="20"/>
      <c r="AE8695" s="22"/>
      <c r="AF8695" s="22"/>
    </row>
    <row r="8696" spans="29:32" x14ac:dyDescent="0.2">
      <c r="AC8696" s="20"/>
      <c r="AE8696" s="22"/>
      <c r="AF8696" s="22"/>
    </row>
    <row r="8697" spans="29:32" x14ac:dyDescent="0.2">
      <c r="AC8697" s="20"/>
      <c r="AE8697" s="22"/>
      <c r="AF8697" s="22"/>
    </row>
    <row r="8698" spans="29:32" x14ac:dyDescent="0.2">
      <c r="AC8698" s="20"/>
      <c r="AE8698" s="22"/>
      <c r="AF8698" s="22"/>
    </row>
    <row r="8699" spans="29:32" x14ac:dyDescent="0.2">
      <c r="AC8699" s="20"/>
      <c r="AE8699" s="22"/>
      <c r="AF8699" s="22"/>
    </row>
    <row r="8700" spans="29:32" x14ac:dyDescent="0.2">
      <c r="AC8700" s="20"/>
      <c r="AE8700" s="22"/>
      <c r="AF8700" s="22"/>
    </row>
    <row r="8701" spans="29:32" x14ac:dyDescent="0.2">
      <c r="AC8701" s="20"/>
      <c r="AE8701" s="22"/>
      <c r="AF8701" s="22"/>
    </row>
    <row r="8702" spans="29:32" x14ac:dyDescent="0.2">
      <c r="AC8702" s="20"/>
      <c r="AE8702" s="22"/>
      <c r="AF8702" s="22"/>
    </row>
    <row r="8703" spans="29:32" x14ac:dyDescent="0.2">
      <c r="AC8703" s="20"/>
      <c r="AE8703" s="22"/>
      <c r="AF8703" s="22"/>
    </row>
    <row r="8704" spans="29:32" x14ac:dyDescent="0.2">
      <c r="AC8704" s="20"/>
      <c r="AE8704" s="22"/>
      <c r="AF8704" s="22"/>
    </row>
    <row r="8705" spans="29:32" x14ac:dyDescent="0.2">
      <c r="AC8705" s="20"/>
      <c r="AE8705" s="22"/>
      <c r="AF8705" s="22"/>
    </row>
    <row r="8706" spans="29:32" x14ac:dyDescent="0.2">
      <c r="AC8706" s="20"/>
      <c r="AE8706" s="22"/>
      <c r="AF8706" s="22"/>
    </row>
    <row r="8707" spans="29:32" x14ac:dyDescent="0.2">
      <c r="AC8707" s="20"/>
      <c r="AE8707" s="22"/>
      <c r="AF8707" s="22"/>
    </row>
    <row r="8708" spans="29:32" x14ac:dyDescent="0.2">
      <c r="AC8708" s="20"/>
      <c r="AE8708" s="22"/>
      <c r="AF8708" s="22"/>
    </row>
    <row r="8709" spans="29:32" x14ac:dyDescent="0.2">
      <c r="AC8709" s="20"/>
      <c r="AE8709" s="22"/>
      <c r="AF8709" s="22"/>
    </row>
    <row r="8710" spans="29:32" x14ac:dyDescent="0.2">
      <c r="AC8710" s="20"/>
      <c r="AE8710" s="22"/>
      <c r="AF8710" s="22"/>
    </row>
    <row r="8711" spans="29:32" x14ac:dyDescent="0.2">
      <c r="AC8711" s="20"/>
      <c r="AE8711" s="22"/>
      <c r="AF8711" s="22"/>
    </row>
    <row r="8712" spans="29:32" x14ac:dyDescent="0.2">
      <c r="AC8712" s="20"/>
      <c r="AE8712" s="22"/>
      <c r="AF8712" s="22"/>
    </row>
    <row r="8713" spans="29:32" x14ac:dyDescent="0.2">
      <c r="AC8713" s="20"/>
      <c r="AE8713" s="22"/>
      <c r="AF8713" s="22"/>
    </row>
    <row r="8714" spans="29:32" x14ac:dyDescent="0.2">
      <c r="AC8714" s="20"/>
      <c r="AE8714" s="22"/>
      <c r="AF8714" s="22"/>
    </row>
    <row r="8715" spans="29:32" x14ac:dyDescent="0.2">
      <c r="AC8715" s="20"/>
      <c r="AE8715" s="22"/>
      <c r="AF8715" s="22"/>
    </row>
    <row r="8716" spans="29:32" x14ac:dyDescent="0.2">
      <c r="AC8716" s="20"/>
      <c r="AE8716" s="22"/>
      <c r="AF8716" s="22"/>
    </row>
    <row r="8717" spans="29:32" x14ac:dyDescent="0.2">
      <c r="AC8717" s="20"/>
      <c r="AE8717" s="22"/>
      <c r="AF8717" s="22"/>
    </row>
    <row r="8718" spans="29:32" x14ac:dyDescent="0.2">
      <c r="AC8718" s="20"/>
      <c r="AE8718" s="22"/>
      <c r="AF8718" s="22"/>
    </row>
    <row r="8719" spans="29:32" x14ac:dyDescent="0.2">
      <c r="AC8719" s="20"/>
      <c r="AE8719" s="22"/>
      <c r="AF8719" s="22"/>
    </row>
    <row r="8720" spans="29:32" x14ac:dyDescent="0.2">
      <c r="AC8720" s="20"/>
      <c r="AE8720" s="22"/>
      <c r="AF8720" s="22"/>
    </row>
    <row r="8721" spans="29:32" x14ac:dyDescent="0.2">
      <c r="AC8721" s="20"/>
      <c r="AE8721" s="22"/>
      <c r="AF8721" s="22"/>
    </row>
    <row r="8722" spans="29:32" x14ac:dyDescent="0.2">
      <c r="AC8722" s="20"/>
      <c r="AE8722" s="22"/>
      <c r="AF8722" s="22"/>
    </row>
    <row r="8723" spans="29:32" x14ac:dyDescent="0.2">
      <c r="AC8723" s="20"/>
      <c r="AE8723" s="22"/>
      <c r="AF8723" s="22"/>
    </row>
    <row r="8724" spans="29:32" x14ac:dyDescent="0.2">
      <c r="AC8724" s="20"/>
      <c r="AE8724" s="22"/>
      <c r="AF8724" s="22"/>
    </row>
    <row r="8725" spans="29:32" x14ac:dyDescent="0.2">
      <c r="AC8725" s="20"/>
      <c r="AE8725" s="22"/>
      <c r="AF8725" s="22"/>
    </row>
    <row r="8726" spans="29:32" x14ac:dyDescent="0.2">
      <c r="AC8726" s="20"/>
      <c r="AE8726" s="22"/>
      <c r="AF8726" s="22"/>
    </row>
    <row r="8727" spans="29:32" x14ac:dyDescent="0.2">
      <c r="AC8727" s="20"/>
      <c r="AE8727" s="22"/>
      <c r="AF8727" s="22"/>
    </row>
    <row r="8728" spans="29:32" x14ac:dyDescent="0.2">
      <c r="AC8728" s="20"/>
      <c r="AE8728" s="22"/>
      <c r="AF8728" s="22"/>
    </row>
    <row r="8729" spans="29:32" x14ac:dyDescent="0.2">
      <c r="AC8729" s="20"/>
      <c r="AE8729" s="22"/>
      <c r="AF8729" s="22"/>
    </row>
    <row r="8730" spans="29:32" x14ac:dyDescent="0.2">
      <c r="AC8730" s="20"/>
      <c r="AE8730" s="22"/>
      <c r="AF8730" s="22"/>
    </row>
    <row r="8731" spans="29:32" x14ac:dyDescent="0.2">
      <c r="AC8731" s="20"/>
      <c r="AE8731" s="22"/>
      <c r="AF8731" s="22"/>
    </row>
    <row r="8732" spans="29:32" x14ac:dyDescent="0.2">
      <c r="AC8732" s="20"/>
      <c r="AE8732" s="22"/>
      <c r="AF8732" s="22"/>
    </row>
    <row r="8733" spans="29:32" x14ac:dyDescent="0.2">
      <c r="AC8733" s="20"/>
      <c r="AE8733" s="22"/>
      <c r="AF8733" s="22"/>
    </row>
    <row r="8734" spans="29:32" x14ac:dyDescent="0.2">
      <c r="AC8734" s="20"/>
      <c r="AE8734" s="22"/>
      <c r="AF8734" s="22"/>
    </row>
    <row r="8735" spans="29:32" x14ac:dyDescent="0.2">
      <c r="AC8735" s="20"/>
      <c r="AE8735" s="22"/>
      <c r="AF8735" s="22"/>
    </row>
    <row r="8736" spans="29:32" x14ac:dyDescent="0.2">
      <c r="AC8736" s="20"/>
      <c r="AE8736" s="22"/>
      <c r="AF8736" s="22"/>
    </row>
    <row r="8737" spans="29:32" x14ac:dyDescent="0.2">
      <c r="AC8737" s="20"/>
      <c r="AE8737" s="22"/>
      <c r="AF8737" s="22"/>
    </row>
    <row r="8738" spans="29:32" x14ac:dyDescent="0.2">
      <c r="AC8738" s="20"/>
      <c r="AE8738" s="22"/>
      <c r="AF8738" s="22"/>
    </row>
    <row r="8739" spans="29:32" x14ac:dyDescent="0.2">
      <c r="AC8739" s="20"/>
      <c r="AE8739" s="22"/>
      <c r="AF8739" s="22"/>
    </row>
    <row r="8740" spans="29:32" x14ac:dyDescent="0.2">
      <c r="AC8740" s="20"/>
      <c r="AE8740" s="22"/>
      <c r="AF8740" s="22"/>
    </row>
    <row r="8741" spans="29:32" x14ac:dyDescent="0.2">
      <c r="AC8741" s="20"/>
      <c r="AE8741" s="22"/>
      <c r="AF8741" s="22"/>
    </row>
    <row r="8742" spans="29:32" x14ac:dyDescent="0.2">
      <c r="AC8742" s="20"/>
      <c r="AE8742" s="22"/>
      <c r="AF8742" s="22"/>
    </row>
    <row r="8743" spans="29:32" x14ac:dyDescent="0.2">
      <c r="AC8743" s="20"/>
      <c r="AE8743" s="22"/>
      <c r="AF8743" s="22"/>
    </row>
    <row r="8744" spans="29:32" x14ac:dyDescent="0.2">
      <c r="AC8744" s="20"/>
      <c r="AE8744" s="22"/>
      <c r="AF8744" s="22"/>
    </row>
    <row r="8745" spans="29:32" x14ac:dyDescent="0.2">
      <c r="AC8745" s="20"/>
      <c r="AE8745" s="22"/>
      <c r="AF8745" s="22"/>
    </row>
    <row r="8746" spans="29:32" x14ac:dyDescent="0.2">
      <c r="AC8746" s="20"/>
      <c r="AE8746" s="22"/>
      <c r="AF8746" s="22"/>
    </row>
    <row r="8747" spans="29:32" x14ac:dyDescent="0.2">
      <c r="AC8747" s="20"/>
      <c r="AE8747" s="22"/>
      <c r="AF8747" s="22"/>
    </row>
    <row r="8748" spans="29:32" x14ac:dyDescent="0.2">
      <c r="AC8748" s="20"/>
      <c r="AE8748" s="22"/>
      <c r="AF8748" s="22"/>
    </row>
    <row r="8749" spans="29:32" x14ac:dyDescent="0.2">
      <c r="AC8749" s="20"/>
      <c r="AE8749" s="22"/>
      <c r="AF8749" s="22"/>
    </row>
    <row r="8750" spans="29:32" x14ac:dyDescent="0.2">
      <c r="AC8750" s="20"/>
      <c r="AE8750" s="22"/>
      <c r="AF8750" s="22"/>
    </row>
    <row r="8751" spans="29:32" x14ac:dyDescent="0.2">
      <c r="AC8751" s="20"/>
      <c r="AE8751" s="22"/>
      <c r="AF8751" s="22"/>
    </row>
    <row r="8752" spans="29:32" x14ac:dyDescent="0.2">
      <c r="AC8752" s="20"/>
      <c r="AE8752" s="22"/>
      <c r="AF8752" s="22"/>
    </row>
    <row r="8753" spans="29:32" x14ac:dyDescent="0.2">
      <c r="AC8753" s="20"/>
      <c r="AE8753" s="22"/>
      <c r="AF8753" s="22"/>
    </row>
    <row r="8754" spans="29:32" x14ac:dyDescent="0.2">
      <c r="AC8754" s="20"/>
      <c r="AE8754" s="22"/>
      <c r="AF8754" s="22"/>
    </row>
    <row r="8755" spans="29:32" x14ac:dyDescent="0.2">
      <c r="AC8755" s="20"/>
      <c r="AE8755" s="22"/>
      <c r="AF8755" s="22"/>
    </row>
    <row r="8756" spans="29:32" x14ac:dyDescent="0.2">
      <c r="AC8756" s="20"/>
      <c r="AE8756" s="22"/>
      <c r="AF8756" s="22"/>
    </row>
    <row r="8757" spans="29:32" x14ac:dyDescent="0.2">
      <c r="AC8757" s="20"/>
      <c r="AE8757" s="22"/>
      <c r="AF8757" s="22"/>
    </row>
    <row r="8758" spans="29:32" x14ac:dyDescent="0.2">
      <c r="AC8758" s="20"/>
      <c r="AE8758" s="22"/>
      <c r="AF8758" s="22"/>
    </row>
    <row r="8759" spans="29:32" x14ac:dyDescent="0.2">
      <c r="AC8759" s="20"/>
      <c r="AE8759" s="22"/>
      <c r="AF8759" s="22"/>
    </row>
    <row r="8760" spans="29:32" x14ac:dyDescent="0.2">
      <c r="AC8760" s="20"/>
      <c r="AE8760" s="22"/>
      <c r="AF8760" s="22"/>
    </row>
    <row r="8761" spans="29:32" x14ac:dyDescent="0.2">
      <c r="AC8761" s="20"/>
      <c r="AE8761" s="22"/>
      <c r="AF8761" s="22"/>
    </row>
    <row r="8762" spans="29:32" x14ac:dyDescent="0.2">
      <c r="AC8762" s="20"/>
      <c r="AE8762" s="22"/>
      <c r="AF8762" s="22"/>
    </row>
    <row r="8763" spans="29:32" x14ac:dyDescent="0.2">
      <c r="AC8763" s="20"/>
      <c r="AE8763" s="22"/>
      <c r="AF8763" s="22"/>
    </row>
    <row r="8764" spans="29:32" x14ac:dyDescent="0.2">
      <c r="AC8764" s="20"/>
      <c r="AE8764" s="22"/>
      <c r="AF8764" s="22"/>
    </row>
    <row r="8765" spans="29:32" x14ac:dyDescent="0.2">
      <c r="AC8765" s="20"/>
      <c r="AE8765" s="22"/>
      <c r="AF8765" s="22"/>
    </row>
    <row r="8766" spans="29:32" x14ac:dyDescent="0.2">
      <c r="AC8766" s="20"/>
      <c r="AE8766" s="22"/>
      <c r="AF8766" s="22"/>
    </row>
    <row r="8767" spans="29:32" x14ac:dyDescent="0.2">
      <c r="AC8767" s="20"/>
      <c r="AE8767" s="22"/>
      <c r="AF8767" s="22"/>
    </row>
    <row r="8768" spans="29:32" x14ac:dyDescent="0.2">
      <c r="AC8768" s="20"/>
      <c r="AE8768" s="22"/>
      <c r="AF8768" s="22"/>
    </row>
    <row r="8769" spans="29:32" x14ac:dyDescent="0.2">
      <c r="AC8769" s="20"/>
      <c r="AE8769" s="22"/>
      <c r="AF8769" s="22"/>
    </row>
    <row r="8770" spans="29:32" x14ac:dyDescent="0.2">
      <c r="AC8770" s="20"/>
      <c r="AE8770" s="22"/>
      <c r="AF8770" s="22"/>
    </row>
    <row r="8771" spans="29:32" x14ac:dyDescent="0.2">
      <c r="AC8771" s="20"/>
      <c r="AE8771" s="22"/>
      <c r="AF8771" s="22"/>
    </row>
    <row r="8772" spans="29:32" x14ac:dyDescent="0.2">
      <c r="AC8772" s="20"/>
      <c r="AE8772" s="22"/>
      <c r="AF8772" s="22"/>
    </row>
    <row r="8773" spans="29:32" x14ac:dyDescent="0.2">
      <c r="AC8773" s="20"/>
      <c r="AE8773" s="22"/>
      <c r="AF8773" s="22"/>
    </row>
    <row r="8774" spans="29:32" x14ac:dyDescent="0.2">
      <c r="AC8774" s="20"/>
      <c r="AE8774" s="22"/>
      <c r="AF8774" s="22"/>
    </row>
    <row r="8775" spans="29:32" x14ac:dyDescent="0.2">
      <c r="AC8775" s="20"/>
      <c r="AE8775" s="22"/>
      <c r="AF8775" s="22"/>
    </row>
    <row r="8776" spans="29:32" x14ac:dyDescent="0.2">
      <c r="AC8776" s="20"/>
      <c r="AE8776" s="22"/>
      <c r="AF8776" s="22"/>
    </row>
    <row r="8777" spans="29:32" x14ac:dyDescent="0.2">
      <c r="AC8777" s="20"/>
      <c r="AE8777" s="22"/>
      <c r="AF8777" s="22"/>
    </row>
    <row r="8778" spans="29:32" x14ac:dyDescent="0.2">
      <c r="AC8778" s="20"/>
      <c r="AE8778" s="22"/>
      <c r="AF8778" s="22"/>
    </row>
    <row r="8779" spans="29:32" x14ac:dyDescent="0.2">
      <c r="AC8779" s="20"/>
      <c r="AE8779" s="22"/>
      <c r="AF8779" s="22"/>
    </row>
    <row r="8780" spans="29:32" x14ac:dyDescent="0.2">
      <c r="AC8780" s="20"/>
      <c r="AE8780" s="22"/>
      <c r="AF8780" s="22"/>
    </row>
    <row r="8781" spans="29:32" x14ac:dyDescent="0.2">
      <c r="AC8781" s="20"/>
      <c r="AE8781" s="22"/>
      <c r="AF8781" s="22"/>
    </row>
    <row r="8782" spans="29:32" x14ac:dyDescent="0.2">
      <c r="AC8782" s="20"/>
      <c r="AE8782" s="22"/>
      <c r="AF8782" s="22"/>
    </row>
    <row r="8783" spans="29:32" x14ac:dyDescent="0.2">
      <c r="AC8783" s="20"/>
      <c r="AE8783" s="22"/>
      <c r="AF8783" s="22"/>
    </row>
    <row r="8784" spans="29:32" x14ac:dyDescent="0.2">
      <c r="AC8784" s="20"/>
      <c r="AE8784" s="22"/>
      <c r="AF8784" s="22"/>
    </row>
    <row r="8785" spans="29:32" x14ac:dyDescent="0.2">
      <c r="AC8785" s="20"/>
      <c r="AE8785" s="22"/>
      <c r="AF8785" s="22"/>
    </row>
    <row r="8786" spans="29:32" x14ac:dyDescent="0.2">
      <c r="AC8786" s="20"/>
      <c r="AE8786" s="22"/>
      <c r="AF8786" s="22"/>
    </row>
    <row r="8787" spans="29:32" x14ac:dyDescent="0.2">
      <c r="AC8787" s="20"/>
      <c r="AE8787" s="22"/>
      <c r="AF8787" s="22"/>
    </row>
    <row r="8788" spans="29:32" x14ac:dyDescent="0.2">
      <c r="AC8788" s="20"/>
      <c r="AE8788" s="22"/>
      <c r="AF8788" s="22"/>
    </row>
    <row r="8789" spans="29:32" x14ac:dyDescent="0.2">
      <c r="AC8789" s="20"/>
      <c r="AE8789" s="22"/>
      <c r="AF8789" s="22"/>
    </row>
    <row r="8790" spans="29:32" x14ac:dyDescent="0.2">
      <c r="AC8790" s="20"/>
      <c r="AE8790" s="22"/>
      <c r="AF8790" s="22"/>
    </row>
    <row r="8791" spans="29:32" x14ac:dyDescent="0.2">
      <c r="AC8791" s="20"/>
      <c r="AE8791" s="22"/>
      <c r="AF8791" s="22"/>
    </row>
    <row r="8792" spans="29:32" x14ac:dyDescent="0.2">
      <c r="AC8792" s="20"/>
      <c r="AE8792" s="22"/>
      <c r="AF8792" s="22"/>
    </row>
    <row r="8793" spans="29:32" x14ac:dyDescent="0.2">
      <c r="AC8793" s="20"/>
      <c r="AE8793" s="22"/>
      <c r="AF8793" s="22"/>
    </row>
    <row r="8794" spans="29:32" x14ac:dyDescent="0.2">
      <c r="AC8794" s="20"/>
      <c r="AE8794" s="22"/>
      <c r="AF8794" s="22"/>
    </row>
    <row r="8795" spans="29:32" x14ac:dyDescent="0.2">
      <c r="AC8795" s="20"/>
      <c r="AE8795" s="22"/>
      <c r="AF8795" s="22"/>
    </row>
    <row r="8796" spans="29:32" x14ac:dyDescent="0.2">
      <c r="AC8796" s="20"/>
      <c r="AE8796" s="22"/>
      <c r="AF8796" s="22"/>
    </row>
    <row r="8797" spans="29:32" x14ac:dyDescent="0.2">
      <c r="AC8797" s="20"/>
      <c r="AE8797" s="22"/>
      <c r="AF8797" s="22"/>
    </row>
    <row r="8798" spans="29:32" x14ac:dyDescent="0.2">
      <c r="AC8798" s="20"/>
      <c r="AE8798" s="22"/>
      <c r="AF8798" s="22"/>
    </row>
    <row r="8799" spans="29:32" x14ac:dyDescent="0.2">
      <c r="AC8799" s="20"/>
      <c r="AE8799" s="22"/>
      <c r="AF8799" s="22"/>
    </row>
    <row r="8800" spans="29:32" x14ac:dyDescent="0.2">
      <c r="AC8800" s="20"/>
      <c r="AE8800" s="22"/>
      <c r="AF8800" s="22"/>
    </row>
    <row r="8801" spans="29:32" x14ac:dyDescent="0.2">
      <c r="AC8801" s="20"/>
      <c r="AE8801" s="22"/>
      <c r="AF8801" s="22"/>
    </row>
    <row r="8802" spans="29:32" x14ac:dyDescent="0.2">
      <c r="AC8802" s="20"/>
      <c r="AE8802" s="22"/>
      <c r="AF8802" s="22"/>
    </row>
    <row r="8803" spans="29:32" x14ac:dyDescent="0.2">
      <c r="AC8803" s="20"/>
      <c r="AE8803" s="22"/>
      <c r="AF8803" s="22"/>
    </row>
    <row r="8804" spans="29:32" x14ac:dyDescent="0.2">
      <c r="AC8804" s="20"/>
      <c r="AE8804" s="22"/>
      <c r="AF8804" s="22"/>
    </row>
    <row r="8805" spans="29:32" x14ac:dyDescent="0.2">
      <c r="AC8805" s="20"/>
      <c r="AE8805" s="22"/>
      <c r="AF8805" s="22"/>
    </row>
    <row r="8806" spans="29:32" x14ac:dyDescent="0.2">
      <c r="AC8806" s="20"/>
      <c r="AE8806" s="22"/>
      <c r="AF8806" s="22"/>
    </row>
    <row r="8807" spans="29:32" x14ac:dyDescent="0.2">
      <c r="AC8807" s="20"/>
      <c r="AE8807" s="22"/>
      <c r="AF8807" s="22"/>
    </row>
    <row r="8808" spans="29:32" x14ac:dyDescent="0.2">
      <c r="AC8808" s="20"/>
      <c r="AE8808" s="22"/>
      <c r="AF8808" s="22"/>
    </row>
    <row r="8809" spans="29:32" x14ac:dyDescent="0.2">
      <c r="AC8809" s="20"/>
      <c r="AE8809" s="22"/>
      <c r="AF8809" s="22"/>
    </row>
    <row r="8810" spans="29:32" x14ac:dyDescent="0.2">
      <c r="AC8810" s="20"/>
      <c r="AE8810" s="22"/>
      <c r="AF8810" s="22"/>
    </row>
    <row r="8811" spans="29:32" x14ac:dyDescent="0.2">
      <c r="AC8811" s="20"/>
      <c r="AE8811" s="22"/>
      <c r="AF8811" s="22"/>
    </row>
    <row r="8812" spans="29:32" x14ac:dyDescent="0.2">
      <c r="AC8812" s="20"/>
      <c r="AE8812" s="22"/>
      <c r="AF8812" s="22"/>
    </row>
    <row r="8813" spans="29:32" x14ac:dyDescent="0.2">
      <c r="AC8813" s="20"/>
      <c r="AE8813" s="22"/>
      <c r="AF8813" s="22"/>
    </row>
    <row r="8814" spans="29:32" x14ac:dyDescent="0.2">
      <c r="AC8814" s="20"/>
      <c r="AE8814" s="22"/>
      <c r="AF8814" s="22"/>
    </row>
    <row r="8815" spans="29:32" x14ac:dyDescent="0.2">
      <c r="AC8815" s="20"/>
      <c r="AE8815" s="22"/>
      <c r="AF8815" s="22"/>
    </row>
    <row r="8816" spans="29:32" x14ac:dyDescent="0.2">
      <c r="AC8816" s="20"/>
      <c r="AE8816" s="22"/>
      <c r="AF8816" s="22"/>
    </row>
    <row r="8817" spans="29:32" x14ac:dyDescent="0.2">
      <c r="AC8817" s="20"/>
      <c r="AE8817" s="22"/>
      <c r="AF8817" s="22"/>
    </row>
    <row r="8818" spans="29:32" x14ac:dyDescent="0.2">
      <c r="AC8818" s="20"/>
      <c r="AE8818" s="22"/>
      <c r="AF8818" s="22"/>
    </row>
    <row r="8819" spans="29:32" x14ac:dyDescent="0.2">
      <c r="AC8819" s="20"/>
      <c r="AE8819" s="22"/>
      <c r="AF8819" s="22"/>
    </row>
    <row r="8820" spans="29:32" x14ac:dyDescent="0.2">
      <c r="AC8820" s="20"/>
      <c r="AE8820" s="22"/>
      <c r="AF8820" s="22"/>
    </row>
    <row r="8821" spans="29:32" x14ac:dyDescent="0.2">
      <c r="AC8821" s="20"/>
      <c r="AE8821" s="22"/>
      <c r="AF8821" s="22"/>
    </row>
    <row r="8822" spans="29:32" x14ac:dyDescent="0.2">
      <c r="AC8822" s="20"/>
      <c r="AE8822" s="22"/>
      <c r="AF8822" s="22"/>
    </row>
    <row r="8823" spans="29:32" x14ac:dyDescent="0.2">
      <c r="AC8823" s="20"/>
      <c r="AE8823" s="22"/>
      <c r="AF8823" s="22"/>
    </row>
    <row r="8824" spans="29:32" x14ac:dyDescent="0.2">
      <c r="AC8824" s="20"/>
      <c r="AE8824" s="22"/>
      <c r="AF8824" s="22"/>
    </row>
    <row r="8825" spans="29:32" x14ac:dyDescent="0.2">
      <c r="AC8825" s="20"/>
      <c r="AE8825" s="22"/>
      <c r="AF8825" s="22"/>
    </row>
    <row r="8826" spans="29:32" x14ac:dyDescent="0.2">
      <c r="AC8826" s="20"/>
      <c r="AE8826" s="22"/>
      <c r="AF8826" s="22"/>
    </row>
    <row r="8827" spans="29:32" x14ac:dyDescent="0.2">
      <c r="AC8827" s="20"/>
      <c r="AE8827" s="22"/>
      <c r="AF8827" s="22"/>
    </row>
    <row r="8828" spans="29:32" x14ac:dyDescent="0.2">
      <c r="AC8828" s="20"/>
      <c r="AE8828" s="22"/>
      <c r="AF8828" s="22"/>
    </row>
    <row r="8829" spans="29:32" x14ac:dyDescent="0.2">
      <c r="AC8829" s="20"/>
      <c r="AE8829" s="22"/>
      <c r="AF8829" s="22"/>
    </row>
    <row r="8830" spans="29:32" x14ac:dyDescent="0.2">
      <c r="AC8830" s="20"/>
      <c r="AE8830" s="22"/>
      <c r="AF8830" s="22"/>
    </row>
    <row r="8831" spans="29:32" x14ac:dyDescent="0.2">
      <c r="AC8831" s="20"/>
      <c r="AE8831" s="22"/>
      <c r="AF8831" s="22"/>
    </row>
    <row r="8832" spans="29:32" x14ac:dyDescent="0.2">
      <c r="AC8832" s="20"/>
      <c r="AE8832" s="22"/>
      <c r="AF8832" s="22"/>
    </row>
    <row r="8833" spans="29:32" x14ac:dyDescent="0.2">
      <c r="AC8833" s="20"/>
      <c r="AE8833" s="22"/>
      <c r="AF8833" s="22"/>
    </row>
    <row r="8834" spans="29:32" x14ac:dyDescent="0.2">
      <c r="AC8834" s="20"/>
      <c r="AE8834" s="22"/>
      <c r="AF8834" s="22"/>
    </row>
    <row r="8835" spans="29:32" x14ac:dyDescent="0.2">
      <c r="AC8835" s="20"/>
      <c r="AE8835" s="22"/>
      <c r="AF8835" s="22"/>
    </row>
    <row r="8836" spans="29:32" x14ac:dyDescent="0.2">
      <c r="AC8836" s="20"/>
      <c r="AE8836" s="22"/>
      <c r="AF8836" s="22"/>
    </row>
    <row r="8837" spans="29:32" x14ac:dyDescent="0.2">
      <c r="AC8837" s="20"/>
      <c r="AE8837" s="22"/>
      <c r="AF8837" s="22"/>
    </row>
    <row r="8838" spans="29:32" x14ac:dyDescent="0.2">
      <c r="AC8838" s="20"/>
      <c r="AE8838" s="22"/>
      <c r="AF8838" s="22"/>
    </row>
    <row r="8839" spans="29:32" x14ac:dyDescent="0.2">
      <c r="AC8839" s="20"/>
      <c r="AE8839" s="22"/>
      <c r="AF8839" s="22"/>
    </row>
    <row r="8840" spans="29:32" x14ac:dyDescent="0.2">
      <c r="AC8840" s="20"/>
      <c r="AE8840" s="22"/>
      <c r="AF8840" s="22"/>
    </row>
    <row r="8841" spans="29:32" x14ac:dyDescent="0.2">
      <c r="AC8841" s="20"/>
      <c r="AE8841" s="22"/>
      <c r="AF8841" s="22"/>
    </row>
    <row r="8842" spans="29:32" x14ac:dyDescent="0.2">
      <c r="AC8842" s="20"/>
      <c r="AE8842" s="22"/>
      <c r="AF8842" s="22"/>
    </row>
    <row r="8843" spans="29:32" x14ac:dyDescent="0.2">
      <c r="AC8843" s="20"/>
      <c r="AE8843" s="22"/>
      <c r="AF8843" s="22"/>
    </row>
    <row r="8844" spans="29:32" x14ac:dyDescent="0.2">
      <c r="AC8844" s="20"/>
      <c r="AE8844" s="22"/>
      <c r="AF8844" s="22"/>
    </row>
    <row r="8845" spans="29:32" x14ac:dyDescent="0.2">
      <c r="AC8845" s="20"/>
      <c r="AE8845" s="22"/>
      <c r="AF8845" s="22"/>
    </row>
    <row r="8846" spans="29:32" x14ac:dyDescent="0.2">
      <c r="AC8846" s="20"/>
      <c r="AE8846" s="22"/>
      <c r="AF8846" s="22"/>
    </row>
    <row r="8847" spans="29:32" x14ac:dyDescent="0.2">
      <c r="AC8847" s="20"/>
      <c r="AE8847" s="22"/>
      <c r="AF8847" s="22"/>
    </row>
    <row r="8848" spans="29:32" x14ac:dyDescent="0.2">
      <c r="AC8848" s="20"/>
      <c r="AE8848" s="22"/>
      <c r="AF8848" s="22"/>
    </row>
    <row r="8849" spans="29:32" x14ac:dyDescent="0.2">
      <c r="AC8849" s="20"/>
      <c r="AE8849" s="22"/>
      <c r="AF8849" s="22"/>
    </row>
    <row r="8850" spans="29:32" x14ac:dyDescent="0.2">
      <c r="AC8850" s="20"/>
      <c r="AE8850" s="22"/>
      <c r="AF8850" s="22"/>
    </row>
    <row r="8851" spans="29:32" x14ac:dyDescent="0.2">
      <c r="AC8851" s="20"/>
      <c r="AE8851" s="22"/>
      <c r="AF8851" s="22"/>
    </row>
    <row r="8852" spans="29:32" x14ac:dyDescent="0.2">
      <c r="AC8852" s="20"/>
      <c r="AE8852" s="22"/>
      <c r="AF8852" s="22"/>
    </row>
    <row r="8853" spans="29:32" x14ac:dyDescent="0.2">
      <c r="AC8853" s="20"/>
      <c r="AE8853" s="22"/>
      <c r="AF8853" s="22"/>
    </row>
    <row r="8854" spans="29:32" x14ac:dyDescent="0.2">
      <c r="AC8854" s="20"/>
      <c r="AE8854" s="22"/>
      <c r="AF8854" s="22"/>
    </row>
    <row r="8855" spans="29:32" x14ac:dyDescent="0.2">
      <c r="AC8855" s="20"/>
      <c r="AE8855" s="22"/>
      <c r="AF8855" s="22"/>
    </row>
    <row r="8856" spans="29:32" x14ac:dyDescent="0.2">
      <c r="AC8856" s="20"/>
      <c r="AE8856" s="22"/>
      <c r="AF8856" s="22"/>
    </row>
    <row r="8857" spans="29:32" x14ac:dyDescent="0.2">
      <c r="AC8857" s="20"/>
      <c r="AE8857" s="22"/>
      <c r="AF8857" s="22"/>
    </row>
    <row r="8858" spans="29:32" x14ac:dyDescent="0.2">
      <c r="AC8858" s="20"/>
      <c r="AE8858" s="22"/>
      <c r="AF8858" s="22"/>
    </row>
    <row r="8859" spans="29:32" x14ac:dyDescent="0.2">
      <c r="AC8859" s="20"/>
      <c r="AE8859" s="22"/>
      <c r="AF8859" s="22"/>
    </row>
    <row r="8860" spans="29:32" x14ac:dyDescent="0.2">
      <c r="AC8860" s="20"/>
      <c r="AE8860" s="22"/>
      <c r="AF8860" s="22"/>
    </row>
    <row r="8861" spans="29:32" x14ac:dyDescent="0.2">
      <c r="AC8861" s="20"/>
      <c r="AE8861" s="22"/>
      <c r="AF8861" s="22"/>
    </row>
    <row r="8862" spans="29:32" x14ac:dyDescent="0.2">
      <c r="AC8862" s="20"/>
      <c r="AE8862" s="22"/>
      <c r="AF8862" s="22"/>
    </row>
    <row r="8863" spans="29:32" x14ac:dyDescent="0.2">
      <c r="AC8863" s="20"/>
      <c r="AE8863" s="22"/>
      <c r="AF8863" s="22"/>
    </row>
    <row r="8864" spans="29:32" x14ac:dyDescent="0.2">
      <c r="AC8864" s="20"/>
      <c r="AE8864" s="22"/>
      <c r="AF8864" s="22"/>
    </row>
    <row r="8865" spans="29:32" x14ac:dyDescent="0.2">
      <c r="AC8865" s="20"/>
      <c r="AE8865" s="22"/>
      <c r="AF8865" s="22"/>
    </row>
    <row r="8866" spans="29:32" x14ac:dyDescent="0.2">
      <c r="AC8866" s="20"/>
      <c r="AE8866" s="22"/>
      <c r="AF8866" s="22"/>
    </row>
    <row r="8867" spans="29:32" x14ac:dyDescent="0.2">
      <c r="AC8867" s="20"/>
      <c r="AE8867" s="22"/>
      <c r="AF8867" s="22"/>
    </row>
    <row r="8868" spans="29:32" x14ac:dyDescent="0.2">
      <c r="AC8868" s="20"/>
      <c r="AE8868" s="22"/>
      <c r="AF8868" s="22"/>
    </row>
    <row r="8869" spans="29:32" x14ac:dyDescent="0.2">
      <c r="AC8869" s="20"/>
      <c r="AE8869" s="22"/>
      <c r="AF8869" s="22"/>
    </row>
    <row r="8870" spans="29:32" x14ac:dyDescent="0.2">
      <c r="AC8870" s="20"/>
      <c r="AE8870" s="22"/>
      <c r="AF8870" s="22"/>
    </row>
    <row r="8871" spans="29:32" x14ac:dyDescent="0.2">
      <c r="AC8871" s="20"/>
      <c r="AE8871" s="22"/>
      <c r="AF8871" s="22"/>
    </row>
    <row r="8872" spans="29:32" x14ac:dyDescent="0.2">
      <c r="AC8872" s="20"/>
      <c r="AE8872" s="22"/>
      <c r="AF8872" s="22"/>
    </row>
    <row r="8873" spans="29:32" x14ac:dyDescent="0.2">
      <c r="AC8873" s="20"/>
      <c r="AE8873" s="22"/>
      <c r="AF8873" s="22"/>
    </row>
    <row r="8874" spans="29:32" x14ac:dyDescent="0.2">
      <c r="AC8874" s="20"/>
      <c r="AE8874" s="22"/>
      <c r="AF8874" s="22"/>
    </row>
    <row r="8875" spans="29:32" x14ac:dyDescent="0.2">
      <c r="AC8875" s="20"/>
      <c r="AE8875" s="22"/>
      <c r="AF8875" s="22"/>
    </row>
    <row r="8876" spans="29:32" x14ac:dyDescent="0.2">
      <c r="AC8876" s="20"/>
      <c r="AE8876" s="22"/>
      <c r="AF8876" s="22"/>
    </row>
    <row r="8877" spans="29:32" x14ac:dyDescent="0.2">
      <c r="AC8877" s="20"/>
      <c r="AE8877" s="22"/>
      <c r="AF8877" s="22"/>
    </row>
    <row r="8878" spans="29:32" x14ac:dyDescent="0.2">
      <c r="AC8878" s="20"/>
      <c r="AE8878" s="22"/>
      <c r="AF8878" s="22"/>
    </row>
    <row r="8879" spans="29:32" x14ac:dyDescent="0.2">
      <c r="AC8879" s="20"/>
      <c r="AE8879" s="22"/>
      <c r="AF8879" s="22"/>
    </row>
    <row r="8880" spans="29:32" x14ac:dyDescent="0.2">
      <c r="AC8880" s="20"/>
      <c r="AE8880" s="22"/>
      <c r="AF8880" s="22"/>
    </row>
    <row r="8881" spans="29:32" x14ac:dyDescent="0.2">
      <c r="AC8881" s="20"/>
      <c r="AE8881" s="22"/>
      <c r="AF8881" s="22"/>
    </row>
    <row r="8882" spans="29:32" x14ac:dyDescent="0.2">
      <c r="AC8882" s="20"/>
      <c r="AE8882" s="22"/>
      <c r="AF8882" s="22"/>
    </row>
    <row r="8883" spans="29:32" x14ac:dyDescent="0.2">
      <c r="AC8883" s="20"/>
      <c r="AE8883" s="22"/>
      <c r="AF8883" s="22"/>
    </row>
    <row r="8884" spans="29:32" x14ac:dyDescent="0.2">
      <c r="AC8884" s="20"/>
      <c r="AE8884" s="22"/>
      <c r="AF8884" s="22"/>
    </row>
    <row r="8885" spans="29:32" x14ac:dyDescent="0.2">
      <c r="AC8885" s="20"/>
      <c r="AE8885" s="22"/>
      <c r="AF8885" s="22"/>
    </row>
    <row r="8886" spans="29:32" x14ac:dyDescent="0.2">
      <c r="AC8886" s="20"/>
      <c r="AE8886" s="22"/>
      <c r="AF8886" s="22"/>
    </row>
    <row r="8887" spans="29:32" x14ac:dyDescent="0.2">
      <c r="AC8887" s="20"/>
      <c r="AE8887" s="22"/>
      <c r="AF8887" s="22"/>
    </row>
    <row r="8888" spans="29:32" x14ac:dyDescent="0.2">
      <c r="AC8888" s="20"/>
      <c r="AE8888" s="22"/>
      <c r="AF8888" s="22"/>
    </row>
    <row r="8889" spans="29:32" x14ac:dyDescent="0.2">
      <c r="AC8889" s="20"/>
      <c r="AE8889" s="22"/>
      <c r="AF8889" s="22"/>
    </row>
    <row r="8890" spans="29:32" x14ac:dyDescent="0.2">
      <c r="AC8890" s="20"/>
      <c r="AE8890" s="22"/>
      <c r="AF8890" s="22"/>
    </row>
    <row r="8891" spans="29:32" x14ac:dyDescent="0.2">
      <c r="AC8891" s="20"/>
      <c r="AE8891" s="22"/>
      <c r="AF8891" s="22"/>
    </row>
    <row r="8892" spans="29:32" x14ac:dyDescent="0.2">
      <c r="AC8892" s="20"/>
      <c r="AE8892" s="22"/>
      <c r="AF8892" s="22"/>
    </row>
    <row r="8893" spans="29:32" x14ac:dyDescent="0.2">
      <c r="AC8893" s="20"/>
      <c r="AE8893" s="22"/>
      <c r="AF8893" s="22"/>
    </row>
    <row r="8894" spans="29:32" x14ac:dyDescent="0.2">
      <c r="AC8894" s="20"/>
      <c r="AE8894" s="22"/>
      <c r="AF8894" s="22"/>
    </row>
    <row r="8895" spans="29:32" x14ac:dyDescent="0.2">
      <c r="AC8895" s="20"/>
      <c r="AE8895" s="22"/>
      <c r="AF8895" s="22"/>
    </row>
    <row r="8896" spans="29:32" x14ac:dyDescent="0.2">
      <c r="AC8896" s="20"/>
      <c r="AE8896" s="22"/>
      <c r="AF8896" s="22"/>
    </row>
    <row r="8897" spans="29:32" x14ac:dyDescent="0.2">
      <c r="AC8897" s="20"/>
      <c r="AE8897" s="22"/>
      <c r="AF8897" s="22"/>
    </row>
    <row r="8898" spans="29:32" x14ac:dyDescent="0.2">
      <c r="AC8898" s="20"/>
      <c r="AE8898" s="22"/>
      <c r="AF8898" s="22"/>
    </row>
    <row r="8899" spans="29:32" x14ac:dyDescent="0.2">
      <c r="AC8899" s="20"/>
      <c r="AE8899" s="22"/>
      <c r="AF8899" s="22"/>
    </row>
    <row r="8900" spans="29:32" x14ac:dyDescent="0.2">
      <c r="AC8900" s="20"/>
      <c r="AE8900" s="22"/>
      <c r="AF8900" s="22"/>
    </row>
    <row r="8901" spans="29:32" x14ac:dyDescent="0.2">
      <c r="AC8901" s="20"/>
      <c r="AE8901" s="22"/>
      <c r="AF8901" s="22"/>
    </row>
    <row r="8902" spans="29:32" x14ac:dyDescent="0.2">
      <c r="AC8902" s="20"/>
      <c r="AE8902" s="22"/>
      <c r="AF8902" s="22"/>
    </row>
    <row r="8903" spans="29:32" x14ac:dyDescent="0.2">
      <c r="AC8903" s="20"/>
      <c r="AE8903" s="22"/>
      <c r="AF8903" s="22"/>
    </row>
    <row r="8904" spans="29:32" x14ac:dyDescent="0.2">
      <c r="AC8904" s="20"/>
      <c r="AE8904" s="22"/>
      <c r="AF8904" s="22"/>
    </row>
    <row r="8905" spans="29:32" x14ac:dyDescent="0.2">
      <c r="AC8905" s="20"/>
      <c r="AE8905" s="22"/>
      <c r="AF8905" s="22"/>
    </row>
    <row r="8906" spans="29:32" x14ac:dyDescent="0.2">
      <c r="AC8906" s="20"/>
      <c r="AE8906" s="22"/>
      <c r="AF8906" s="22"/>
    </row>
    <row r="8907" spans="29:32" x14ac:dyDescent="0.2">
      <c r="AC8907" s="20"/>
      <c r="AE8907" s="22"/>
      <c r="AF8907" s="22"/>
    </row>
    <row r="8908" spans="29:32" x14ac:dyDescent="0.2">
      <c r="AC8908" s="20"/>
      <c r="AE8908" s="22"/>
      <c r="AF8908" s="22"/>
    </row>
    <row r="8909" spans="29:32" x14ac:dyDescent="0.2">
      <c r="AC8909" s="20"/>
      <c r="AE8909" s="22"/>
      <c r="AF8909" s="22"/>
    </row>
    <row r="8910" spans="29:32" x14ac:dyDescent="0.2">
      <c r="AC8910" s="20"/>
      <c r="AE8910" s="22"/>
      <c r="AF8910" s="22"/>
    </row>
    <row r="8911" spans="29:32" x14ac:dyDescent="0.2">
      <c r="AC8911" s="20"/>
      <c r="AE8911" s="22"/>
      <c r="AF8911" s="22"/>
    </row>
    <row r="8912" spans="29:32" x14ac:dyDescent="0.2">
      <c r="AC8912" s="20"/>
      <c r="AE8912" s="22"/>
      <c r="AF8912" s="22"/>
    </row>
    <row r="8913" spans="29:32" x14ac:dyDescent="0.2">
      <c r="AC8913" s="20"/>
      <c r="AE8913" s="22"/>
      <c r="AF8913" s="22"/>
    </row>
    <row r="8914" spans="29:32" x14ac:dyDescent="0.2">
      <c r="AC8914" s="20"/>
      <c r="AE8914" s="22"/>
      <c r="AF8914" s="22"/>
    </row>
    <row r="8915" spans="29:32" x14ac:dyDescent="0.2">
      <c r="AC8915" s="20"/>
      <c r="AE8915" s="22"/>
      <c r="AF8915" s="22"/>
    </row>
    <row r="8916" spans="29:32" x14ac:dyDescent="0.2">
      <c r="AC8916" s="20"/>
      <c r="AE8916" s="22"/>
      <c r="AF8916" s="22"/>
    </row>
    <row r="8917" spans="29:32" x14ac:dyDescent="0.2">
      <c r="AC8917" s="20"/>
      <c r="AE8917" s="22"/>
      <c r="AF8917" s="22"/>
    </row>
    <row r="8918" spans="29:32" x14ac:dyDescent="0.2">
      <c r="AC8918" s="20"/>
      <c r="AE8918" s="22"/>
      <c r="AF8918" s="22"/>
    </row>
    <row r="8919" spans="29:32" x14ac:dyDescent="0.2">
      <c r="AC8919" s="20"/>
      <c r="AE8919" s="22"/>
      <c r="AF8919" s="22"/>
    </row>
    <row r="8920" spans="29:32" x14ac:dyDescent="0.2">
      <c r="AC8920" s="20"/>
      <c r="AE8920" s="22"/>
      <c r="AF8920" s="22"/>
    </row>
    <row r="8921" spans="29:32" x14ac:dyDescent="0.2">
      <c r="AC8921" s="20"/>
      <c r="AE8921" s="22"/>
      <c r="AF8921" s="22"/>
    </row>
    <row r="8922" spans="29:32" x14ac:dyDescent="0.2">
      <c r="AC8922" s="20"/>
      <c r="AE8922" s="22"/>
      <c r="AF8922" s="22"/>
    </row>
    <row r="8923" spans="29:32" x14ac:dyDescent="0.2">
      <c r="AC8923" s="20"/>
      <c r="AE8923" s="22"/>
      <c r="AF8923" s="22"/>
    </row>
    <row r="8924" spans="29:32" x14ac:dyDescent="0.2">
      <c r="AC8924" s="20"/>
      <c r="AE8924" s="22"/>
      <c r="AF8924" s="22"/>
    </row>
    <row r="8925" spans="29:32" x14ac:dyDescent="0.2">
      <c r="AC8925" s="20"/>
      <c r="AE8925" s="22"/>
      <c r="AF8925" s="22"/>
    </row>
    <row r="8926" spans="29:32" x14ac:dyDescent="0.2">
      <c r="AC8926" s="20"/>
      <c r="AE8926" s="22"/>
      <c r="AF8926" s="22"/>
    </row>
    <row r="8927" spans="29:32" x14ac:dyDescent="0.2">
      <c r="AC8927" s="20"/>
      <c r="AE8927" s="22"/>
      <c r="AF8927" s="22"/>
    </row>
    <row r="8928" spans="29:32" x14ac:dyDescent="0.2">
      <c r="AC8928" s="20"/>
      <c r="AE8928" s="22"/>
      <c r="AF8928" s="22"/>
    </row>
    <row r="8929" spans="29:32" x14ac:dyDescent="0.2">
      <c r="AC8929" s="20"/>
      <c r="AE8929" s="22"/>
      <c r="AF8929" s="22"/>
    </row>
    <row r="8930" spans="29:32" x14ac:dyDescent="0.2">
      <c r="AC8930" s="20"/>
      <c r="AE8930" s="22"/>
      <c r="AF8930" s="22"/>
    </row>
    <row r="8931" spans="29:32" x14ac:dyDescent="0.2">
      <c r="AC8931" s="20"/>
      <c r="AE8931" s="22"/>
      <c r="AF8931" s="22"/>
    </row>
    <row r="8932" spans="29:32" x14ac:dyDescent="0.2">
      <c r="AC8932" s="20"/>
      <c r="AE8932" s="22"/>
      <c r="AF8932" s="22"/>
    </row>
    <row r="8933" spans="29:32" x14ac:dyDescent="0.2">
      <c r="AC8933" s="20"/>
      <c r="AE8933" s="22"/>
      <c r="AF8933" s="22"/>
    </row>
    <row r="8934" spans="29:32" x14ac:dyDescent="0.2">
      <c r="AC8934" s="20"/>
      <c r="AE8934" s="22"/>
      <c r="AF8934" s="22"/>
    </row>
    <row r="8935" spans="29:32" x14ac:dyDescent="0.2">
      <c r="AC8935" s="20"/>
      <c r="AE8935" s="22"/>
      <c r="AF8935" s="22"/>
    </row>
    <row r="8936" spans="29:32" x14ac:dyDescent="0.2">
      <c r="AC8936" s="20"/>
      <c r="AE8936" s="22"/>
      <c r="AF8936" s="22"/>
    </row>
    <row r="8937" spans="29:32" x14ac:dyDescent="0.2">
      <c r="AC8937" s="20"/>
      <c r="AE8937" s="22"/>
      <c r="AF8937" s="22"/>
    </row>
    <row r="8938" spans="29:32" x14ac:dyDescent="0.2">
      <c r="AC8938" s="20"/>
      <c r="AE8938" s="22"/>
      <c r="AF8938" s="22"/>
    </row>
    <row r="8939" spans="29:32" x14ac:dyDescent="0.2">
      <c r="AC8939" s="20"/>
      <c r="AE8939" s="22"/>
      <c r="AF8939" s="22"/>
    </row>
    <row r="8940" spans="29:32" x14ac:dyDescent="0.2">
      <c r="AC8940" s="20"/>
      <c r="AE8940" s="22"/>
      <c r="AF8940" s="22"/>
    </row>
    <row r="8941" spans="29:32" x14ac:dyDescent="0.2">
      <c r="AC8941" s="20"/>
      <c r="AE8941" s="22"/>
      <c r="AF8941" s="22"/>
    </row>
    <row r="8942" spans="29:32" x14ac:dyDescent="0.2">
      <c r="AC8942" s="20"/>
      <c r="AE8942" s="22"/>
      <c r="AF8942" s="22"/>
    </row>
    <row r="8943" spans="29:32" x14ac:dyDescent="0.2">
      <c r="AC8943" s="20"/>
      <c r="AE8943" s="22"/>
      <c r="AF8943" s="22"/>
    </row>
    <row r="8944" spans="29:32" x14ac:dyDescent="0.2">
      <c r="AC8944" s="20"/>
      <c r="AE8944" s="22"/>
      <c r="AF8944" s="22"/>
    </row>
    <row r="8945" spans="29:32" x14ac:dyDescent="0.2">
      <c r="AC8945" s="20"/>
      <c r="AE8945" s="22"/>
      <c r="AF8945" s="22"/>
    </row>
    <row r="8946" spans="29:32" x14ac:dyDescent="0.2">
      <c r="AC8946" s="20"/>
      <c r="AE8946" s="22"/>
      <c r="AF8946" s="22"/>
    </row>
    <row r="8947" spans="29:32" x14ac:dyDescent="0.2">
      <c r="AC8947" s="20"/>
      <c r="AE8947" s="22"/>
      <c r="AF8947" s="22"/>
    </row>
    <row r="8948" spans="29:32" x14ac:dyDescent="0.2">
      <c r="AC8948" s="20"/>
      <c r="AE8948" s="22"/>
      <c r="AF8948" s="22"/>
    </row>
    <row r="8949" spans="29:32" x14ac:dyDescent="0.2">
      <c r="AC8949" s="20"/>
      <c r="AE8949" s="22"/>
      <c r="AF8949" s="22"/>
    </row>
    <row r="8950" spans="29:32" x14ac:dyDescent="0.2">
      <c r="AC8950" s="20"/>
      <c r="AE8950" s="22"/>
      <c r="AF8950" s="22"/>
    </row>
    <row r="8951" spans="29:32" x14ac:dyDescent="0.2">
      <c r="AC8951" s="20"/>
      <c r="AE8951" s="22"/>
      <c r="AF8951" s="22"/>
    </row>
    <row r="8952" spans="29:32" x14ac:dyDescent="0.2">
      <c r="AC8952" s="20"/>
      <c r="AE8952" s="22"/>
      <c r="AF8952" s="22"/>
    </row>
    <row r="8953" spans="29:32" x14ac:dyDescent="0.2">
      <c r="AC8953" s="20"/>
      <c r="AE8953" s="22"/>
      <c r="AF8953" s="22"/>
    </row>
    <row r="8954" spans="29:32" x14ac:dyDescent="0.2">
      <c r="AC8954" s="20"/>
      <c r="AE8954" s="22"/>
      <c r="AF8954" s="22"/>
    </row>
    <row r="8955" spans="29:32" x14ac:dyDescent="0.2">
      <c r="AC8955" s="20"/>
      <c r="AE8955" s="22"/>
      <c r="AF8955" s="22"/>
    </row>
    <row r="8956" spans="29:32" x14ac:dyDescent="0.2">
      <c r="AC8956" s="20"/>
      <c r="AE8956" s="22"/>
      <c r="AF8956" s="22"/>
    </row>
    <row r="8957" spans="29:32" x14ac:dyDescent="0.2">
      <c r="AC8957" s="20"/>
      <c r="AE8957" s="22"/>
      <c r="AF8957" s="22"/>
    </row>
    <row r="8958" spans="29:32" x14ac:dyDescent="0.2">
      <c r="AC8958" s="20"/>
      <c r="AE8958" s="22"/>
      <c r="AF8958" s="22"/>
    </row>
    <row r="8959" spans="29:32" x14ac:dyDescent="0.2">
      <c r="AC8959" s="20"/>
      <c r="AE8959" s="22"/>
      <c r="AF8959" s="22"/>
    </row>
    <row r="8960" spans="29:32" x14ac:dyDescent="0.2">
      <c r="AC8960" s="20"/>
      <c r="AE8960" s="22"/>
      <c r="AF8960" s="22"/>
    </row>
    <row r="8961" spans="29:32" x14ac:dyDescent="0.2">
      <c r="AC8961" s="20"/>
      <c r="AE8961" s="22"/>
      <c r="AF8961" s="22"/>
    </row>
    <row r="8962" spans="29:32" x14ac:dyDescent="0.2">
      <c r="AC8962" s="20"/>
      <c r="AE8962" s="22"/>
      <c r="AF8962" s="22"/>
    </row>
    <row r="8963" spans="29:32" x14ac:dyDescent="0.2">
      <c r="AC8963" s="20"/>
      <c r="AE8963" s="22"/>
      <c r="AF8963" s="22"/>
    </row>
    <row r="8964" spans="29:32" x14ac:dyDescent="0.2">
      <c r="AC8964" s="20"/>
      <c r="AE8964" s="22"/>
      <c r="AF8964" s="22"/>
    </row>
    <row r="8965" spans="29:32" x14ac:dyDescent="0.2">
      <c r="AC8965" s="20"/>
      <c r="AE8965" s="22"/>
      <c r="AF8965" s="22"/>
    </row>
    <row r="8966" spans="29:32" x14ac:dyDescent="0.2">
      <c r="AC8966" s="20"/>
      <c r="AE8966" s="22"/>
      <c r="AF8966" s="22"/>
    </row>
    <row r="8967" spans="29:32" x14ac:dyDescent="0.2">
      <c r="AC8967" s="20"/>
      <c r="AE8967" s="22"/>
      <c r="AF8967" s="22"/>
    </row>
    <row r="8968" spans="29:32" x14ac:dyDescent="0.2">
      <c r="AC8968" s="20"/>
      <c r="AE8968" s="22"/>
      <c r="AF8968" s="22"/>
    </row>
    <row r="8969" spans="29:32" x14ac:dyDescent="0.2">
      <c r="AC8969" s="20"/>
      <c r="AE8969" s="22"/>
      <c r="AF8969" s="22"/>
    </row>
    <row r="8970" spans="29:32" x14ac:dyDescent="0.2">
      <c r="AC8970" s="20"/>
      <c r="AE8970" s="22"/>
      <c r="AF8970" s="22"/>
    </row>
    <row r="8971" spans="29:32" x14ac:dyDescent="0.2">
      <c r="AC8971" s="20"/>
      <c r="AE8971" s="22"/>
      <c r="AF8971" s="22"/>
    </row>
    <row r="8972" spans="29:32" x14ac:dyDescent="0.2">
      <c r="AC8972" s="20"/>
      <c r="AE8972" s="22"/>
      <c r="AF8972" s="22"/>
    </row>
    <row r="8973" spans="29:32" x14ac:dyDescent="0.2">
      <c r="AC8973" s="20"/>
      <c r="AE8973" s="22"/>
      <c r="AF8973" s="22"/>
    </row>
    <row r="8974" spans="29:32" x14ac:dyDescent="0.2">
      <c r="AC8974" s="20"/>
      <c r="AE8974" s="22"/>
      <c r="AF8974" s="22"/>
    </row>
    <row r="8975" spans="29:32" x14ac:dyDescent="0.2">
      <c r="AC8975" s="20"/>
      <c r="AE8975" s="22"/>
      <c r="AF8975" s="22"/>
    </row>
    <row r="8976" spans="29:32" x14ac:dyDescent="0.2">
      <c r="AC8976" s="20"/>
      <c r="AE8976" s="22"/>
      <c r="AF8976" s="22"/>
    </row>
    <row r="8977" spans="29:32" x14ac:dyDescent="0.2">
      <c r="AC8977" s="20"/>
      <c r="AE8977" s="22"/>
      <c r="AF8977" s="22"/>
    </row>
    <row r="8978" spans="29:32" x14ac:dyDescent="0.2">
      <c r="AC8978" s="20"/>
      <c r="AE8978" s="22"/>
      <c r="AF8978" s="22"/>
    </row>
    <row r="8979" spans="29:32" x14ac:dyDescent="0.2">
      <c r="AC8979" s="20"/>
      <c r="AE8979" s="22"/>
      <c r="AF8979" s="22"/>
    </row>
    <row r="8980" spans="29:32" x14ac:dyDescent="0.2">
      <c r="AC8980" s="20"/>
      <c r="AE8980" s="22"/>
      <c r="AF8980" s="22"/>
    </row>
    <row r="8981" spans="29:32" x14ac:dyDescent="0.2">
      <c r="AC8981" s="20"/>
      <c r="AE8981" s="22"/>
      <c r="AF8981" s="22"/>
    </row>
    <row r="8982" spans="29:32" x14ac:dyDescent="0.2">
      <c r="AC8982" s="20"/>
      <c r="AE8982" s="22"/>
      <c r="AF8982" s="22"/>
    </row>
    <row r="8983" spans="29:32" x14ac:dyDescent="0.2">
      <c r="AC8983" s="20"/>
      <c r="AE8983" s="22"/>
      <c r="AF8983" s="22"/>
    </row>
    <row r="8984" spans="29:32" x14ac:dyDescent="0.2">
      <c r="AC8984" s="20"/>
      <c r="AE8984" s="22"/>
      <c r="AF8984" s="22"/>
    </row>
    <row r="8985" spans="29:32" x14ac:dyDescent="0.2">
      <c r="AC8985" s="20"/>
      <c r="AE8985" s="22"/>
      <c r="AF8985" s="22"/>
    </row>
    <row r="8986" spans="29:32" x14ac:dyDescent="0.2">
      <c r="AC8986" s="20"/>
      <c r="AE8986" s="22"/>
      <c r="AF8986" s="22"/>
    </row>
    <row r="8987" spans="29:32" x14ac:dyDescent="0.2">
      <c r="AC8987" s="20"/>
      <c r="AE8987" s="22"/>
      <c r="AF8987" s="22"/>
    </row>
    <row r="8988" spans="29:32" x14ac:dyDescent="0.2">
      <c r="AC8988" s="20"/>
      <c r="AE8988" s="22"/>
      <c r="AF8988" s="22"/>
    </row>
    <row r="8989" spans="29:32" x14ac:dyDescent="0.2">
      <c r="AC8989" s="20"/>
      <c r="AE8989" s="22"/>
      <c r="AF8989" s="22"/>
    </row>
    <row r="8990" spans="29:32" x14ac:dyDescent="0.2">
      <c r="AC8990" s="20"/>
      <c r="AE8990" s="22"/>
      <c r="AF8990" s="22"/>
    </row>
    <row r="8991" spans="29:32" x14ac:dyDescent="0.2">
      <c r="AC8991" s="20"/>
      <c r="AE8991" s="22"/>
      <c r="AF8991" s="22"/>
    </row>
    <row r="8992" spans="29:32" x14ac:dyDescent="0.2">
      <c r="AC8992" s="20"/>
      <c r="AE8992" s="22"/>
      <c r="AF8992" s="22"/>
    </row>
    <row r="8993" spans="29:32" x14ac:dyDescent="0.2">
      <c r="AC8993" s="20"/>
      <c r="AE8993" s="22"/>
      <c r="AF8993" s="22"/>
    </row>
    <row r="8994" spans="29:32" x14ac:dyDescent="0.2">
      <c r="AC8994" s="20"/>
      <c r="AE8994" s="22"/>
      <c r="AF8994" s="22"/>
    </row>
    <row r="8995" spans="29:32" x14ac:dyDescent="0.2">
      <c r="AC8995" s="20"/>
      <c r="AE8995" s="22"/>
      <c r="AF8995" s="22"/>
    </row>
    <row r="8996" spans="29:32" x14ac:dyDescent="0.2">
      <c r="AC8996" s="20"/>
      <c r="AE8996" s="22"/>
      <c r="AF8996" s="22"/>
    </row>
    <row r="8997" spans="29:32" x14ac:dyDescent="0.2">
      <c r="AC8997" s="20"/>
      <c r="AE8997" s="22"/>
      <c r="AF8997" s="22"/>
    </row>
    <row r="8998" spans="29:32" x14ac:dyDescent="0.2">
      <c r="AC8998" s="20"/>
      <c r="AE8998" s="22"/>
      <c r="AF8998" s="22"/>
    </row>
    <row r="8999" spans="29:32" x14ac:dyDescent="0.2">
      <c r="AC8999" s="20"/>
      <c r="AE8999" s="22"/>
      <c r="AF8999" s="22"/>
    </row>
    <row r="9000" spans="29:32" x14ac:dyDescent="0.2">
      <c r="AC9000" s="20"/>
      <c r="AE9000" s="22"/>
      <c r="AF9000" s="22"/>
    </row>
    <row r="9001" spans="29:32" x14ac:dyDescent="0.2">
      <c r="AC9001" s="20"/>
      <c r="AE9001" s="22"/>
      <c r="AF9001" s="22"/>
    </row>
    <row r="9002" spans="29:32" x14ac:dyDescent="0.2">
      <c r="AC9002" s="20"/>
      <c r="AE9002" s="22"/>
      <c r="AF9002" s="22"/>
    </row>
    <row r="9003" spans="29:32" x14ac:dyDescent="0.2">
      <c r="AC9003" s="20"/>
      <c r="AE9003" s="22"/>
      <c r="AF9003" s="22"/>
    </row>
    <row r="9004" spans="29:32" x14ac:dyDescent="0.2">
      <c r="AC9004" s="20"/>
      <c r="AE9004" s="22"/>
      <c r="AF9004" s="22"/>
    </row>
    <row r="9005" spans="29:32" x14ac:dyDescent="0.2">
      <c r="AC9005" s="20"/>
      <c r="AE9005" s="22"/>
      <c r="AF9005" s="22"/>
    </row>
    <row r="9006" spans="29:32" x14ac:dyDescent="0.2">
      <c r="AC9006" s="20"/>
      <c r="AE9006" s="22"/>
      <c r="AF9006" s="22"/>
    </row>
    <row r="9007" spans="29:32" x14ac:dyDescent="0.2">
      <c r="AC9007" s="20"/>
      <c r="AE9007" s="22"/>
      <c r="AF9007" s="22"/>
    </row>
    <row r="9008" spans="29:32" x14ac:dyDescent="0.2">
      <c r="AC9008" s="20"/>
      <c r="AE9008" s="22"/>
      <c r="AF9008" s="22"/>
    </row>
    <row r="9009" spans="29:32" x14ac:dyDescent="0.2">
      <c r="AC9009" s="20"/>
      <c r="AE9009" s="22"/>
      <c r="AF9009" s="22"/>
    </row>
    <row r="9010" spans="29:32" x14ac:dyDescent="0.2">
      <c r="AC9010" s="20"/>
      <c r="AE9010" s="22"/>
      <c r="AF9010" s="22"/>
    </row>
    <row r="9011" spans="29:32" x14ac:dyDescent="0.2">
      <c r="AC9011" s="20"/>
      <c r="AE9011" s="22"/>
      <c r="AF9011" s="22"/>
    </row>
    <row r="9012" spans="29:32" x14ac:dyDescent="0.2">
      <c r="AC9012" s="20"/>
      <c r="AE9012" s="22"/>
      <c r="AF9012" s="22"/>
    </row>
    <row r="9013" spans="29:32" x14ac:dyDescent="0.2">
      <c r="AC9013" s="20"/>
      <c r="AE9013" s="22"/>
      <c r="AF9013" s="22"/>
    </row>
    <row r="9014" spans="29:32" x14ac:dyDescent="0.2">
      <c r="AC9014" s="20"/>
      <c r="AE9014" s="22"/>
      <c r="AF9014" s="22"/>
    </row>
    <row r="9015" spans="29:32" x14ac:dyDescent="0.2">
      <c r="AC9015" s="20"/>
      <c r="AE9015" s="22"/>
      <c r="AF9015" s="22"/>
    </row>
    <row r="9016" spans="29:32" x14ac:dyDescent="0.2">
      <c r="AC9016" s="20"/>
      <c r="AE9016" s="22"/>
      <c r="AF9016" s="22"/>
    </row>
    <row r="9017" spans="29:32" x14ac:dyDescent="0.2">
      <c r="AC9017" s="20"/>
      <c r="AE9017" s="22"/>
      <c r="AF9017" s="22"/>
    </row>
    <row r="9018" spans="29:32" x14ac:dyDescent="0.2">
      <c r="AC9018" s="20"/>
      <c r="AE9018" s="22"/>
      <c r="AF9018" s="22"/>
    </row>
    <row r="9019" spans="29:32" x14ac:dyDescent="0.2">
      <c r="AC9019" s="20"/>
      <c r="AE9019" s="22"/>
      <c r="AF9019" s="22"/>
    </row>
    <row r="9020" spans="29:32" x14ac:dyDescent="0.2">
      <c r="AC9020" s="20"/>
      <c r="AE9020" s="22"/>
      <c r="AF9020" s="22"/>
    </row>
    <row r="9021" spans="29:32" x14ac:dyDescent="0.2">
      <c r="AC9021" s="20"/>
      <c r="AE9021" s="22"/>
      <c r="AF9021" s="22"/>
    </row>
    <row r="9022" spans="29:32" x14ac:dyDescent="0.2">
      <c r="AC9022" s="20"/>
      <c r="AE9022" s="22"/>
      <c r="AF9022" s="22"/>
    </row>
    <row r="9023" spans="29:32" x14ac:dyDescent="0.2">
      <c r="AC9023" s="20"/>
      <c r="AE9023" s="22"/>
      <c r="AF9023" s="22"/>
    </row>
    <row r="9024" spans="29:32" x14ac:dyDescent="0.2">
      <c r="AC9024" s="20"/>
      <c r="AE9024" s="22"/>
      <c r="AF9024" s="22"/>
    </row>
    <row r="9025" spans="29:32" x14ac:dyDescent="0.2">
      <c r="AC9025" s="20"/>
      <c r="AE9025" s="22"/>
      <c r="AF9025" s="22"/>
    </row>
    <row r="9026" spans="29:32" x14ac:dyDescent="0.2">
      <c r="AC9026" s="20"/>
      <c r="AE9026" s="22"/>
      <c r="AF9026" s="22"/>
    </row>
    <row r="9027" spans="29:32" x14ac:dyDescent="0.2">
      <c r="AC9027" s="20"/>
      <c r="AE9027" s="22"/>
      <c r="AF9027" s="22"/>
    </row>
    <row r="9028" spans="29:32" x14ac:dyDescent="0.2">
      <c r="AC9028" s="20"/>
      <c r="AE9028" s="22"/>
      <c r="AF9028" s="22"/>
    </row>
    <row r="9029" spans="29:32" x14ac:dyDescent="0.2">
      <c r="AC9029" s="20"/>
      <c r="AE9029" s="22"/>
      <c r="AF9029" s="22"/>
    </row>
    <row r="9030" spans="29:32" x14ac:dyDescent="0.2">
      <c r="AC9030" s="20"/>
      <c r="AE9030" s="22"/>
      <c r="AF9030" s="22"/>
    </row>
    <row r="9031" spans="29:32" x14ac:dyDescent="0.2">
      <c r="AC9031" s="20"/>
      <c r="AE9031" s="22"/>
      <c r="AF9031" s="22"/>
    </row>
    <row r="9032" spans="29:32" x14ac:dyDescent="0.2">
      <c r="AC9032" s="20"/>
      <c r="AE9032" s="22"/>
      <c r="AF9032" s="22"/>
    </row>
    <row r="9033" spans="29:32" x14ac:dyDescent="0.2">
      <c r="AC9033" s="20"/>
      <c r="AE9033" s="22"/>
      <c r="AF9033" s="22"/>
    </row>
    <row r="9034" spans="29:32" x14ac:dyDescent="0.2">
      <c r="AC9034" s="20"/>
      <c r="AE9034" s="22"/>
      <c r="AF9034" s="22"/>
    </row>
    <row r="9035" spans="29:32" x14ac:dyDescent="0.2">
      <c r="AC9035" s="20"/>
      <c r="AE9035" s="22"/>
      <c r="AF9035" s="22"/>
    </row>
    <row r="9036" spans="29:32" x14ac:dyDescent="0.2">
      <c r="AC9036" s="20"/>
      <c r="AE9036" s="22"/>
      <c r="AF9036" s="22"/>
    </row>
    <row r="9037" spans="29:32" x14ac:dyDescent="0.2">
      <c r="AC9037" s="20"/>
      <c r="AE9037" s="22"/>
      <c r="AF9037" s="22"/>
    </row>
    <row r="9038" spans="29:32" x14ac:dyDescent="0.2">
      <c r="AC9038" s="20"/>
      <c r="AE9038" s="22"/>
      <c r="AF9038" s="22"/>
    </row>
    <row r="9039" spans="29:32" x14ac:dyDescent="0.2">
      <c r="AC9039" s="20"/>
      <c r="AE9039" s="22"/>
      <c r="AF9039" s="22"/>
    </row>
    <row r="9040" spans="29:32" x14ac:dyDescent="0.2">
      <c r="AC9040" s="20"/>
      <c r="AE9040" s="22"/>
      <c r="AF9040" s="22"/>
    </row>
    <row r="9041" spans="29:32" x14ac:dyDescent="0.2">
      <c r="AC9041" s="20"/>
      <c r="AE9041" s="22"/>
      <c r="AF9041" s="22"/>
    </row>
    <row r="9042" spans="29:32" x14ac:dyDescent="0.2">
      <c r="AC9042" s="20"/>
      <c r="AE9042" s="22"/>
      <c r="AF9042" s="22"/>
    </row>
    <row r="9043" spans="29:32" x14ac:dyDescent="0.2">
      <c r="AC9043" s="20"/>
      <c r="AE9043" s="22"/>
      <c r="AF9043" s="22"/>
    </row>
    <row r="9044" spans="29:32" x14ac:dyDescent="0.2">
      <c r="AC9044" s="20"/>
      <c r="AE9044" s="22"/>
      <c r="AF9044" s="22"/>
    </row>
    <row r="9045" spans="29:32" x14ac:dyDescent="0.2">
      <c r="AC9045" s="20"/>
      <c r="AE9045" s="22"/>
      <c r="AF9045" s="22"/>
    </row>
    <row r="9046" spans="29:32" x14ac:dyDescent="0.2">
      <c r="AC9046" s="20"/>
      <c r="AE9046" s="22"/>
      <c r="AF9046" s="22"/>
    </row>
    <row r="9047" spans="29:32" x14ac:dyDescent="0.2">
      <c r="AC9047" s="20"/>
      <c r="AE9047" s="22"/>
      <c r="AF9047" s="22"/>
    </row>
    <row r="9048" spans="29:32" x14ac:dyDescent="0.2">
      <c r="AC9048" s="20"/>
      <c r="AE9048" s="22"/>
      <c r="AF9048" s="22"/>
    </row>
    <row r="9049" spans="29:32" x14ac:dyDescent="0.2">
      <c r="AC9049" s="20"/>
      <c r="AE9049" s="22"/>
      <c r="AF9049" s="22"/>
    </row>
    <row r="9050" spans="29:32" x14ac:dyDescent="0.2">
      <c r="AC9050" s="20"/>
      <c r="AE9050" s="22"/>
      <c r="AF9050" s="22"/>
    </row>
    <row r="9051" spans="29:32" x14ac:dyDescent="0.2">
      <c r="AC9051" s="20"/>
      <c r="AE9051" s="22"/>
      <c r="AF9051" s="22"/>
    </row>
    <row r="9052" spans="29:32" x14ac:dyDescent="0.2">
      <c r="AC9052" s="20"/>
      <c r="AE9052" s="22"/>
      <c r="AF9052" s="22"/>
    </row>
    <row r="9053" spans="29:32" x14ac:dyDescent="0.2">
      <c r="AC9053" s="20"/>
      <c r="AE9053" s="22"/>
      <c r="AF9053" s="22"/>
    </row>
    <row r="9054" spans="29:32" x14ac:dyDescent="0.2">
      <c r="AC9054" s="20"/>
      <c r="AE9054" s="22"/>
      <c r="AF9054" s="22"/>
    </row>
    <row r="9055" spans="29:32" x14ac:dyDescent="0.2">
      <c r="AC9055" s="20"/>
      <c r="AE9055" s="22"/>
      <c r="AF9055" s="22"/>
    </row>
    <row r="9056" spans="29:32" x14ac:dyDescent="0.2">
      <c r="AC9056" s="20"/>
      <c r="AE9056" s="22"/>
      <c r="AF9056" s="22"/>
    </row>
    <row r="9057" spans="29:32" x14ac:dyDescent="0.2">
      <c r="AC9057" s="20"/>
      <c r="AE9057" s="22"/>
      <c r="AF9057" s="22"/>
    </row>
    <row r="9058" spans="29:32" x14ac:dyDescent="0.2">
      <c r="AC9058" s="20"/>
      <c r="AE9058" s="22"/>
      <c r="AF9058" s="22"/>
    </row>
    <row r="9059" spans="29:32" x14ac:dyDescent="0.2">
      <c r="AC9059" s="20"/>
      <c r="AE9059" s="22"/>
      <c r="AF9059" s="22"/>
    </row>
    <row r="9060" spans="29:32" x14ac:dyDescent="0.2">
      <c r="AC9060" s="20"/>
      <c r="AE9060" s="22"/>
      <c r="AF9060" s="22"/>
    </row>
    <row r="9061" spans="29:32" x14ac:dyDescent="0.2">
      <c r="AC9061" s="20"/>
      <c r="AE9061" s="22"/>
      <c r="AF9061" s="22"/>
    </row>
    <row r="9062" spans="29:32" x14ac:dyDescent="0.2">
      <c r="AC9062" s="20"/>
      <c r="AE9062" s="22"/>
      <c r="AF9062" s="22"/>
    </row>
    <row r="9063" spans="29:32" x14ac:dyDescent="0.2">
      <c r="AC9063" s="20"/>
      <c r="AE9063" s="22"/>
      <c r="AF9063" s="22"/>
    </row>
    <row r="9064" spans="29:32" x14ac:dyDescent="0.2">
      <c r="AC9064" s="20"/>
      <c r="AE9064" s="22"/>
      <c r="AF9064" s="22"/>
    </row>
    <row r="9065" spans="29:32" x14ac:dyDescent="0.2">
      <c r="AC9065" s="20"/>
      <c r="AE9065" s="22"/>
      <c r="AF9065" s="22"/>
    </row>
    <row r="9066" spans="29:32" x14ac:dyDescent="0.2">
      <c r="AC9066" s="20"/>
      <c r="AE9066" s="22"/>
      <c r="AF9066" s="22"/>
    </row>
    <row r="9067" spans="29:32" x14ac:dyDescent="0.2">
      <c r="AC9067" s="20"/>
      <c r="AE9067" s="22"/>
      <c r="AF9067" s="22"/>
    </row>
    <row r="9068" spans="29:32" x14ac:dyDescent="0.2">
      <c r="AC9068" s="20"/>
      <c r="AE9068" s="22"/>
      <c r="AF9068" s="22"/>
    </row>
    <row r="9069" spans="29:32" x14ac:dyDescent="0.2">
      <c r="AC9069" s="20"/>
      <c r="AE9069" s="22"/>
      <c r="AF9069" s="22"/>
    </row>
    <row r="9070" spans="29:32" x14ac:dyDescent="0.2">
      <c r="AC9070" s="20"/>
      <c r="AE9070" s="22"/>
      <c r="AF9070" s="22"/>
    </row>
    <row r="9071" spans="29:32" x14ac:dyDescent="0.2">
      <c r="AC9071" s="20"/>
      <c r="AE9071" s="22"/>
      <c r="AF9071" s="22"/>
    </row>
    <row r="9072" spans="29:32" x14ac:dyDescent="0.2">
      <c r="AC9072" s="20"/>
      <c r="AE9072" s="22"/>
      <c r="AF9072" s="22"/>
    </row>
    <row r="9073" spans="29:32" x14ac:dyDescent="0.2">
      <c r="AC9073" s="20"/>
      <c r="AE9073" s="22"/>
      <c r="AF9073" s="22"/>
    </row>
    <row r="9074" spans="29:32" x14ac:dyDescent="0.2">
      <c r="AC9074" s="20"/>
      <c r="AE9074" s="22"/>
      <c r="AF9074" s="22"/>
    </row>
    <row r="9075" spans="29:32" x14ac:dyDescent="0.2">
      <c r="AC9075" s="20"/>
      <c r="AE9075" s="22"/>
      <c r="AF9075" s="22"/>
    </row>
    <row r="9076" spans="29:32" x14ac:dyDescent="0.2">
      <c r="AC9076" s="20"/>
      <c r="AE9076" s="22"/>
      <c r="AF9076" s="22"/>
    </row>
    <row r="9077" spans="29:32" x14ac:dyDescent="0.2">
      <c r="AC9077" s="20"/>
      <c r="AE9077" s="22"/>
      <c r="AF9077" s="22"/>
    </row>
    <row r="9078" spans="29:32" x14ac:dyDescent="0.2">
      <c r="AC9078" s="20"/>
      <c r="AE9078" s="22"/>
      <c r="AF9078" s="22"/>
    </row>
    <row r="9079" spans="29:32" x14ac:dyDescent="0.2">
      <c r="AC9079" s="20"/>
      <c r="AE9079" s="22"/>
      <c r="AF9079" s="22"/>
    </row>
    <row r="9080" spans="29:32" x14ac:dyDescent="0.2">
      <c r="AC9080" s="20"/>
      <c r="AE9080" s="22"/>
      <c r="AF9080" s="22"/>
    </row>
    <row r="9081" spans="29:32" x14ac:dyDescent="0.2">
      <c r="AC9081" s="20"/>
      <c r="AE9081" s="22"/>
      <c r="AF9081" s="22"/>
    </row>
    <row r="9082" spans="29:32" x14ac:dyDescent="0.2">
      <c r="AC9082" s="20"/>
      <c r="AE9082" s="22"/>
      <c r="AF9082" s="22"/>
    </row>
    <row r="9083" spans="29:32" x14ac:dyDescent="0.2">
      <c r="AC9083" s="20"/>
      <c r="AE9083" s="22"/>
      <c r="AF9083" s="22"/>
    </row>
    <row r="9084" spans="29:32" x14ac:dyDescent="0.2">
      <c r="AC9084" s="20"/>
      <c r="AE9084" s="22"/>
      <c r="AF9084" s="22"/>
    </row>
    <row r="9085" spans="29:32" x14ac:dyDescent="0.2">
      <c r="AC9085" s="20"/>
      <c r="AE9085" s="22"/>
      <c r="AF9085" s="22"/>
    </row>
    <row r="9086" spans="29:32" x14ac:dyDescent="0.2">
      <c r="AC9086" s="20"/>
      <c r="AE9086" s="22"/>
      <c r="AF9086" s="22"/>
    </row>
    <row r="9087" spans="29:32" x14ac:dyDescent="0.2">
      <c r="AC9087" s="20"/>
      <c r="AE9087" s="22"/>
      <c r="AF9087" s="22"/>
    </row>
    <row r="9088" spans="29:32" x14ac:dyDescent="0.2">
      <c r="AC9088" s="20"/>
      <c r="AE9088" s="22"/>
      <c r="AF9088" s="22"/>
    </row>
    <row r="9089" spans="29:32" x14ac:dyDescent="0.2">
      <c r="AC9089" s="20"/>
      <c r="AE9089" s="22"/>
      <c r="AF9089" s="22"/>
    </row>
    <row r="9090" spans="29:32" x14ac:dyDescent="0.2">
      <c r="AC9090" s="20"/>
      <c r="AE9090" s="22"/>
      <c r="AF9090" s="22"/>
    </row>
    <row r="9091" spans="29:32" x14ac:dyDescent="0.2">
      <c r="AC9091" s="20"/>
      <c r="AE9091" s="22"/>
      <c r="AF9091" s="22"/>
    </row>
    <row r="9092" spans="29:32" x14ac:dyDescent="0.2">
      <c r="AC9092" s="20"/>
      <c r="AE9092" s="22"/>
      <c r="AF9092" s="22"/>
    </row>
    <row r="9093" spans="29:32" x14ac:dyDescent="0.2">
      <c r="AC9093" s="20"/>
      <c r="AE9093" s="22"/>
      <c r="AF9093" s="22"/>
    </row>
    <row r="9094" spans="29:32" x14ac:dyDescent="0.2">
      <c r="AC9094" s="20"/>
      <c r="AE9094" s="22"/>
      <c r="AF9094" s="22"/>
    </row>
    <row r="9095" spans="29:32" x14ac:dyDescent="0.2">
      <c r="AC9095" s="20"/>
      <c r="AE9095" s="22"/>
      <c r="AF9095" s="22"/>
    </row>
    <row r="9096" spans="29:32" x14ac:dyDescent="0.2">
      <c r="AC9096" s="20"/>
      <c r="AE9096" s="22"/>
      <c r="AF9096" s="22"/>
    </row>
    <row r="9097" spans="29:32" x14ac:dyDescent="0.2">
      <c r="AC9097" s="20"/>
      <c r="AE9097" s="22"/>
      <c r="AF9097" s="22"/>
    </row>
    <row r="9098" spans="29:32" x14ac:dyDescent="0.2">
      <c r="AC9098" s="20"/>
      <c r="AE9098" s="22"/>
      <c r="AF9098" s="22"/>
    </row>
    <row r="9099" spans="29:32" x14ac:dyDescent="0.2">
      <c r="AC9099" s="20"/>
      <c r="AE9099" s="22"/>
      <c r="AF9099" s="22"/>
    </row>
    <row r="9100" spans="29:32" x14ac:dyDescent="0.2">
      <c r="AC9100" s="20"/>
      <c r="AE9100" s="22"/>
      <c r="AF9100" s="22"/>
    </row>
    <row r="9101" spans="29:32" x14ac:dyDescent="0.2">
      <c r="AC9101" s="20"/>
      <c r="AE9101" s="22"/>
      <c r="AF9101" s="22"/>
    </row>
    <row r="9102" spans="29:32" x14ac:dyDescent="0.2">
      <c r="AC9102" s="20"/>
      <c r="AE9102" s="22"/>
      <c r="AF9102" s="22"/>
    </row>
    <row r="9103" spans="29:32" x14ac:dyDescent="0.2">
      <c r="AC9103" s="20"/>
      <c r="AE9103" s="22"/>
      <c r="AF9103" s="22"/>
    </row>
    <row r="9104" spans="29:32" x14ac:dyDescent="0.2">
      <c r="AC9104" s="20"/>
      <c r="AE9104" s="22"/>
      <c r="AF9104" s="22"/>
    </row>
    <row r="9105" spans="29:32" x14ac:dyDescent="0.2">
      <c r="AC9105" s="20"/>
      <c r="AE9105" s="22"/>
      <c r="AF9105" s="22"/>
    </row>
    <row r="9106" spans="29:32" x14ac:dyDescent="0.2">
      <c r="AC9106" s="20"/>
      <c r="AE9106" s="22"/>
      <c r="AF9106" s="22"/>
    </row>
    <row r="9107" spans="29:32" x14ac:dyDescent="0.2">
      <c r="AC9107" s="20"/>
      <c r="AE9107" s="22"/>
      <c r="AF9107" s="22"/>
    </row>
    <row r="9108" spans="29:32" x14ac:dyDescent="0.2">
      <c r="AC9108" s="20"/>
      <c r="AE9108" s="22"/>
      <c r="AF9108" s="22"/>
    </row>
    <row r="9109" spans="29:32" x14ac:dyDescent="0.2">
      <c r="AC9109" s="20"/>
      <c r="AE9109" s="22"/>
      <c r="AF9109" s="22"/>
    </row>
    <row r="9110" spans="29:32" x14ac:dyDescent="0.2">
      <c r="AC9110" s="20"/>
      <c r="AE9110" s="22"/>
      <c r="AF9110" s="22"/>
    </row>
    <row r="9111" spans="29:32" x14ac:dyDescent="0.2">
      <c r="AC9111" s="20"/>
      <c r="AE9111" s="22"/>
      <c r="AF9111" s="22"/>
    </row>
    <row r="9112" spans="29:32" x14ac:dyDescent="0.2">
      <c r="AC9112" s="20"/>
      <c r="AE9112" s="22"/>
      <c r="AF9112" s="22"/>
    </row>
    <row r="9113" spans="29:32" x14ac:dyDescent="0.2">
      <c r="AC9113" s="20"/>
      <c r="AE9113" s="22"/>
      <c r="AF9113" s="22"/>
    </row>
    <row r="9114" spans="29:32" x14ac:dyDescent="0.2">
      <c r="AC9114" s="20"/>
      <c r="AE9114" s="22"/>
      <c r="AF9114" s="22"/>
    </row>
    <row r="9115" spans="29:32" x14ac:dyDescent="0.2">
      <c r="AC9115" s="20"/>
      <c r="AE9115" s="22"/>
      <c r="AF9115" s="22"/>
    </row>
    <row r="9116" spans="29:32" x14ac:dyDescent="0.2">
      <c r="AC9116" s="20"/>
      <c r="AE9116" s="22"/>
      <c r="AF9116" s="22"/>
    </row>
    <row r="9117" spans="29:32" x14ac:dyDescent="0.2">
      <c r="AC9117" s="20"/>
      <c r="AE9117" s="22"/>
      <c r="AF9117" s="22"/>
    </row>
    <row r="9118" spans="29:32" x14ac:dyDescent="0.2">
      <c r="AC9118" s="20"/>
      <c r="AE9118" s="22"/>
      <c r="AF9118" s="22"/>
    </row>
    <row r="9119" spans="29:32" x14ac:dyDescent="0.2">
      <c r="AC9119" s="20"/>
      <c r="AE9119" s="22"/>
      <c r="AF9119" s="22"/>
    </row>
    <row r="9120" spans="29:32" x14ac:dyDescent="0.2">
      <c r="AC9120" s="20"/>
      <c r="AE9120" s="22"/>
      <c r="AF9120" s="22"/>
    </row>
    <row r="9121" spans="29:32" x14ac:dyDescent="0.2">
      <c r="AC9121" s="20"/>
      <c r="AE9121" s="22"/>
      <c r="AF9121" s="22"/>
    </row>
    <row r="9122" spans="29:32" x14ac:dyDescent="0.2">
      <c r="AC9122" s="20"/>
      <c r="AE9122" s="22"/>
      <c r="AF9122" s="22"/>
    </row>
    <row r="9123" spans="29:32" x14ac:dyDescent="0.2">
      <c r="AC9123" s="20"/>
      <c r="AE9123" s="22"/>
      <c r="AF9123" s="22"/>
    </row>
    <row r="9124" spans="29:32" x14ac:dyDescent="0.2">
      <c r="AC9124" s="20"/>
      <c r="AE9124" s="22"/>
      <c r="AF9124" s="22"/>
    </row>
    <row r="9125" spans="29:32" x14ac:dyDescent="0.2">
      <c r="AC9125" s="20"/>
      <c r="AE9125" s="22"/>
      <c r="AF9125" s="22"/>
    </row>
    <row r="9126" spans="29:32" x14ac:dyDescent="0.2">
      <c r="AC9126" s="20"/>
      <c r="AE9126" s="22"/>
      <c r="AF9126" s="22"/>
    </row>
    <row r="9127" spans="29:32" x14ac:dyDescent="0.2">
      <c r="AC9127" s="20"/>
      <c r="AE9127" s="22"/>
      <c r="AF9127" s="22"/>
    </row>
    <row r="9128" spans="29:32" x14ac:dyDescent="0.2">
      <c r="AC9128" s="20"/>
      <c r="AE9128" s="22"/>
      <c r="AF9128" s="22"/>
    </row>
    <row r="9129" spans="29:32" x14ac:dyDescent="0.2">
      <c r="AC9129" s="20"/>
      <c r="AE9129" s="22"/>
      <c r="AF9129" s="22"/>
    </row>
    <row r="9130" spans="29:32" x14ac:dyDescent="0.2">
      <c r="AC9130" s="20"/>
      <c r="AE9130" s="22"/>
      <c r="AF9130" s="22"/>
    </row>
    <row r="9131" spans="29:32" x14ac:dyDescent="0.2">
      <c r="AC9131" s="20"/>
      <c r="AE9131" s="22"/>
      <c r="AF9131" s="22"/>
    </row>
    <row r="9132" spans="29:32" x14ac:dyDescent="0.2">
      <c r="AC9132" s="20"/>
      <c r="AE9132" s="22"/>
      <c r="AF9132" s="22"/>
    </row>
    <row r="9133" spans="29:32" x14ac:dyDescent="0.2">
      <c r="AC9133" s="20"/>
      <c r="AE9133" s="22"/>
      <c r="AF9133" s="22"/>
    </row>
    <row r="9134" spans="29:32" x14ac:dyDescent="0.2">
      <c r="AC9134" s="20"/>
      <c r="AE9134" s="22"/>
      <c r="AF9134" s="22"/>
    </row>
    <row r="9135" spans="29:32" x14ac:dyDescent="0.2">
      <c r="AC9135" s="20"/>
      <c r="AE9135" s="22"/>
      <c r="AF9135" s="22"/>
    </row>
    <row r="9136" spans="29:32" x14ac:dyDescent="0.2">
      <c r="AC9136" s="20"/>
      <c r="AE9136" s="22"/>
      <c r="AF9136" s="22"/>
    </row>
    <row r="9137" spans="29:32" x14ac:dyDescent="0.2">
      <c r="AC9137" s="20"/>
      <c r="AE9137" s="22"/>
      <c r="AF9137" s="22"/>
    </row>
    <row r="9138" spans="29:32" x14ac:dyDescent="0.2">
      <c r="AC9138" s="20"/>
      <c r="AE9138" s="22"/>
      <c r="AF9138" s="22"/>
    </row>
    <row r="9139" spans="29:32" x14ac:dyDescent="0.2">
      <c r="AC9139" s="20"/>
      <c r="AE9139" s="22"/>
      <c r="AF9139" s="22"/>
    </row>
    <row r="9140" spans="29:32" x14ac:dyDescent="0.2">
      <c r="AC9140" s="20"/>
      <c r="AE9140" s="22"/>
      <c r="AF9140" s="22"/>
    </row>
    <row r="9141" spans="29:32" x14ac:dyDescent="0.2">
      <c r="AC9141" s="20"/>
      <c r="AE9141" s="22"/>
      <c r="AF9141" s="22"/>
    </row>
    <row r="9142" spans="29:32" x14ac:dyDescent="0.2">
      <c r="AC9142" s="20"/>
      <c r="AE9142" s="22"/>
      <c r="AF9142" s="22"/>
    </row>
    <row r="9143" spans="29:32" x14ac:dyDescent="0.2">
      <c r="AC9143" s="20"/>
      <c r="AE9143" s="22"/>
      <c r="AF9143" s="22"/>
    </row>
    <row r="9144" spans="29:32" x14ac:dyDescent="0.2">
      <c r="AC9144" s="20"/>
      <c r="AE9144" s="22"/>
      <c r="AF9144" s="22"/>
    </row>
    <row r="9145" spans="29:32" x14ac:dyDescent="0.2">
      <c r="AC9145" s="20"/>
      <c r="AE9145" s="22"/>
      <c r="AF9145" s="22"/>
    </row>
    <row r="9146" spans="29:32" x14ac:dyDescent="0.2">
      <c r="AC9146" s="20"/>
      <c r="AE9146" s="22"/>
      <c r="AF9146" s="22"/>
    </row>
    <row r="9147" spans="29:32" x14ac:dyDescent="0.2">
      <c r="AC9147" s="20"/>
      <c r="AE9147" s="22"/>
      <c r="AF9147" s="22"/>
    </row>
    <row r="9148" spans="29:32" x14ac:dyDescent="0.2">
      <c r="AC9148" s="20"/>
      <c r="AE9148" s="22"/>
      <c r="AF9148" s="22"/>
    </row>
    <row r="9149" spans="29:32" x14ac:dyDescent="0.2">
      <c r="AC9149" s="20"/>
      <c r="AE9149" s="22"/>
      <c r="AF9149" s="22"/>
    </row>
    <row r="9150" spans="29:32" x14ac:dyDescent="0.2">
      <c r="AC9150" s="20"/>
      <c r="AE9150" s="22"/>
      <c r="AF9150" s="22"/>
    </row>
    <row r="9151" spans="29:32" x14ac:dyDescent="0.2">
      <c r="AC9151" s="20"/>
      <c r="AE9151" s="22"/>
      <c r="AF9151" s="22"/>
    </row>
    <row r="9152" spans="29:32" x14ac:dyDescent="0.2">
      <c r="AC9152" s="20"/>
      <c r="AE9152" s="22"/>
      <c r="AF9152" s="22"/>
    </row>
    <row r="9153" spans="29:32" x14ac:dyDescent="0.2">
      <c r="AC9153" s="20"/>
      <c r="AE9153" s="22"/>
      <c r="AF9153" s="22"/>
    </row>
    <row r="9154" spans="29:32" x14ac:dyDescent="0.2">
      <c r="AC9154" s="20"/>
      <c r="AE9154" s="22"/>
      <c r="AF9154" s="22"/>
    </row>
    <row r="9155" spans="29:32" x14ac:dyDescent="0.2">
      <c r="AC9155" s="20"/>
      <c r="AE9155" s="22"/>
      <c r="AF9155" s="22"/>
    </row>
    <row r="9156" spans="29:32" x14ac:dyDescent="0.2">
      <c r="AC9156" s="20"/>
      <c r="AE9156" s="22"/>
      <c r="AF9156" s="22"/>
    </row>
    <row r="9157" spans="29:32" x14ac:dyDescent="0.2">
      <c r="AC9157" s="20"/>
      <c r="AE9157" s="22"/>
      <c r="AF9157" s="22"/>
    </row>
    <row r="9158" spans="29:32" x14ac:dyDescent="0.2">
      <c r="AC9158" s="20"/>
      <c r="AE9158" s="22"/>
      <c r="AF9158" s="22"/>
    </row>
    <row r="9159" spans="29:32" x14ac:dyDescent="0.2">
      <c r="AC9159" s="20"/>
      <c r="AE9159" s="22"/>
      <c r="AF9159" s="22"/>
    </row>
    <row r="9160" spans="29:32" x14ac:dyDescent="0.2">
      <c r="AC9160" s="20"/>
      <c r="AE9160" s="22"/>
      <c r="AF9160" s="22"/>
    </row>
    <row r="9161" spans="29:32" x14ac:dyDescent="0.2">
      <c r="AC9161" s="20"/>
      <c r="AE9161" s="22"/>
      <c r="AF9161" s="22"/>
    </row>
    <row r="9162" spans="29:32" x14ac:dyDescent="0.2">
      <c r="AC9162" s="20"/>
      <c r="AE9162" s="22"/>
      <c r="AF9162" s="22"/>
    </row>
    <row r="9163" spans="29:32" x14ac:dyDescent="0.2">
      <c r="AC9163" s="20"/>
      <c r="AE9163" s="22"/>
      <c r="AF9163" s="22"/>
    </row>
    <row r="9164" spans="29:32" x14ac:dyDescent="0.2">
      <c r="AC9164" s="20"/>
      <c r="AE9164" s="22"/>
      <c r="AF9164" s="22"/>
    </row>
    <row r="9165" spans="29:32" x14ac:dyDescent="0.2">
      <c r="AC9165" s="20"/>
      <c r="AE9165" s="22"/>
      <c r="AF9165" s="22"/>
    </row>
    <row r="9166" spans="29:32" x14ac:dyDescent="0.2">
      <c r="AC9166" s="20"/>
      <c r="AE9166" s="22"/>
      <c r="AF9166" s="22"/>
    </row>
    <row r="9167" spans="29:32" x14ac:dyDescent="0.2">
      <c r="AC9167" s="20"/>
      <c r="AE9167" s="22"/>
      <c r="AF9167" s="22"/>
    </row>
    <row r="9168" spans="29:32" x14ac:dyDescent="0.2">
      <c r="AC9168" s="20"/>
      <c r="AE9168" s="22"/>
      <c r="AF9168" s="22"/>
    </row>
    <row r="9169" spans="29:32" x14ac:dyDescent="0.2">
      <c r="AC9169" s="20"/>
      <c r="AE9169" s="22"/>
      <c r="AF9169" s="22"/>
    </row>
    <row r="9170" spans="29:32" x14ac:dyDescent="0.2">
      <c r="AC9170" s="20"/>
      <c r="AE9170" s="22"/>
      <c r="AF9170" s="22"/>
    </row>
    <row r="9171" spans="29:32" x14ac:dyDescent="0.2">
      <c r="AC9171" s="20"/>
      <c r="AE9171" s="22"/>
      <c r="AF9171" s="22"/>
    </row>
    <row r="9172" spans="29:32" x14ac:dyDescent="0.2">
      <c r="AC9172" s="20"/>
      <c r="AE9172" s="22"/>
      <c r="AF9172" s="22"/>
    </row>
    <row r="9173" spans="29:32" x14ac:dyDescent="0.2">
      <c r="AC9173" s="20"/>
      <c r="AE9173" s="22"/>
      <c r="AF9173" s="22"/>
    </row>
    <row r="9174" spans="29:32" x14ac:dyDescent="0.2">
      <c r="AC9174" s="20"/>
      <c r="AE9174" s="22"/>
      <c r="AF9174" s="22"/>
    </row>
    <row r="9175" spans="29:32" x14ac:dyDescent="0.2">
      <c r="AC9175" s="20"/>
      <c r="AE9175" s="22"/>
      <c r="AF9175" s="22"/>
    </row>
    <row r="9176" spans="29:32" x14ac:dyDescent="0.2">
      <c r="AC9176" s="20"/>
      <c r="AE9176" s="22"/>
      <c r="AF9176" s="22"/>
    </row>
    <row r="9177" spans="29:32" x14ac:dyDescent="0.2">
      <c r="AC9177" s="20"/>
      <c r="AE9177" s="22"/>
      <c r="AF9177" s="22"/>
    </row>
    <row r="9178" spans="29:32" x14ac:dyDescent="0.2">
      <c r="AC9178" s="20"/>
      <c r="AE9178" s="22"/>
      <c r="AF9178" s="22"/>
    </row>
    <row r="9179" spans="29:32" x14ac:dyDescent="0.2">
      <c r="AC9179" s="20"/>
      <c r="AE9179" s="22"/>
      <c r="AF9179" s="22"/>
    </row>
    <row r="9180" spans="29:32" x14ac:dyDescent="0.2">
      <c r="AC9180" s="20"/>
      <c r="AE9180" s="22"/>
      <c r="AF9180" s="22"/>
    </row>
    <row r="9181" spans="29:32" x14ac:dyDescent="0.2">
      <c r="AC9181" s="20"/>
      <c r="AE9181" s="22"/>
      <c r="AF9181" s="22"/>
    </row>
    <row r="9182" spans="29:32" x14ac:dyDescent="0.2">
      <c r="AC9182" s="20"/>
      <c r="AE9182" s="22"/>
      <c r="AF9182" s="22"/>
    </row>
    <row r="9183" spans="29:32" x14ac:dyDescent="0.2">
      <c r="AC9183" s="20"/>
      <c r="AE9183" s="22"/>
      <c r="AF9183" s="22"/>
    </row>
    <row r="9184" spans="29:32" x14ac:dyDescent="0.2">
      <c r="AC9184" s="20"/>
      <c r="AE9184" s="22"/>
      <c r="AF9184" s="22"/>
    </row>
    <row r="9185" spans="29:32" x14ac:dyDescent="0.2">
      <c r="AC9185" s="20"/>
      <c r="AE9185" s="22"/>
      <c r="AF9185" s="22"/>
    </row>
    <row r="9186" spans="29:32" x14ac:dyDescent="0.2">
      <c r="AC9186" s="20"/>
      <c r="AE9186" s="22"/>
      <c r="AF9186" s="22"/>
    </row>
    <row r="9187" spans="29:32" x14ac:dyDescent="0.2">
      <c r="AC9187" s="20"/>
      <c r="AE9187" s="22"/>
      <c r="AF9187" s="22"/>
    </row>
    <row r="9188" spans="29:32" x14ac:dyDescent="0.2">
      <c r="AC9188" s="20"/>
      <c r="AE9188" s="22"/>
      <c r="AF9188" s="22"/>
    </row>
    <row r="9189" spans="29:32" x14ac:dyDescent="0.2">
      <c r="AC9189" s="20"/>
      <c r="AE9189" s="22"/>
      <c r="AF9189" s="22"/>
    </row>
    <row r="9190" spans="29:32" x14ac:dyDescent="0.2">
      <c r="AC9190" s="20"/>
      <c r="AE9190" s="22"/>
      <c r="AF9190" s="22"/>
    </row>
    <row r="9191" spans="29:32" x14ac:dyDescent="0.2">
      <c r="AC9191" s="20"/>
      <c r="AE9191" s="22"/>
      <c r="AF9191" s="22"/>
    </row>
    <row r="9192" spans="29:32" x14ac:dyDescent="0.2">
      <c r="AC9192" s="20"/>
      <c r="AE9192" s="22"/>
      <c r="AF9192" s="22"/>
    </row>
    <row r="9193" spans="29:32" x14ac:dyDescent="0.2">
      <c r="AC9193" s="20"/>
      <c r="AE9193" s="22"/>
      <c r="AF9193" s="22"/>
    </row>
    <row r="9194" spans="29:32" x14ac:dyDescent="0.2">
      <c r="AC9194" s="20"/>
      <c r="AE9194" s="22"/>
      <c r="AF9194" s="22"/>
    </row>
    <row r="9195" spans="29:32" x14ac:dyDescent="0.2">
      <c r="AC9195" s="20"/>
      <c r="AE9195" s="22"/>
      <c r="AF9195" s="22"/>
    </row>
    <row r="9196" spans="29:32" x14ac:dyDescent="0.2">
      <c r="AC9196" s="20"/>
      <c r="AE9196" s="22"/>
      <c r="AF9196" s="22"/>
    </row>
    <row r="9197" spans="29:32" x14ac:dyDescent="0.2">
      <c r="AC9197" s="20"/>
      <c r="AE9197" s="22"/>
      <c r="AF9197" s="22"/>
    </row>
    <row r="9198" spans="29:32" x14ac:dyDescent="0.2">
      <c r="AC9198" s="20"/>
      <c r="AE9198" s="22"/>
      <c r="AF9198" s="22"/>
    </row>
    <row r="9199" spans="29:32" x14ac:dyDescent="0.2">
      <c r="AC9199" s="20"/>
      <c r="AE9199" s="22"/>
      <c r="AF9199" s="22"/>
    </row>
    <row r="9200" spans="29:32" x14ac:dyDescent="0.2">
      <c r="AC9200" s="20"/>
      <c r="AE9200" s="22"/>
      <c r="AF9200" s="22"/>
    </row>
    <row r="9201" spans="29:32" x14ac:dyDescent="0.2">
      <c r="AC9201" s="20"/>
      <c r="AE9201" s="22"/>
      <c r="AF9201" s="22"/>
    </row>
    <row r="9202" spans="29:32" x14ac:dyDescent="0.2">
      <c r="AC9202" s="20"/>
      <c r="AE9202" s="22"/>
      <c r="AF9202" s="22"/>
    </row>
    <row r="9203" spans="29:32" x14ac:dyDescent="0.2">
      <c r="AC9203" s="20"/>
      <c r="AE9203" s="22"/>
      <c r="AF9203" s="22"/>
    </row>
    <row r="9204" spans="29:32" x14ac:dyDescent="0.2">
      <c r="AC9204" s="20"/>
      <c r="AE9204" s="22"/>
      <c r="AF9204" s="22"/>
    </row>
    <row r="9205" spans="29:32" x14ac:dyDescent="0.2">
      <c r="AC9205" s="20"/>
      <c r="AE9205" s="22"/>
      <c r="AF9205" s="22"/>
    </row>
    <row r="9206" spans="29:32" x14ac:dyDescent="0.2">
      <c r="AC9206" s="20"/>
      <c r="AE9206" s="22"/>
      <c r="AF9206" s="22"/>
    </row>
    <row r="9207" spans="29:32" x14ac:dyDescent="0.2">
      <c r="AC9207" s="20"/>
      <c r="AE9207" s="22"/>
      <c r="AF9207" s="22"/>
    </row>
    <row r="9208" spans="29:32" x14ac:dyDescent="0.2">
      <c r="AC9208" s="20"/>
      <c r="AE9208" s="22"/>
      <c r="AF9208" s="22"/>
    </row>
    <row r="9209" spans="29:32" x14ac:dyDescent="0.2">
      <c r="AC9209" s="20"/>
      <c r="AE9209" s="22"/>
      <c r="AF9209" s="22"/>
    </row>
    <row r="9210" spans="29:32" x14ac:dyDescent="0.2">
      <c r="AC9210" s="20"/>
      <c r="AE9210" s="22"/>
      <c r="AF9210" s="22"/>
    </row>
    <row r="9211" spans="29:32" x14ac:dyDescent="0.2">
      <c r="AC9211" s="20"/>
      <c r="AE9211" s="22"/>
      <c r="AF9211" s="22"/>
    </row>
    <row r="9212" spans="29:32" x14ac:dyDescent="0.2">
      <c r="AC9212" s="20"/>
      <c r="AE9212" s="22"/>
      <c r="AF9212" s="22"/>
    </row>
    <row r="9213" spans="29:32" x14ac:dyDescent="0.2">
      <c r="AC9213" s="20"/>
      <c r="AE9213" s="22"/>
      <c r="AF9213" s="22"/>
    </row>
    <row r="9214" spans="29:32" x14ac:dyDescent="0.2">
      <c r="AC9214" s="20"/>
      <c r="AE9214" s="22"/>
      <c r="AF9214" s="22"/>
    </row>
    <row r="9215" spans="29:32" x14ac:dyDescent="0.2">
      <c r="AC9215" s="20"/>
      <c r="AE9215" s="22"/>
      <c r="AF9215" s="22"/>
    </row>
    <row r="9216" spans="29:32" x14ac:dyDescent="0.2">
      <c r="AC9216" s="20"/>
      <c r="AE9216" s="22"/>
      <c r="AF9216" s="22"/>
    </row>
    <row r="9217" spans="29:32" x14ac:dyDescent="0.2">
      <c r="AC9217" s="20"/>
      <c r="AE9217" s="22"/>
      <c r="AF9217" s="22"/>
    </row>
    <row r="9218" spans="29:32" x14ac:dyDescent="0.2">
      <c r="AC9218" s="20"/>
      <c r="AE9218" s="22"/>
      <c r="AF9218" s="22"/>
    </row>
    <row r="9219" spans="29:32" x14ac:dyDescent="0.2">
      <c r="AC9219" s="20"/>
      <c r="AE9219" s="22"/>
      <c r="AF9219" s="22"/>
    </row>
    <row r="9220" spans="29:32" x14ac:dyDescent="0.2">
      <c r="AC9220" s="20"/>
      <c r="AE9220" s="22"/>
      <c r="AF9220" s="22"/>
    </row>
    <row r="9221" spans="29:32" x14ac:dyDescent="0.2">
      <c r="AC9221" s="20"/>
      <c r="AE9221" s="22"/>
      <c r="AF9221" s="22"/>
    </row>
    <row r="9222" spans="29:32" x14ac:dyDescent="0.2">
      <c r="AC9222" s="20"/>
      <c r="AE9222" s="22"/>
      <c r="AF9222" s="22"/>
    </row>
    <row r="9223" spans="29:32" x14ac:dyDescent="0.2">
      <c r="AC9223" s="20"/>
      <c r="AE9223" s="22"/>
      <c r="AF9223" s="22"/>
    </row>
    <row r="9224" spans="29:32" x14ac:dyDescent="0.2">
      <c r="AC9224" s="20"/>
      <c r="AE9224" s="22"/>
      <c r="AF9224" s="22"/>
    </row>
    <row r="9225" spans="29:32" x14ac:dyDescent="0.2">
      <c r="AC9225" s="20"/>
      <c r="AE9225" s="22"/>
      <c r="AF9225" s="22"/>
    </row>
    <row r="9226" spans="29:32" x14ac:dyDescent="0.2">
      <c r="AC9226" s="20"/>
      <c r="AE9226" s="22"/>
      <c r="AF9226" s="22"/>
    </row>
    <row r="9227" spans="29:32" x14ac:dyDescent="0.2">
      <c r="AC9227" s="20"/>
      <c r="AE9227" s="22"/>
      <c r="AF9227" s="22"/>
    </row>
    <row r="9228" spans="29:32" x14ac:dyDescent="0.2">
      <c r="AC9228" s="20"/>
      <c r="AE9228" s="22"/>
      <c r="AF9228" s="22"/>
    </row>
    <row r="9229" spans="29:32" x14ac:dyDescent="0.2">
      <c r="AC9229" s="20"/>
      <c r="AE9229" s="22"/>
      <c r="AF9229" s="22"/>
    </row>
    <row r="9230" spans="29:32" x14ac:dyDescent="0.2">
      <c r="AC9230" s="20"/>
      <c r="AE9230" s="22"/>
      <c r="AF9230" s="22"/>
    </row>
    <row r="9231" spans="29:32" x14ac:dyDescent="0.2">
      <c r="AC9231" s="20"/>
      <c r="AE9231" s="22"/>
      <c r="AF9231" s="22"/>
    </row>
    <row r="9232" spans="29:32" x14ac:dyDescent="0.2">
      <c r="AC9232" s="20"/>
      <c r="AE9232" s="22"/>
      <c r="AF9232" s="22"/>
    </row>
    <row r="9233" spans="29:32" x14ac:dyDescent="0.2">
      <c r="AC9233" s="20"/>
      <c r="AE9233" s="22"/>
      <c r="AF9233" s="22"/>
    </row>
    <row r="9234" spans="29:32" x14ac:dyDescent="0.2">
      <c r="AC9234" s="20"/>
      <c r="AE9234" s="22"/>
      <c r="AF9234" s="22"/>
    </row>
    <row r="9235" spans="29:32" x14ac:dyDescent="0.2">
      <c r="AC9235" s="20"/>
      <c r="AE9235" s="22"/>
      <c r="AF9235" s="22"/>
    </row>
    <row r="9236" spans="29:32" x14ac:dyDescent="0.2">
      <c r="AC9236" s="20"/>
      <c r="AE9236" s="22"/>
      <c r="AF9236" s="22"/>
    </row>
    <row r="9237" spans="29:32" x14ac:dyDescent="0.2">
      <c r="AC9237" s="20"/>
      <c r="AE9237" s="22"/>
      <c r="AF9237" s="22"/>
    </row>
    <row r="9238" spans="29:32" x14ac:dyDescent="0.2">
      <c r="AC9238" s="20"/>
      <c r="AE9238" s="22"/>
      <c r="AF9238" s="22"/>
    </row>
    <row r="9239" spans="29:32" x14ac:dyDescent="0.2">
      <c r="AC9239" s="20"/>
      <c r="AE9239" s="22"/>
      <c r="AF9239" s="22"/>
    </row>
    <row r="9240" spans="29:32" x14ac:dyDescent="0.2">
      <c r="AC9240" s="20"/>
      <c r="AE9240" s="22"/>
      <c r="AF9240" s="22"/>
    </row>
    <row r="9241" spans="29:32" x14ac:dyDescent="0.2">
      <c r="AC9241" s="20"/>
      <c r="AE9241" s="22"/>
      <c r="AF9241" s="22"/>
    </row>
    <row r="9242" spans="29:32" x14ac:dyDescent="0.2">
      <c r="AC9242" s="20"/>
      <c r="AE9242" s="22"/>
      <c r="AF9242" s="22"/>
    </row>
    <row r="9243" spans="29:32" x14ac:dyDescent="0.2">
      <c r="AC9243" s="20"/>
      <c r="AE9243" s="22"/>
      <c r="AF9243" s="22"/>
    </row>
    <row r="9244" spans="29:32" x14ac:dyDescent="0.2">
      <c r="AC9244" s="20"/>
      <c r="AE9244" s="22"/>
      <c r="AF9244" s="22"/>
    </row>
    <row r="9245" spans="29:32" x14ac:dyDescent="0.2">
      <c r="AC9245" s="20"/>
      <c r="AE9245" s="22"/>
      <c r="AF9245" s="22"/>
    </row>
    <row r="9246" spans="29:32" x14ac:dyDescent="0.2">
      <c r="AC9246" s="20"/>
      <c r="AE9246" s="22"/>
      <c r="AF9246" s="22"/>
    </row>
    <row r="9247" spans="29:32" x14ac:dyDescent="0.2">
      <c r="AC9247" s="20"/>
      <c r="AE9247" s="22"/>
      <c r="AF9247" s="22"/>
    </row>
    <row r="9248" spans="29:32" x14ac:dyDescent="0.2">
      <c r="AC9248" s="20"/>
      <c r="AE9248" s="22"/>
      <c r="AF9248" s="22"/>
    </row>
    <row r="9249" spans="29:32" x14ac:dyDescent="0.2">
      <c r="AC9249" s="20"/>
      <c r="AE9249" s="22"/>
      <c r="AF9249" s="22"/>
    </row>
    <row r="9250" spans="29:32" x14ac:dyDescent="0.2">
      <c r="AC9250" s="20"/>
      <c r="AE9250" s="22"/>
      <c r="AF9250" s="22"/>
    </row>
    <row r="9251" spans="29:32" x14ac:dyDescent="0.2">
      <c r="AC9251" s="20"/>
      <c r="AE9251" s="22"/>
      <c r="AF9251" s="22"/>
    </row>
    <row r="9252" spans="29:32" x14ac:dyDescent="0.2">
      <c r="AC9252" s="20"/>
      <c r="AE9252" s="22"/>
      <c r="AF9252" s="22"/>
    </row>
    <row r="9253" spans="29:32" x14ac:dyDescent="0.2">
      <c r="AC9253" s="20"/>
      <c r="AE9253" s="22"/>
      <c r="AF9253" s="22"/>
    </row>
    <row r="9254" spans="29:32" x14ac:dyDescent="0.2">
      <c r="AC9254" s="20"/>
      <c r="AE9254" s="22"/>
      <c r="AF9254" s="22"/>
    </row>
    <row r="9255" spans="29:32" x14ac:dyDescent="0.2">
      <c r="AC9255" s="20"/>
      <c r="AE9255" s="22"/>
      <c r="AF9255" s="22"/>
    </row>
    <row r="9256" spans="29:32" x14ac:dyDescent="0.2">
      <c r="AC9256" s="20"/>
      <c r="AE9256" s="22"/>
      <c r="AF9256" s="22"/>
    </row>
    <row r="9257" spans="29:32" x14ac:dyDescent="0.2">
      <c r="AC9257" s="20"/>
      <c r="AE9257" s="22"/>
      <c r="AF9257" s="22"/>
    </row>
    <row r="9258" spans="29:32" x14ac:dyDescent="0.2">
      <c r="AC9258" s="20"/>
      <c r="AE9258" s="22"/>
      <c r="AF9258" s="22"/>
    </row>
    <row r="9259" spans="29:32" x14ac:dyDescent="0.2">
      <c r="AC9259" s="20"/>
      <c r="AE9259" s="22"/>
      <c r="AF9259" s="22"/>
    </row>
    <row r="9260" spans="29:32" x14ac:dyDescent="0.2">
      <c r="AC9260" s="20"/>
      <c r="AE9260" s="22"/>
      <c r="AF9260" s="22"/>
    </row>
    <row r="9261" spans="29:32" x14ac:dyDescent="0.2">
      <c r="AC9261" s="20"/>
      <c r="AE9261" s="22"/>
      <c r="AF9261" s="22"/>
    </row>
    <row r="9262" spans="29:32" x14ac:dyDescent="0.2">
      <c r="AC9262" s="20"/>
      <c r="AE9262" s="22"/>
      <c r="AF9262" s="22"/>
    </row>
    <row r="9263" spans="29:32" x14ac:dyDescent="0.2">
      <c r="AC9263" s="20"/>
      <c r="AE9263" s="22"/>
      <c r="AF9263" s="22"/>
    </row>
    <row r="9264" spans="29:32" x14ac:dyDescent="0.2">
      <c r="AC9264" s="20"/>
      <c r="AE9264" s="22"/>
      <c r="AF9264" s="22"/>
    </row>
    <row r="9265" spans="29:32" x14ac:dyDescent="0.2">
      <c r="AC9265" s="20"/>
      <c r="AE9265" s="22"/>
      <c r="AF9265" s="22"/>
    </row>
    <row r="9266" spans="29:32" x14ac:dyDescent="0.2">
      <c r="AC9266" s="20"/>
      <c r="AE9266" s="22"/>
      <c r="AF9266" s="22"/>
    </row>
    <row r="9267" spans="29:32" x14ac:dyDescent="0.2">
      <c r="AC9267" s="20"/>
      <c r="AE9267" s="22"/>
      <c r="AF9267" s="22"/>
    </row>
    <row r="9268" spans="29:32" x14ac:dyDescent="0.2">
      <c r="AC9268" s="20"/>
      <c r="AE9268" s="22"/>
      <c r="AF9268" s="22"/>
    </row>
    <row r="9269" spans="29:32" x14ac:dyDescent="0.2">
      <c r="AC9269" s="20"/>
      <c r="AE9269" s="22"/>
      <c r="AF9269" s="22"/>
    </row>
    <row r="9270" spans="29:32" x14ac:dyDescent="0.2">
      <c r="AC9270" s="20"/>
      <c r="AE9270" s="22"/>
      <c r="AF9270" s="22"/>
    </row>
    <row r="9271" spans="29:32" x14ac:dyDescent="0.2">
      <c r="AC9271" s="20"/>
      <c r="AE9271" s="22"/>
      <c r="AF9271" s="22"/>
    </row>
    <row r="9272" spans="29:32" x14ac:dyDescent="0.2">
      <c r="AC9272" s="20"/>
      <c r="AE9272" s="22"/>
      <c r="AF9272" s="22"/>
    </row>
    <row r="9273" spans="29:32" x14ac:dyDescent="0.2">
      <c r="AC9273" s="20"/>
      <c r="AE9273" s="22"/>
      <c r="AF9273" s="22"/>
    </row>
    <row r="9274" spans="29:32" x14ac:dyDescent="0.2">
      <c r="AC9274" s="20"/>
      <c r="AE9274" s="22"/>
      <c r="AF9274" s="22"/>
    </row>
    <row r="9275" spans="29:32" x14ac:dyDescent="0.2">
      <c r="AC9275" s="20"/>
      <c r="AE9275" s="22"/>
      <c r="AF9275" s="22"/>
    </row>
    <row r="9276" spans="29:32" x14ac:dyDescent="0.2">
      <c r="AC9276" s="20"/>
      <c r="AE9276" s="22"/>
      <c r="AF9276" s="22"/>
    </row>
    <row r="9277" spans="29:32" x14ac:dyDescent="0.2">
      <c r="AC9277" s="20"/>
      <c r="AE9277" s="22"/>
      <c r="AF9277" s="22"/>
    </row>
    <row r="9278" spans="29:32" x14ac:dyDescent="0.2">
      <c r="AC9278" s="20"/>
      <c r="AE9278" s="22"/>
      <c r="AF9278" s="22"/>
    </row>
    <row r="9279" spans="29:32" x14ac:dyDescent="0.2">
      <c r="AC9279" s="20"/>
      <c r="AE9279" s="22"/>
      <c r="AF9279" s="22"/>
    </row>
    <row r="9280" spans="29:32" x14ac:dyDescent="0.2">
      <c r="AC9280" s="20"/>
      <c r="AE9280" s="22"/>
      <c r="AF9280" s="22"/>
    </row>
    <row r="9281" spans="29:32" x14ac:dyDescent="0.2">
      <c r="AC9281" s="20"/>
      <c r="AE9281" s="22"/>
      <c r="AF9281" s="22"/>
    </row>
    <row r="9282" spans="29:32" x14ac:dyDescent="0.2">
      <c r="AC9282" s="20"/>
      <c r="AE9282" s="22"/>
      <c r="AF9282" s="22"/>
    </row>
    <row r="9283" spans="29:32" x14ac:dyDescent="0.2">
      <c r="AC9283" s="20"/>
      <c r="AE9283" s="22"/>
      <c r="AF9283" s="22"/>
    </row>
    <row r="9284" spans="29:32" x14ac:dyDescent="0.2">
      <c r="AC9284" s="20"/>
      <c r="AE9284" s="22"/>
      <c r="AF9284" s="22"/>
    </row>
    <row r="9285" spans="29:32" x14ac:dyDescent="0.2">
      <c r="AC9285" s="20"/>
      <c r="AE9285" s="22"/>
      <c r="AF9285" s="22"/>
    </row>
    <row r="9286" spans="29:32" x14ac:dyDescent="0.2">
      <c r="AC9286" s="20"/>
      <c r="AE9286" s="22"/>
      <c r="AF9286" s="22"/>
    </row>
    <row r="9287" spans="29:32" x14ac:dyDescent="0.2">
      <c r="AC9287" s="20"/>
      <c r="AE9287" s="22"/>
      <c r="AF9287" s="22"/>
    </row>
    <row r="9288" spans="29:32" x14ac:dyDescent="0.2">
      <c r="AC9288" s="20"/>
      <c r="AE9288" s="22"/>
      <c r="AF9288" s="22"/>
    </row>
    <row r="9289" spans="29:32" x14ac:dyDescent="0.2">
      <c r="AC9289" s="20"/>
      <c r="AE9289" s="22"/>
      <c r="AF9289" s="22"/>
    </row>
    <row r="9290" spans="29:32" x14ac:dyDescent="0.2">
      <c r="AC9290" s="20"/>
      <c r="AE9290" s="22"/>
      <c r="AF9290" s="22"/>
    </row>
    <row r="9291" spans="29:32" x14ac:dyDescent="0.2">
      <c r="AC9291" s="20"/>
      <c r="AE9291" s="22"/>
      <c r="AF9291" s="22"/>
    </row>
    <row r="9292" spans="29:32" x14ac:dyDescent="0.2">
      <c r="AC9292" s="20"/>
      <c r="AE9292" s="22"/>
      <c r="AF9292" s="22"/>
    </row>
    <row r="9293" spans="29:32" x14ac:dyDescent="0.2">
      <c r="AC9293" s="20"/>
      <c r="AE9293" s="22"/>
      <c r="AF9293" s="22"/>
    </row>
    <row r="9294" spans="29:32" x14ac:dyDescent="0.2">
      <c r="AC9294" s="20"/>
      <c r="AE9294" s="22"/>
      <c r="AF9294" s="22"/>
    </row>
    <row r="9295" spans="29:32" x14ac:dyDescent="0.2">
      <c r="AC9295" s="20"/>
      <c r="AE9295" s="22"/>
      <c r="AF9295" s="22"/>
    </row>
    <row r="9296" spans="29:32" x14ac:dyDescent="0.2">
      <c r="AC9296" s="20"/>
      <c r="AE9296" s="22"/>
      <c r="AF9296" s="22"/>
    </row>
    <row r="9297" spans="29:32" x14ac:dyDescent="0.2">
      <c r="AC9297" s="20"/>
      <c r="AE9297" s="22"/>
      <c r="AF9297" s="22"/>
    </row>
    <row r="9298" spans="29:32" x14ac:dyDescent="0.2">
      <c r="AC9298" s="20"/>
      <c r="AE9298" s="22"/>
      <c r="AF9298" s="22"/>
    </row>
    <row r="9299" spans="29:32" x14ac:dyDescent="0.2">
      <c r="AC9299" s="20"/>
      <c r="AE9299" s="22"/>
      <c r="AF9299" s="22"/>
    </row>
    <row r="9300" spans="29:32" x14ac:dyDescent="0.2">
      <c r="AC9300" s="20"/>
      <c r="AE9300" s="22"/>
      <c r="AF9300" s="22"/>
    </row>
    <row r="9301" spans="29:32" x14ac:dyDescent="0.2">
      <c r="AC9301" s="20"/>
      <c r="AE9301" s="22"/>
      <c r="AF9301" s="22"/>
    </row>
    <row r="9302" spans="29:32" x14ac:dyDescent="0.2">
      <c r="AC9302" s="20"/>
      <c r="AE9302" s="22"/>
      <c r="AF9302" s="22"/>
    </row>
    <row r="9303" spans="29:32" x14ac:dyDescent="0.2">
      <c r="AC9303" s="20"/>
      <c r="AE9303" s="22"/>
      <c r="AF9303" s="22"/>
    </row>
    <row r="9304" spans="29:32" x14ac:dyDescent="0.2">
      <c r="AC9304" s="20"/>
      <c r="AE9304" s="22"/>
      <c r="AF9304" s="22"/>
    </row>
    <row r="9305" spans="29:32" x14ac:dyDescent="0.2">
      <c r="AC9305" s="20"/>
      <c r="AE9305" s="22"/>
      <c r="AF9305" s="22"/>
    </row>
    <row r="9306" spans="29:32" x14ac:dyDescent="0.2">
      <c r="AC9306" s="20"/>
      <c r="AE9306" s="22"/>
      <c r="AF9306" s="22"/>
    </row>
    <row r="9307" spans="29:32" x14ac:dyDescent="0.2">
      <c r="AC9307" s="20"/>
      <c r="AE9307" s="22"/>
      <c r="AF9307" s="22"/>
    </row>
    <row r="9308" spans="29:32" x14ac:dyDescent="0.2">
      <c r="AC9308" s="20"/>
      <c r="AE9308" s="22"/>
      <c r="AF9308" s="22"/>
    </row>
    <row r="9309" spans="29:32" x14ac:dyDescent="0.2">
      <c r="AC9309" s="20"/>
      <c r="AE9309" s="22"/>
      <c r="AF9309" s="22"/>
    </row>
    <row r="9310" spans="29:32" x14ac:dyDescent="0.2">
      <c r="AC9310" s="20"/>
      <c r="AE9310" s="22"/>
      <c r="AF9310" s="22"/>
    </row>
    <row r="9311" spans="29:32" x14ac:dyDescent="0.2">
      <c r="AC9311" s="20"/>
      <c r="AE9311" s="22"/>
      <c r="AF9311" s="22"/>
    </row>
    <row r="9312" spans="29:32" x14ac:dyDescent="0.2">
      <c r="AC9312" s="20"/>
      <c r="AE9312" s="22"/>
      <c r="AF9312" s="22"/>
    </row>
    <row r="9313" spans="29:32" x14ac:dyDescent="0.2">
      <c r="AC9313" s="20"/>
      <c r="AE9313" s="22"/>
      <c r="AF9313" s="22"/>
    </row>
    <row r="9314" spans="29:32" x14ac:dyDescent="0.2">
      <c r="AC9314" s="20"/>
      <c r="AE9314" s="22"/>
      <c r="AF9314" s="22"/>
    </row>
    <row r="9315" spans="29:32" x14ac:dyDescent="0.2">
      <c r="AC9315" s="20"/>
      <c r="AE9315" s="22"/>
      <c r="AF9315" s="22"/>
    </row>
    <row r="9316" spans="29:32" x14ac:dyDescent="0.2">
      <c r="AC9316" s="20"/>
      <c r="AE9316" s="22"/>
      <c r="AF9316" s="22"/>
    </row>
    <row r="9317" spans="29:32" x14ac:dyDescent="0.2">
      <c r="AC9317" s="20"/>
      <c r="AE9317" s="22"/>
      <c r="AF9317" s="22"/>
    </row>
    <row r="9318" spans="29:32" x14ac:dyDescent="0.2">
      <c r="AC9318" s="20"/>
      <c r="AE9318" s="22"/>
      <c r="AF9318" s="22"/>
    </row>
    <row r="9319" spans="29:32" x14ac:dyDescent="0.2">
      <c r="AC9319" s="20"/>
      <c r="AE9319" s="22"/>
      <c r="AF9319" s="22"/>
    </row>
    <row r="9320" spans="29:32" x14ac:dyDescent="0.2">
      <c r="AC9320" s="20"/>
      <c r="AE9320" s="22"/>
      <c r="AF9320" s="22"/>
    </row>
    <row r="9321" spans="29:32" x14ac:dyDescent="0.2">
      <c r="AC9321" s="20"/>
      <c r="AE9321" s="22"/>
      <c r="AF9321" s="22"/>
    </row>
    <row r="9322" spans="29:32" x14ac:dyDescent="0.2">
      <c r="AC9322" s="20"/>
      <c r="AE9322" s="22"/>
      <c r="AF9322" s="22"/>
    </row>
    <row r="9323" spans="29:32" x14ac:dyDescent="0.2">
      <c r="AC9323" s="20"/>
      <c r="AE9323" s="22"/>
      <c r="AF9323" s="22"/>
    </row>
    <row r="9324" spans="29:32" x14ac:dyDescent="0.2">
      <c r="AC9324" s="20"/>
      <c r="AE9324" s="22"/>
      <c r="AF9324" s="22"/>
    </row>
    <row r="9325" spans="29:32" x14ac:dyDescent="0.2">
      <c r="AC9325" s="20"/>
      <c r="AE9325" s="22"/>
      <c r="AF9325" s="22"/>
    </row>
    <row r="9326" spans="29:32" x14ac:dyDescent="0.2">
      <c r="AC9326" s="20"/>
      <c r="AE9326" s="22"/>
      <c r="AF9326" s="22"/>
    </row>
    <row r="9327" spans="29:32" x14ac:dyDescent="0.2">
      <c r="AC9327" s="20"/>
      <c r="AE9327" s="22"/>
      <c r="AF9327" s="22"/>
    </row>
    <row r="9328" spans="29:32" x14ac:dyDescent="0.2">
      <c r="AC9328" s="20"/>
      <c r="AE9328" s="22"/>
      <c r="AF9328" s="22"/>
    </row>
    <row r="9329" spans="29:32" x14ac:dyDescent="0.2">
      <c r="AC9329" s="20"/>
      <c r="AE9329" s="22"/>
      <c r="AF9329" s="22"/>
    </row>
    <row r="9330" spans="29:32" x14ac:dyDescent="0.2">
      <c r="AC9330" s="20"/>
      <c r="AE9330" s="22"/>
      <c r="AF9330" s="22"/>
    </row>
    <row r="9331" spans="29:32" x14ac:dyDescent="0.2">
      <c r="AC9331" s="20"/>
      <c r="AE9331" s="22"/>
      <c r="AF9331" s="22"/>
    </row>
    <row r="9332" spans="29:32" x14ac:dyDescent="0.2">
      <c r="AC9332" s="20"/>
      <c r="AE9332" s="22"/>
      <c r="AF9332" s="22"/>
    </row>
    <row r="9333" spans="29:32" x14ac:dyDescent="0.2">
      <c r="AC9333" s="20"/>
      <c r="AE9333" s="22"/>
      <c r="AF9333" s="22"/>
    </row>
    <row r="9334" spans="29:32" x14ac:dyDescent="0.2">
      <c r="AC9334" s="20"/>
      <c r="AE9334" s="22"/>
      <c r="AF9334" s="22"/>
    </row>
    <row r="9335" spans="29:32" x14ac:dyDescent="0.2">
      <c r="AC9335" s="20"/>
      <c r="AE9335" s="22"/>
      <c r="AF9335" s="22"/>
    </row>
    <row r="9336" spans="29:32" x14ac:dyDescent="0.2">
      <c r="AC9336" s="20"/>
      <c r="AE9336" s="22"/>
      <c r="AF9336" s="22"/>
    </row>
    <row r="9337" spans="29:32" x14ac:dyDescent="0.2">
      <c r="AC9337" s="20"/>
      <c r="AE9337" s="22"/>
      <c r="AF9337" s="22"/>
    </row>
    <row r="9338" spans="29:32" x14ac:dyDescent="0.2">
      <c r="AC9338" s="20"/>
      <c r="AE9338" s="22"/>
      <c r="AF9338" s="22"/>
    </row>
    <row r="9339" spans="29:32" x14ac:dyDescent="0.2">
      <c r="AC9339" s="20"/>
      <c r="AE9339" s="22"/>
      <c r="AF9339" s="22"/>
    </row>
    <row r="9340" spans="29:32" x14ac:dyDescent="0.2">
      <c r="AC9340" s="20"/>
      <c r="AE9340" s="22"/>
      <c r="AF9340" s="22"/>
    </row>
    <row r="9341" spans="29:32" x14ac:dyDescent="0.2">
      <c r="AC9341" s="20"/>
      <c r="AE9341" s="22"/>
      <c r="AF9341" s="22"/>
    </row>
    <row r="9342" spans="29:32" x14ac:dyDescent="0.2">
      <c r="AC9342" s="20"/>
      <c r="AE9342" s="22"/>
      <c r="AF9342" s="22"/>
    </row>
    <row r="9343" spans="29:32" x14ac:dyDescent="0.2">
      <c r="AC9343" s="20"/>
      <c r="AE9343" s="22"/>
      <c r="AF9343" s="22"/>
    </row>
    <row r="9344" spans="29:32" x14ac:dyDescent="0.2">
      <c r="AC9344" s="20"/>
      <c r="AE9344" s="22"/>
      <c r="AF9344" s="22"/>
    </row>
    <row r="9345" spans="29:32" x14ac:dyDescent="0.2">
      <c r="AC9345" s="20"/>
      <c r="AE9345" s="22"/>
      <c r="AF9345" s="22"/>
    </row>
    <row r="9346" spans="29:32" x14ac:dyDescent="0.2">
      <c r="AC9346" s="20"/>
      <c r="AE9346" s="22"/>
      <c r="AF9346" s="22"/>
    </row>
    <row r="9347" spans="29:32" x14ac:dyDescent="0.2">
      <c r="AC9347" s="20"/>
      <c r="AE9347" s="22"/>
      <c r="AF9347" s="22"/>
    </row>
    <row r="9348" spans="29:32" x14ac:dyDescent="0.2">
      <c r="AC9348" s="20"/>
      <c r="AE9348" s="22"/>
      <c r="AF9348" s="22"/>
    </row>
    <row r="9349" spans="29:32" x14ac:dyDescent="0.2">
      <c r="AC9349" s="20"/>
      <c r="AE9349" s="22"/>
      <c r="AF9349" s="22"/>
    </row>
    <row r="9350" spans="29:32" x14ac:dyDescent="0.2">
      <c r="AC9350" s="20"/>
      <c r="AE9350" s="22"/>
      <c r="AF9350" s="22"/>
    </row>
    <row r="9351" spans="29:32" x14ac:dyDescent="0.2">
      <c r="AC9351" s="20"/>
      <c r="AE9351" s="22"/>
      <c r="AF9351" s="22"/>
    </row>
    <row r="9352" spans="29:32" x14ac:dyDescent="0.2">
      <c r="AC9352" s="20"/>
      <c r="AE9352" s="22"/>
      <c r="AF9352" s="22"/>
    </row>
    <row r="9353" spans="29:32" x14ac:dyDescent="0.2">
      <c r="AC9353" s="20"/>
      <c r="AE9353" s="22"/>
      <c r="AF9353" s="22"/>
    </row>
    <row r="9354" spans="29:32" x14ac:dyDescent="0.2">
      <c r="AC9354" s="20"/>
      <c r="AE9354" s="22"/>
      <c r="AF9354" s="22"/>
    </row>
    <row r="9355" spans="29:32" x14ac:dyDescent="0.2">
      <c r="AC9355" s="20"/>
      <c r="AE9355" s="22"/>
      <c r="AF9355" s="22"/>
    </row>
    <row r="9356" spans="29:32" x14ac:dyDescent="0.2">
      <c r="AC9356" s="20"/>
      <c r="AE9356" s="22"/>
      <c r="AF9356" s="22"/>
    </row>
    <row r="9357" spans="29:32" x14ac:dyDescent="0.2">
      <c r="AC9357" s="20"/>
      <c r="AE9357" s="22"/>
      <c r="AF9357" s="22"/>
    </row>
    <row r="9358" spans="29:32" x14ac:dyDescent="0.2">
      <c r="AC9358" s="20"/>
      <c r="AE9358" s="22"/>
      <c r="AF9358" s="22"/>
    </row>
    <row r="9359" spans="29:32" x14ac:dyDescent="0.2">
      <c r="AC9359" s="20"/>
      <c r="AE9359" s="22"/>
      <c r="AF9359" s="22"/>
    </row>
    <row r="9360" spans="29:32" x14ac:dyDescent="0.2">
      <c r="AC9360" s="20"/>
      <c r="AE9360" s="22"/>
      <c r="AF9360" s="22"/>
    </row>
    <row r="9361" spans="29:32" x14ac:dyDescent="0.2">
      <c r="AC9361" s="20"/>
      <c r="AE9361" s="22"/>
      <c r="AF9361" s="22"/>
    </row>
    <row r="9362" spans="29:32" x14ac:dyDescent="0.2">
      <c r="AC9362" s="20"/>
      <c r="AE9362" s="22"/>
      <c r="AF9362" s="22"/>
    </row>
    <row r="9363" spans="29:32" x14ac:dyDescent="0.2">
      <c r="AC9363" s="20"/>
      <c r="AE9363" s="22"/>
      <c r="AF9363" s="22"/>
    </row>
    <row r="9364" spans="29:32" x14ac:dyDescent="0.2">
      <c r="AC9364" s="20"/>
      <c r="AE9364" s="22"/>
      <c r="AF9364" s="22"/>
    </row>
    <row r="9365" spans="29:32" x14ac:dyDescent="0.2">
      <c r="AC9365" s="20"/>
      <c r="AE9365" s="22"/>
      <c r="AF9365" s="22"/>
    </row>
    <row r="9366" spans="29:32" x14ac:dyDescent="0.2">
      <c r="AC9366" s="20"/>
      <c r="AE9366" s="22"/>
      <c r="AF9366" s="22"/>
    </row>
    <row r="9367" spans="29:32" x14ac:dyDescent="0.2">
      <c r="AC9367" s="20"/>
      <c r="AE9367" s="22"/>
      <c r="AF9367" s="22"/>
    </row>
    <row r="9368" spans="29:32" x14ac:dyDescent="0.2">
      <c r="AC9368" s="20"/>
      <c r="AE9368" s="22"/>
      <c r="AF9368" s="22"/>
    </row>
    <row r="9369" spans="29:32" x14ac:dyDescent="0.2">
      <c r="AC9369" s="20"/>
      <c r="AE9369" s="22"/>
      <c r="AF9369" s="22"/>
    </row>
    <row r="9370" spans="29:32" x14ac:dyDescent="0.2">
      <c r="AC9370" s="20"/>
      <c r="AE9370" s="22"/>
      <c r="AF9370" s="22"/>
    </row>
    <row r="9371" spans="29:32" x14ac:dyDescent="0.2">
      <c r="AC9371" s="20"/>
      <c r="AE9371" s="22"/>
      <c r="AF9371" s="22"/>
    </row>
    <row r="9372" spans="29:32" x14ac:dyDescent="0.2">
      <c r="AC9372" s="20"/>
      <c r="AE9372" s="22"/>
      <c r="AF9372" s="22"/>
    </row>
    <row r="9373" spans="29:32" x14ac:dyDescent="0.2">
      <c r="AC9373" s="20"/>
      <c r="AE9373" s="22"/>
      <c r="AF9373" s="22"/>
    </row>
    <row r="9374" spans="29:32" x14ac:dyDescent="0.2">
      <c r="AC9374" s="20"/>
      <c r="AE9374" s="22"/>
      <c r="AF9374" s="22"/>
    </row>
    <row r="9375" spans="29:32" x14ac:dyDescent="0.2">
      <c r="AC9375" s="20"/>
      <c r="AE9375" s="22"/>
      <c r="AF9375" s="22"/>
    </row>
    <row r="9376" spans="29:32" x14ac:dyDescent="0.2">
      <c r="AC9376" s="20"/>
      <c r="AE9376" s="22"/>
      <c r="AF9376" s="22"/>
    </row>
    <row r="9377" spans="29:32" x14ac:dyDescent="0.2">
      <c r="AC9377" s="20"/>
      <c r="AE9377" s="22"/>
      <c r="AF9377" s="22"/>
    </row>
    <row r="9378" spans="29:32" x14ac:dyDescent="0.2">
      <c r="AC9378" s="20"/>
      <c r="AE9378" s="22"/>
      <c r="AF9378" s="22"/>
    </row>
    <row r="9379" spans="29:32" x14ac:dyDescent="0.2">
      <c r="AC9379" s="20"/>
      <c r="AE9379" s="22"/>
      <c r="AF9379" s="22"/>
    </row>
    <row r="9380" spans="29:32" x14ac:dyDescent="0.2">
      <c r="AC9380" s="20"/>
      <c r="AE9380" s="22"/>
      <c r="AF9380" s="22"/>
    </row>
    <row r="9381" spans="29:32" x14ac:dyDescent="0.2">
      <c r="AC9381" s="20"/>
      <c r="AE9381" s="22"/>
      <c r="AF9381" s="22"/>
    </row>
    <row r="9382" spans="29:32" x14ac:dyDescent="0.2">
      <c r="AC9382" s="20"/>
      <c r="AE9382" s="22"/>
      <c r="AF9382" s="22"/>
    </row>
    <row r="9383" spans="29:32" x14ac:dyDescent="0.2">
      <c r="AC9383" s="20"/>
      <c r="AE9383" s="22"/>
      <c r="AF9383" s="22"/>
    </row>
    <row r="9384" spans="29:32" x14ac:dyDescent="0.2">
      <c r="AC9384" s="20"/>
      <c r="AE9384" s="22"/>
      <c r="AF9384" s="22"/>
    </row>
    <row r="9385" spans="29:32" x14ac:dyDescent="0.2">
      <c r="AC9385" s="20"/>
      <c r="AE9385" s="22"/>
      <c r="AF9385" s="22"/>
    </row>
    <row r="9386" spans="29:32" x14ac:dyDescent="0.2">
      <c r="AC9386" s="20"/>
      <c r="AE9386" s="22"/>
      <c r="AF9386" s="22"/>
    </row>
    <row r="9387" spans="29:32" x14ac:dyDescent="0.2">
      <c r="AC9387" s="20"/>
      <c r="AE9387" s="22"/>
      <c r="AF9387" s="22"/>
    </row>
    <row r="9388" spans="29:32" x14ac:dyDescent="0.2">
      <c r="AC9388" s="20"/>
      <c r="AE9388" s="22"/>
      <c r="AF9388" s="22"/>
    </row>
    <row r="9389" spans="29:32" x14ac:dyDescent="0.2">
      <c r="AC9389" s="20"/>
      <c r="AE9389" s="22"/>
      <c r="AF9389" s="22"/>
    </row>
    <row r="9390" spans="29:32" x14ac:dyDescent="0.2">
      <c r="AC9390" s="20"/>
      <c r="AE9390" s="22"/>
      <c r="AF9390" s="22"/>
    </row>
    <row r="9391" spans="29:32" x14ac:dyDescent="0.2">
      <c r="AC9391" s="20"/>
      <c r="AE9391" s="22"/>
      <c r="AF9391" s="22"/>
    </row>
    <row r="9392" spans="29:32" x14ac:dyDescent="0.2">
      <c r="AC9392" s="20"/>
      <c r="AE9392" s="22"/>
      <c r="AF9392" s="22"/>
    </row>
    <row r="9393" spans="29:32" x14ac:dyDescent="0.2">
      <c r="AC9393" s="20"/>
      <c r="AE9393" s="22"/>
      <c r="AF9393" s="22"/>
    </row>
    <row r="9394" spans="29:32" x14ac:dyDescent="0.2">
      <c r="AC9394" s="20"/>
      <c r="AE9394" s="22"/>
      <c r="AF9394" s="22"/>
    </row>
    <row r="9395" spans="29:32" x14ac:dyDescent="0.2">
      <c r="AC9395" s="20"/>
      <c r="AE9395" s="22"/>
      <c r="AF9395" s="22"/>
    </row>
    <row r="9396" spans="29:32" x14ac:dyDescent="0.2">
      <c r="AC9396" s="20"/>
      <c r="AE9396" s="22"/>
      <c r="AF9396" s="22"/>
    </row>
    <row r="9397" spans="29:32" x14ac:dyDescent="0.2">
      <c r="AC9397" s="20"/>
      <c r="AE9397" s="22"/>
      <c r="AF9397" s="22"/>
    </row>
    <row r="9398" spans="29:32" x14ac:dyDescent="0.2">
      <c r="AC9398" s="20"/>
      <c r="AE9398" s="22"/>
      <c r="AF9398" s="22"/>
    </row>
    <row r="9399" spans="29:32" x14ac:dyDescent="0.2">
      <c r="AC9399" s="20"/>
      <c r="AE9399" s="22"/>
      <c r="AF9399" s="22"/>
    </row>
    <row r="9400" spans="29:32" x14ac:dyDescent="0.2">
      <c r="AC9400" s="20"/>
      <c r="AE9400" s="22"/>
      <c r="AF9400" s="22"/>
    </row>
    <row r="9401" spans="29:32" x14ac:dyDescent="0.2">
      <c r="AC9401" s="20"/>
      <c r="AE9401" s="22"/>
      <c r="AF9401" s="22"/>
    </row>
    <row r="9402" spans="29:32" x14ac:dyDescent="0.2">
      <c r="AC9402" s="20"/>
      <c r="AE9402" s="22"/>
      <c r="AF9402" s="22"/>
    </row>
    <row r="9403" spans="29:32" x14ac:dyDescent="0.2">
      <c r="AC9403" s="20"/>
      <c r="AE9403" s="22"/>
      <c r="AF9403" s="22"/>
    </row>
    <row r="9404" spans="29:32" x14ac:dyDescent="0.2">
      <c r="AC9404" s="20"/>
      <c r="AE9404" s="22"/>
      <c r="AF9404" s="22"/>
    </row>
    <row r="9405" spans="29:32" x14ac:dyDescent="0.2">
      <c r="AC9405" s="20"/>
      <c r="AE9405" s="22"/>
      <c r="AF9405" s="22"/>
    </row>
    <row r="9406" spans="29:32" x14ac:dyDescent="0.2">
      <c r="AC9406" s="20"/>
      <c r="AE9406" s="22"/>
      <c r="AF9406" s="22"/>
    </row>
    <row r="9407" spans="29:32" x14ac:dyDescent="0.2">
      <c r="AC9407" s="20"/>
      <c r="AE9407" s="22"/>
      <c r="AF9407" s="22"/>
    </row>
    <row r="9408" spans="29:32" x14ac:dyDescent="0.2">
      <c r="AC9408" s="20"/>
      <c r="AE9408" s="22"/>
      <c r="AF9408" s="22"/>
    </row>
    <row r="9409" spans="29:32" x14ac:dyDescent="0.2">
      <c r="AC9409" s="20"/>
      <c r="AE9409" s="22"/>
      <c r="AF9409" s="22"/>
    </row>
    <row r="9410" spans="29:32" x14ac:dyDescent="0.2">
      <c r="AC9410" s="20"/>
      <c r="AE9410" s="22"/>
      <c r="AF9410" s="22"/>
    </row>
    <row r="9411" spans="29:32" x14ac:dyDescent="0.2">
      <c r="AC9411" s="20"/>
      <c r="AE9411" s="22"/>
      <c r="AF9411" s="22"/>
    </row>
    <row r="9412" spans="29:32" x14ac:dyDescent="0.2">
      <c r="AC9412" s="20"/>
      <c r="AE9412" s="22"/>
      <c r="AF9412" s="22"/>
    </row>
    <row r="9413" spans="29:32" x14ac:dyDescent="0.2">
      <c r="AC9413" s="20"/>
      <c r="AE9413" s="22"/>
      <c r="AF9413" s="22"/>
    </row>
    <row r="9414" spans="29:32" x14ac:dyDescent="0.2">
      <c r="AC9414" s="20"/>
      <c r="AE9414" s="22"/>
      <c r="AF9414" s="22"/>
    </row>
    <row r="9415" spans="29:32" x14ac:dyDescent="0.2">
      <c r="AC9415" s="20"/>
      <c r="AE9415" s="22"/>
      <c r="AF9415" s="22"/>
    </row>
    <row r="9416" spans="29:32" x14ac:dyDescent="0.2">
      <c r="AC9416" s="20"/>
      <c r="AE9416" s="22"/>
      <c r="AF9416" s="22"/>
    </row>
    <row r="9417" spans="29:32" x14ac:dyDescent="0.2">
      <c r="AC9417" s="20"/>
      <c r="AE9417" s="22"/>
      <c r="AF9417" s="22"/>
    </row>
    <row r="9418" spans="29:32" x14ac:dyDescent="0.2">
      <c r="AC9418" s="20"/>
      <c r="AE9418" s="22"/>
      <c r="AF9418" s="22"/>
    </row>
    <row r="9419" spans="29:32" x14ac:dyDescent="0.2">
      <c r="AC9419" s="20"/>
      <c r="AE9419" s="22"/>
      <c r="AF9419" s="22"/>
    </row>
    <row r="9420" spans="29:32" x14ac:dyDescent="0.2">
      <c r="AC9420" s="20"/>
      <c r="AE9420" s="22"/>
      <c r="AF9420" s="22"/>
    </row>
    <row r="9421" spans="29:32" x14ac:dyDescent="0.2">
      <c r="AC9421" s="20"/>
      <c r="AE9421" s="22"/>
      <c r="AF9421" s="22"/>
    </row>
    <row r="9422" spans="29:32" x14ac:dyDescent="0.2">
      <c r="AC9422" s="20"/>
      <c r="AE9422" s="22"/>
      <c r="AF9422" s="22"/>
    </row>
    <row r="9423" spans="29:32" x14ac:dyDescent="0.2">
      <c r="AC9423" s="20"/>
      <c r="AE9423" s="22"/>
      <c r="AF9423" s="22"/>
    </row>
    <row r="9424" spans="29:32" x14ac:dyDescent="0.2">
      <c r="AC9424" s="20"/>
      <c r="AE9424" s="22"/>
      <c r="AF9424" s="22"/>
    </row>
    <row r="9425" spans="29:32" x14ac:dyDescent="0.2">
      <c r="AC9425" s="20"/>
      <c r="AE9425" s="22"/>
      <c r="AF9425" s="22"/>
    </row>
    <row r="9426" spans="29:32" x14ac:dyDescent="0.2">
      <c r="AC9426" s="20"/>
      <c r="AE9426" s="22"/>
      <c r="AF9426" s="22"/>
    </row>
    <row r="9427" spans="29:32" x14ac:dyDescent="0.2">
      <c r="AC9427" s="20"/>
      <c r="AE9427" s="22"/>
      <c r="AF9427" s="22"/>
    </row>
    <row r="9428" spans="29:32" x14ac:dyDescent="0.2">
      <c r="AC9428" s="20"/>
      <c r="AE9428" s="22"/>
      <c r="AF9428" s="22"/>
    </row>
    <row r="9429" spans="29:32" x14ac:dyDescent="0.2">
      <c r="AC9429" s="20"/>
      <c r="AE9429" s="22"/>
      <c r="AF9429" s="22"/>
    </row>
    <row r="9430" spans="29:32" x14ac:dyDescent="0.2">
      <c r="AC9430" s="20"/>
      <c r="AE9430" s="22"/>
      <c r="AF9430" s="22"/>
    </row>
    <row r="9431" spans="29:32" x14ac:dyDescent="0.2">
      <c r="AC9431" s="20"/>
      <c r="AE9431" s="22"/>
      <c r="AF9431" s="22"/>
    </row>
    <row r="9432" spans="29:32" x14ac:dyDescent="0.2">
      <c r="AC9432" s="20"/>
      <c r="AE9432" s="22"/>
      <c r="AF9432" s="22"/>
    </row>
    <row r="9433" spans="29:32" x14ac:dyDescent="0.2">
      <c r="AC9433" s="20"/>
      <c r="AE9433" s="22"/>
      <c r="AF9433" s="22"/>
    </row>
    <row r="9434" spans="29:32" x14ac:dyDescent="0.2">
      <c r="AC9434" s="20"/>
      <c r="AE9434" s="22"/>
      <c r="AF9434" s="22"/>
    </row>
    <row r="9435" spans="29:32" x14ac:dyDescent="0.2">
      <c r="AC9435" s="20"/>
      <c r="AE9435" s="22"/>
      <c r="AF9435" s="22"/>
    </row>
    <row r="9436" spans="29:32" x14ac:dyDescent="0.2">
      <c r="AC9436" s="20"/>
      <c r="AE9436" s="22"/>
      <c r="AF9436" s="22"/>
    </row>
    <row r="9437" spans="29:32" x14ac:dyDescent="0.2">
      <c r="AC9437" s="20"/>
      <c r="AE9437" s="22"/>
      <c r="AF9437" s="22"/>
    </row>
    <row r="9438" spans="29:32" x14ac:dyDescent="0.2">
      <c r="AC9438" s="20"/>
      <c r="AE9438" s="22"/>
      <c r="AF9438" s="22"/>
    </row>
    <row r="9439" spans="29:32" x14ac:dyDescent="0.2">
      <c r="AC9439" s="20"/>
      <c r="AE9439" s="22"/>
      <c r="AF9439" s="22"/>
    </row>
    <row r="9440" spans="29:32" x14ac:dyDescent="0.2">
      <c r="AC9440" s="20"/>
      <c r="AE9440" s="22"/>
      <c r="AF9440" s="22"/>
    </row>
    <row r="9441" spans="29:32" x14ac:dyDescent="0.2">
      <c r="AC9441" s="20"/>
      <c r="AE9441" s="22"/>
      <c r="AF9441" s="22"/>
    </row>
    <row r="9442" spans="29:32" x14ac:dyDescent="0.2">
      <c r="AC9442" s="20"/>
      <c r="AE9442" s="22"/>
      <c r="AF9442" s="22"/>
    </row>
    <row r="9443" spans="29:32" x14ac:dyDescent="0.2">
      <c r="AC9443" s="20"/>
      <c r="AE9443" s="22"/>
      <c r="AF9443" s="22"/>
    </row>
    <row r="9444" spans="29:32" x14ac:dyDescent="0.2">
      <c r="AC9444" s="20"/>
      <c r="AE9444" s="22"/>
      <c r="AF9444" s="22"/>
    </row>
    <row r="9445" spans="29:32" x14ac:dyDescent="0.2">
      <c r="AC9445" s="20"/>
      <c r="AE9445" s="22"/>
      <c r="AF9445" s="22"/>
    </row>
    <row r="9446" spans="29:32" x14ac:dyDescent="0.2">
      <c r="AC9446" s="20"/>
      <c r="AE9446" s="22"/>
      <c r="AF9446" s="22"/>
    </row>
    <row r="9447" spans="29:32" x14ac:dyDescent="0.2">
      <c r="AC9447" s="20"/>
      <c r="AE9447" s="22"/>
      <c r="AF9447" s="22"/>
    </row>
    <row r="9448" spans="29:32" x14ac:dyDescent="0.2">
      <c r="AC9448" s="20"/>
      <c r="AE9448" s="22"/>
      <c r="AF9448" s="22"/>
    </row>
    <row r="9449" spans="29:32" x14ac:dyDescent="0.2">
      <c r="AC9449" s="20"/>
      <c r="AE9449" s="22"/>
      <c r="AF9449" s="22"/>
    </row>
    <row r="9450" spans="29:32" x14ac:dyDescent="0.2">
      <c r="AC9450" s="20"/>
      <c r="AE9450" s="22"/>
      <c r="AF9450" s="22"/>
    </row>
    <row r="9451" spans="29:32" x14ac:dyDescent="0.2">
      <c r="AC9451" s="20"/>
      <c r="AE9451" s="22"/>
      <c r="AF9451" s="22"/>
    </row>
    <row r="9452" spans="29:32" x14ac:dyDescent="0.2">
      <c r="AC9452" s="20"/>
      <c r="AE9452" s="22"/>
      <c r="AF9452" s="22"/>
    </row>
    <row r="9453" spans="29:32" x14ac:dyDescent="0.2">
      <c r="AC9453" s="20"/>
      <c r="AE9453" s="22"/>
      <c r="AF9453" s="22"/>
    </row>
    <row r="9454" spans="29:32" x14ac:dyDescent="0.2">
      <c r="AC9454" s="20"/>
      <c r="AE9454" s="22"/>
      <c r="AF9454" s="22"/>
    </row>
    <row r="9455" spans="29:32" x14ac:dyDescent="0.2">
      <c r="AC9455" s="20"/>
      <c r="AE9455" s="22"/>
      <c r="AF9455" s="22"/>
    </row>
    <row r="9456" spans="29:32" x14ac:dyDescent="0.2">
      <c r="AC9456" s="20"/>
      <c r="AE9456" s="22"/>
      <c r="AF9456" s="22"/>
    </row>
    <row r="9457" spans="29:32" x14ac:dyDescent="0.2">
      <c r="AC9457" s="20"/>
      <c r="AE9457" s="22"/>
      <c r="AF9457" s="22"/>
    </row>
    <row r="9458" spans="29:32" x14ac:dyDescent="0.2">
      <c r="AC9458" s="20"/>
      <c r="AE9458" s="22"/>
      <c r="AF9458" s="22"/>
    </row>
    <row r="9459" spans="29:32" x14ac:dyDescent="0.2">
      <c r="AC9459" s="20"/>
      <c r="AE9459" s="22"/>
      <c r="AF9459" s="22"/>
    </row>
    <row r="9460" spans="29:32" x14ac:dyDescent="0.2">
      <c r="AC9460" s="20"/>
      <c r="AE9460" s="22"/>
      <c r="AF9460" s="22"/>
    </row>
    <row r="9461" spans="29:32" x14ac:dyDescent="0.2">
      <c r="AC9461" s="20"/>
      <c r="AE9461" s="22"/>
      <c r="AF9461" s="22"/>
    </row>
    <row r="9462" spans="29:32" x14ac:dyDescent="0.2">
      <c r="AC9462" s="20"/>
      <c r="AE9462" s="22"/>
      <c r="AF9462" s="22"/>
    </row>
    <row r="9463" spans="29:32" x14ac:dyDescent="0.2">
      <c r="AC9463" s="20"/>
      <c r="AE9463" s="22"/>
      <c r="AF9463" s="22"/>
    </row>
    <row r="9464" spans="29:32" x14ac:dyDescent="0.2">
      <c r="AC9464" s="20"/>
      <c r="AE9464" s="22"/>
      <c r="AF9464" s="22"/>
    </row>
    <row r="9465" spans="29:32" x14ac:dyDescent="0.2">
      <c r="AC9465" s="20"/>
      <c r="AE9465" s="22"/>
      <c r="AF9465" s="22"/>
    </row>
    <row r="9466" spans="29:32" x14ac:dyDescent="0.2">
      <c r="AC9466" s="20"/>
      <c r="AE9466" s="22"/>
      <c r="AF9466" s="22"/>
    </row>
    <row r="9467" spans="29:32" x14ac:dyDescent="0.2">
      <c r="AC9467" s="20"/>
      <c r="AE9467" s="22"/>
      <c r="AF9467" s="22"/>
    </row>
    <row r="9468" spans="29:32" x14ac:dyDescent="0.2">
      <c r="AC9468" s="20"/>
      <c r="AE9468" s="22"/>
      <c r="AF9468" s="22"/>
    </row>
    <row r="9469" spans="29:32" x14ac:dyDescent="0.2">
      <c r="AC9469" s="20"/>
      <c r="AE9469" s="22"/>
      <c r="AF9469" s="22"/>
    </row>
    <row r="9470" spans="29:32" x14ac:dyDescent="0.2">
      <c r="AC9470" s="20"/>
      <c r="AE9470" s="22"/>
      <c r="AF9470" s="22"/>
    </row>
    <row r="9471" spans="29:32" x14ac:dyDescent="0.2">
      <c r="AC9471" s="20"/>
      <c r="AE9471" s="22"/>
      <c r="AF9471" s="22"/>
    </row>
    <row r="9472" spans="29:32" x14ac:dyDescent="0.2">
      <c r="AC9472" s="20"/>
      <c r="AE9472" s="22"/>
      <c r="AF9472" s="22"/>
    </row>
    <row r="9473" spans="29:32" x14ac:dyDescent="0.2">
      <c r="AC9473" s="20"/>
      <c r="AE9473" s="22"/>
      <c r="AF9473" s="22"/>
    </row>
    <row r="9474" spans="29:32" x14ac:dyDescent="0.2">
      <c r="AC9474" s="20"/>
      <c r="AE9474" s="22"/>
      <c r="AF9474" s="22"/>
    </row>
    <row r="9475" spans="29:32" x14ac:dyDescent="0.2">
      <c r="AC9475" s="20"/>
      <c r="AE9475" s="22"/>
      <c r="AF9475" s="22"/>
    </row>
    <row r="9476" spans="29:32" x14ac:dyDescent="0.2">
      <c r="AC9476" s="20"/>
      <c r="AE9476" s="22"/>
      <c r="AF9476" s="22"/>
    </row>
    <row r="9477" spans="29:32" x14ac:dyDescent="0.2">
      <c r="AC9477" s="20"/>
      <c r="AE9477" s="22"/>
      <c r="AF9477" s="22"/>
    </row>
    <row r="9478" spans="29:32" x14ac:dyDescent="0.2">
      <c r="AC9478" s="20"/>
      <c r="AE9478" s="22"/>
      <c r="AF9478" s="22"/>
    </row>
    <row r="9479" spans="29:32" x14ac:dyDescent="0.2">
      <c r="AC9479" s="20"/>
      <c r="AE9479" s="22"/>
      <c r="AF9479" s="22"/>
    </row>
    <row r="9480" spans="29:32" x14ac:dyDescent="0.2">
      <c r="AC9480" s="20"/>
      <c r="AE9480" s="22"/>
      <c r="AF9480" s="22"/>
    </row>
    <row r="9481" spans="29:32" x14ac:dyDescent="0.2">
      <c r="AC9481" s="20"/>
      <c r="AE9481" s="22"/>
      <c r="AF9481" s="22"/>
    </row>
    <row r="9482" spans="29:32" x14ac:dyDescent="0.2">
      <c r="AC9482" s="20"/>
      <c r="AE9482" s="22"/>
      <c r="AF9482" s="22"/>
    </row>
    <row r="9483" spans="29:32" x14ac:dyDescent="0.2">
      <c r="AC9483" s="20"/>
      <c r="AE9483" s="22"/>
      <c r="AF9483" s="22"/>
    </row>
    <row r="9484" spans="29:32" x14ac:dyDescent="0.2">
      <c r="AC9484" s="20"/>
      <c r="AE9484" s="22"/>
      <c r="AF9484" s="22"/>
    </row>
    <row r="9485" spans="29:32" x14ac:dyDescent="0.2">
      <c r="AC9485" s="20"/>
      <c r="AE9485" s="22"/>
      <c r="AF9485" s="22"/>
    </row>
    <row r="9486" spans="29:32" x14ac:dyDescent="0.2">
      <c r="AC9486" s="20"/>
      <c r="AE9486" s="22"/>
      <c r="AF9486" s="22"/>
    </row>
    <row r="9487" spans="29:32" x14ac:dyDescent="0.2">
      <c r="AC9487" s="20"/>
      <c r="AE9487" s="22"/>
      <c r="AF9487" s="22"/>
    </row>
    <row r="9488" spans="29:32" x14ac:dyDescent="0.2">
      <c r="AC9488" s="20"/>
      <c r="AE9488" s="22"/>
      <c r="AF9488" s="22"/>
    </row>
    <row r="9489" spans="29:32" x14ac:dyDescent="0.2">
      <c r="AC9489" s="20"/>
      <c r="AE9489" s="22"/>
      <c r="AF9489" s="22"/>
    </row>
    <row r="9490" spans="29:32" x14ac:dyDescent="0.2">
      <c r="AC9490" s="20"/>
      <c r="AE9490" s="22"/>
      <c r="AF9490" s="22"/>
    </row>
    <row r="9491" spans="29:32" x14ac:dyDescent="0.2">
      <c r="AC9491" s="20"/>
      <c r="AE9491" s="22"/>
      <c r="AF9491" s="22"/>
    </row>
    <row r="9492" spans="29:32" x14ac:dyDescent="0.2">
      <c r="AC9492" s="20"/>
      <c r="AE9492" s="22"/>
      <c r="AF9492" s="22"/>
    </row>
    <row r="9493" spans="29:32" x14ac:dyDescent="0.2">
      <c r="AC9493" s="20"/>
      <c r="AE9493" s="22"/>
      <c r="AF9493" s="22"/>
    </row>
    <row r="9494" spans="29:32" x14ac:dyDescent="0.2">
      <c r="AC9494" s="20"/>
      <c r="AE9494" s="22"/>
      <c r="AF9494" s="22"/>
    </row>
    <row r="9495" spans="29:32" x14ac:dyDescent="0.2">
      <c r="AC9495" s="20"/>
      <c r="AE9495" s="22"/>
      <c r="AF9495" s="22"/>
    </row>
    <row r="9496" spans="29:32" x14ac:dyDescent="0.2">
      <c r="AC9496" s="20"/>
      <c r="AE9496" s="22"/>
      <c r="AF9496" s="22"/>
    </row>
    <row r="9497" spans="29:32" x14ac:dyDescent="0.2">
      <c r="AC9497" s="20"/>
      <c r="AE9497" s="22"/>
      <c r="AF9497" s="22"/>
    </row>
    <row r="9498" spans="29:32" x14ac:dyDescent="0.2">
      <c r="AC9498" s="20"/>
      <c r="AE9498" s="22"/>
      <c r="AF9498" s="22"/>
    </row>
    <row r="9499" spans="29:32" x14ac:dyDescent="0.2">
      <c r="AC9499" s="20"/>
      <c r="AE9499" s="22"/>
      <c r="AF9499" s="22"/>
    </row>
    <row r="9500" spans="29:32" x14ac:dyDescent="0.2">
      <c r="AC9500" s="20"/>
      <c r="AE9500" s="22"/>
      <c r="AF9500" s="22"/>
    </row>
    <row r="9501" spans="29:32" x14ac:dyDescent="0.2">
      <c r="AC9501" s="20"/>
      <c r="AE9501" s="22"/>
      <c r="AF9501" s="22"/>
    </row>
    <row r="9502" spans="29:32" x14ac:dyDescent="0.2">
      <c r="AC9502" s="20"/>
      <c r="AE9502" s="22"/>
      <c r="AF9502" s="22"/>
    </row>
    <row r="9503" spans="29:32" x14ac:dyDescent="0.2">
      <c r="AC9503" s="20"/>
      <c r="AE9503" s="22"/>
      <c r="AF9503" s="22"/>
    </row>
    <row r="9504" spans="29:32" x14ac:dyDescent="0.2">
      <c r="AC9504" s="20"/>
      <c r="AE9504" s="22"/>
      <c r="AF9504" s="22"/>
    </row>
    <row r="9505" spans="29:32" x14ac:dyDescent="0.2">
      <c r="AC9505" s="20"/>
      <c r="AE9505" s="22"/>
      <c r="AF9505" s="22"/>
    </row>
    <row r="9506" spans="29:32" x14ac:dyDescent="0.2">
      <c r="AC9506" s="20"/>
      <c r="AE9506" s="22"/>
      <c r="AF9506" s="22"/>
    </row>
    <row r="9507" spans="29:32" x14ac:dyDescent="0.2">
      <c r="AC9507" s="20"/>
      <c r="AE9507" s="22"/>
      <c r="AF9507" s="22"/>
    </row>
    <row r="9508" spans="29:32" x14ac:dyDescent="0.2">
      <c r="AC9508" s="20"/>
      <c r="AE9508" s="22"/>
      <c r="AF9508" s="22"/>
    </row>
    <row r="9509" spans="29:32" x14ac:dyDescent="0.2">
      <c r="AC9509" s="20"/>
      <c r="AE9509" s="22"/>
      <c r="AF9509" s="22"/>
    </row>
    <row r="9510" spans="29:32" x14ac:dyDescent="0.2">
      <c r="AC9510" s="20"/>
      <c r="AE9510" s="22"/>
      <c r="AF9510" s="22"/>
    </row>
    <row r="9511" spans="29:32" x14ac:dyDescent="0.2">
      <c r="AC9511" s="20"/>
      <c r="AE9511" s="22"/>
      <c r="AF9511" s="22"/>
    </row>
    <row r="9512" spans="29:32" x14ac:dyDescent="0.2">
      <c r="AC9512" s="20"/>
      <c r="AE9512" s="22"/>
      <c r="AF9512" s="22"/>
    </row>
    <row r="9513" spans="29:32" x14ac:dyDescent="0.2">
      <c r="AC9513" s="20"/>
      <c r="AE9513" s="22"/>
      <c r="AF9513" s="22"/>
    </row>
    <row r="9514" spans="29:32" x14ac:dyDescent="0.2">
      <c r="AC9514" s="20"/>
      <c r="AE9514" s="22"/>
      <c r="AF9514" s="22"/>
    </row>
    <row r="9515" spans="29:32" x14ac:dyDescent="0.2">
      <c r="AC9515" s="20"/>
      <c r="AE9515" s="22"/>
      <c r="AF9515" s="22"/>
    </row>
    <row r="9516" spans="29:32" x14ac:dyDescent="0.2">
      <c r="AC9516" s="20"/>
      <c r="AE9516" s="22"/>
      <c r="AF9516" s="22"/>
    </row>
    <row r="9517" spans="29:32" x14ac:dyDescent="0.2">
      <c r="AC9517" s="20"/>
      <c r="AE9517" s="22"/>
      <c r="AF9517" s="22"/>
    </row>
    <row r="9518" spans="29:32" x14ac:dyDescent="0.2">
      <c r="AC9518" s="20"/>
      <c r="AE9518" s="22"/>
      <c r="AF9518" s="22"/>
    </row>
    <row r="9519" spans="29:32" x14ac:dyDescent="0.2">
      <c r="AC9519" s="20"/>
      <c r="AE9519" s="22"/>
      <c r="AF9519" s="22"/>
    </row>
    <row r="9520" spans="29:32" x14ac:dyDescent="0.2">
      <c r="AC9520" s="20"/>
      <c r="AE9520" s="22"/>
      <c r="AF9520" s="22"/>
    </row>
    <row r="9521" spans="29:32" x14ac:dyDescent="0.2">
      <c r="AC9521" s="20"/>
      <c r="AE9521" s="22"/>
      <c r="AF9521" s="22"/>
    </row>
    <row r="9522" spans="29:32" x14ac:dyDescent="0.2">
      <c r="AC9522" s="20"/>
      <c r="AE9522" s="22"/>
      <c r="AF9522" s="22"/>
    </row>
    <row r="9523" spans="29:32" x14ac:dyDescent="0.2">
      <c r="AC9523" s="20"/>
      <c r="AE9523" s="22"/>
      <c r="AF9523" s="22"/>
    </row>
    <row r="9524" spans="29:32" x14ac:dyDescent="0.2">
      <c r="AC9524" s="20"/>
      <c r="AE9524" s="22"/>
      <c r="AF9524" s="22"/>
    </row>
    <row r="9525" spans="29:32" x14ac:dyDescent="0.2">
      <c r="AC9525" s="20"/>
      <c r="AE9525" s="22"/>
      <c r="AF9525" s="22"/>
    </row>
    <row r="9526" spans="29:32" x14ac:dyDescent="0.2">
      <c r="AC9526" s="20"/>
      <c r="AE9526" s="22"/>
      <c r="AF9526" s="22"/>
    </row>
    <row r="9527" spans="29:32" x14ac:dyDescent="0.2">
      <c r="AC9527" s="20"/>
      <c r="AE9527" s="22"/>
      <c r="AF9527" s="22"/>
    </row>
    <row r="9528" spans="29:32" x14ac:dyDescent="0.2">
      <c r="AC9528" s="20"/>
      <c r="AE9528" s="22"/>
      <c r="AF9528" s="22"/>
    </row>
    <row r="9529" spans="29:32" x14ac:dyDescent="0.2">
      <c r="AC9529" s="20"/>
      <c r="AE9529" s="22"/>
      <c r="AF9529" s="22"/>
    </row>
    <row r="9530" spans="29:32" x14ac:dyDescent="0.2">
      <c r="AC9530" s="20"/>
      <c r="AE9530" s="22"/>
      <c r="AF9530" s="22"/>
    </row>
    <row r="9531" spans="29:32" x14ac:dyDescent="0.2">
      <c r="AC9531" s="20"/>
      <c r="AE9531" s="22"/>
      <c r="AF9531" s="22"/>
    </row>
    <row r="9532" spans="29:32" x14ac:dyDescent="0.2">
      <c r="AC9532" s="20"/>
      <c r="AE9532" s="22"/>
      <c r="AF9532" s="22"/>
    </row>
    <row r="9533" spans="29:32" x14ac:dyDescent="0.2">
      <c r="AC9533" s="20"/>
      <c r="AE9533" s="22"/>
      <c r="AF9533" s="22"/>
    </row>
    <row r="9534" spans="29:32" x14ac:dyDescent="0.2">
      <c r="AC9534" s="20"/>
      <c r="AE9534" s="22"/>
      <c r="AF9534" s="22"/>
    </row>
    <row r="9535" spans="29:32" x14ac:dyDescent="0.2">
      <c r="AC9535" s="20"/>
      <c r="AE9535" s="22"/>
      <c r="AF9535" s="22"/>
    </row>
    <row r="9536" spans="29:32" x14ac:dyDescent="0.2">
      <c r="AC9536" s="20"/>
      <c r="AE9536" s="22"/>
      <c r="AF9536" s="22"/>
    </row>
    <row r="9537" spans="29:32" x14ac:dyDescent="0.2">
      <c r="AC9537" s="20"/>
      <c r="AE9537" s="22"/>
      <c r="AF9537" s="22"/>
    </row>
    <row r="9538" spans="29:32" x14ac:dyDescent="0.2">
      <c r="AC9538" s="20"/>
      <c r="AE9538" s="22"/>
      <c r="AF9538" s="22"/>
    </row>
    <row r="9539" spans="29:32" x14ac:dyDescent="0.2">
      <c r="AC9539" s="20"/>
      <c r="AE9539" s="22"/>
      <c r="AF9539" s="22"/>
    </row>
    <row r="9540" spans="29:32" x14ac:dyDescent="0.2">
      <c r="AC9540" s="20"/>
      <c r="AE9540" s="22"/>
      <c r="AF9540" s="22"/>
    </row>
    <row r="9541" spans="29:32" x14ac:dyDescent="0.2">
      <c r="AC9541" s="20"/>
      <c r="AE9541" s="22"/>
      <c r="AF9541" s="22"/>
    </row>
    <row r="9542" spans="29:32" x14ac:dyDescent="0.2">
      <c r="AC9542" s="20"/>
      <c r="AE9542" s="22"/>
      <c r="AF9542" s="22"/>
    </row>
    <row r="9543" spans="29:32" x14ac:dyDescent="0.2">
      <c r="AC9543" s="20"/>
      <c r="AE9543" s="22"/>
      <c r="AF9543" s="22"/>
    </row>
    <row r="9544" spans="29:32" x14ac:dyDescent="0.2">
      <c r="AC9544" s="20"/>
      <c r="AE9544" s="22"/>
      <c r="AF9544" s="22"/>
    </row>
    <row r="9545" spans="29:32" x14ac:dyDescent="0.2">
      <c r="AC9545" s="20"/>
      <c r="AE9545" s="22"/>
      <c r="AF9545" s="22"/>
    </row>
    <row r="9546" spans="29:32" x14ac:dyDescent="0.2">
      <c r="AC9546" s="20"/>
      <c r="AE9546" s="22"/>
      <c r="AF9546" s="22"/>
    </row>
    <row r="9547" spans="29:32" x14ac:dyDescent="0.2">
      <c r="AC9547" s="20"/>
      <c r="AE9547" s="22"/>
      <c r="AF9547" s="22"/>
    </row>
    <row r="9548" spans="29:32" x14ac:dyDescent="0.2">
      <c r="AC9548" s="20"/>
      <c r="AE9548" s="22"/>
      <c r="AF9548" s="22"/>
    </row>
    <row r="9549" spans="29:32" x14ac:dyDescent="0.2">
      <c r="AC9549" s="20"/>
      <c r="AE9549" s="22"/>
      <c r="AF9549" s="22"/>
    </row>
    <row r="9550" spans="29:32" x14ac:dyDescent="0.2">
      <c r="AC9550" s="20"/>
      <c r="AE9550" s="22"/>
      <c r="AF9550" s="22"/>
    </row>
    <row r="9551" spans="29:32" x14ac:dyDescent="0.2">
      <c r="AC9551" s="20"/>
      <c r="AE9551" s="22"/>
      <c r="AF9551" s="22"/>
    </row>
    <row r="9552" spans="29:32" x14ac:dyDescent="0.2">
      <c r="AC9552" s="20"/>
      <c r="AE9552" s="22"/>
      <c r="AF9552" s="22"/>
    </row>
    <row r="9553" spans="29:32" x14ac:dyDescent="0.2">
      <c r="AC9553" s="20"/>
      <c r="AE9553" s="22"/>
      <c r="AF9553" s="22"/>
    </row>
    <row r="9554" spans="29:32" x14ac:dyDescent="0.2">
      <c r="AC9554" s="20"/>
      <c r="AE9554" s="22"/>
      <c r="AF9554" s="22"/>
    </row>
    <row r="9555" spans="29:32" x14ac:dyDescent="0.2">
      <c r="AC9555" s="20"/>
      <c r="AE9555" s="22"/>
      <c r="AF9555" s="22"/>
    </row>
    <row r="9556" spans="29:32" x14ac:dyDescent="0.2">
      <c r="AC9556" s="20"/>
      <c r="AE9556" s="22"/>
      <c r="AF9556" s="22"/>
    </row>
    <row r="9557" spans="29:32" x14ac:dyDescent="0.2">
      <c r="AC9557" s="20"/>
      <c r="AE9557" s="22"/>
      <c r="AF9557" s="22"/>
    </row>
    <row r="9558" spans="29:32" x14ac:dyDescent="0.2">
      <c r="AC9558" s="20"/>
      <c r="AE9558" s="22"/>
      <c r="AF9558" s="22"/>
    </row>
    <row r="9559" spans="29:32" x14ac:dyDescent="0.2">
      <c r="AC9559" s="20"/>
      <c r="AE9559" s="22"/>
      <c r="AF9559" s="22"/>
    </row>
    <row r="9560" spans="29:32" x14ac:dyDescent="0.2">
      <c r="AC9560" s="20"/>
      <c r="AE9560" s="22"/>
      <c r="AF9560" s="22"/>
    </row>
    <row r="9561" spans="29:32" x14ac:dyDescent="0.2">
      <c r="AC9561" s="20"/>
      <c r="AE9561" s="22"/>
      <c r="AF9561" s="22"/>
    </row>
    <row r="9562" spans="29:32" x14ac:dyDescent="0.2">
      <c r="AC9562" s="20"/>
      <c r="AE9562" s="22"/>
      <c r="AF9562" s="22"/>
    </row>
    <row r="9563" spans="29:32" x14ac:dyDescent="0.2">
      <c r="AC9563" s="20"/>
      <c r="AE9563" s="22"/>
      <c r="AF9563" s="22"/>
    </row>
    <row r="9564" spans="29:32" x14ac:dyDescent="0.2">
      <c r="AC9564" s="20"/>
      <c r="AE9564" s="22"/>
      <c r="AF9564" s="22"/>
    </row>
    <row r="9565" spans="29:32" x14ac:dyDescent="0.2">
      <c r="AC9565" s="20"/>
      <c r="AE9565" s="22"/>
      <c r="AF9565" s="22"/>
    </row>
    <row r="9566" spans="29:32" x14ac:dyDescent="0.2">
      <c r="AC9566" s="20"/>
      <c r="AE9566" s="22"/>
      <c r="AF9566" s="22"/>
    </row>
    <row r="9567" spans="29:32" x14ac:dyDescent="0.2">
      <c r="AC9567" s="20"/>
      <c r="AE9567" s="22"/>
      <c r="AF9567" s="22"/>
    </row>
    <row r="9568" spans="29:32" x14ac:dyDescent="0.2">
      <c r="AC9568" s="20"/>
      <c r="AE9568" s="22"/>
      <c r="AF9568" s="22"/>
    </row>
    <row r="9569" spans="29:32" x14ac:dyDescent="0.2">
      <c r="AC9569" s="20"/>
      <c r="AE9569" s="22"/>
      <c r="AF9569" s="22"/>
    </row>
    <row r="9570" spans="29:32" x14ac:dyDescent="0.2">
      <c r="AC9570" s="20"/>
      <c r="AE9570" s="22"/>
      <c r="AF9570" s="22"/>
    </row>
    <row r="9571" spans="29:32" x14ac:dyDescent="0.2">
      <c r="AC9571" s="20"/>
      <c r="AE9571" s="22"/>
      <c r="AF9571" s="22"/>
    </row>
    <row r="9572" spans="29:32" x14ac:dyDescent="0.2">
      <c r="AC9572" s="20"/>
      <c r="AE9572" s="22"/>
      <c r="AF9572" s="22"/>
    </row>
    <row r="9573" spans="29:32" x14ac:dyDescent="0.2">
      <c r="AC9573" s="20"/>
      <c r="AE9573" s="22"/>
      <c r="AF9573" s="22"/>
    </row>
    <row r="9574" spans="29:32" x14ac:dyDescent="0.2">
      <c r="AC9574" s="20"/>
      <c r="AE9574" s="22"/>
      <c r="AF9574" s="22"/>
    </row>
    <row r="9575" spans="29:32" x14ac:dyDescent="0.2">
      <c r="AC9575" s="20"/>
      <c r="AE9575" s="22"/>
      <c r="AF9575" s="22"/>
    </row>
    <row r="9576" spans="29:32" x14ac:dyDescent="0.2">
      <c r="AC9576" s="20"/>
      <c r="AE9576" s="22"/>
      <c r="AF9576" s="22"/>
    </row>
    <row r="9577" spans="29:32" x14ac:dyDescent="0.2">
      <c r="AC9577" s="20"/>
      <c r="AE9577" s="22"/>
      <c r="AF9577" s="22"/>
    </row>
    <row r="9578" spans="29:32" x14ac:dyDescent="0.2">
      <c r="AC9578" s="20"/>
      <c r="AE9578" s="22"/>
      <c r="AF9578" s="22"/>
    </row>
    <row r="9579" spans="29:32" x14ac:dyDescent="0.2">
      <c r="AC9579" s="20"/>
      <c r="AE9579" s="22"/>
      <c r="AF9579" s="22"/>
    </row>
    <row r="9580" spans="29:32" x14ac:dyDescent="0.2">
      <c r="AC9580" s="20"/>
      <c r="AE9580" s="22"/>
      <c r="AF9580" s="22"/>
    </row>
    <row r="9581" spans="29:32" x14ac:dyDescent="0.2">
      <c r="AC9581" s="20"/>
      <c r="AE9581" s="22"/>
      <c r="AF9581" s="22"/>
    </row>
    <row r="9582" spans="29:32" x14ac:dyDescent="0.2">
      <c r="AC9582" s="20"/>
      <c r="AE9582" s="22"/>
      <c r="AF9582" s="22"/>
    </row>
    <row r="9583" spans="29:32" x14ac:dyDescent="0.2">
      <c r="AC9583" s="20"/>
      <c r="AE9583" s="22"/>
      <c r="AF9583" s="22"/>
    </row>
    <row r="9584" spans="29:32" x14ac:dyDescent="0.2">
      <c r="AC9584" s="20"/>
      <c r="AE9584" s="22"/>
      <c r="AF9584" s="22"/>
    </row>
    <row r="9585" spans="29:32" x14ac:dyDescent="0.2">
      <c r="AC9585" s="20"/>
      <c r="AE9585" s="22"/>
      <c r="AF9585" s="22"/>
    </row>
    <row r="9586" spans="29:32" x14ac:dyDescent="0.2">
      <c r="AC9586" s="20"/>
      <c r="AE9586" s="22"/>
      <c r="AF9586" s="22"/>
    </row>
    <row r="9587" spans="29:32" x14ac:dyDescent="0.2">
      <c r="AC9587" s="20"/>
      <c r="AE9587" s="22"/>
      <c r="AF9587" s="22"/>
    </row>
    <row r="9588" spans="29:32" x14ac:dyDescent="0.2">
      <c r="AC9588" s="20"/>
      <c r="AE9588" s="22"/>
      <c r="AF9588" s="22"/>
    </row>
    <row r="9589" spans="29:32" x14ac:dyDescent="0.2">
      <c r="AC9589" s="20"/>
      <c r="AE9589" s="22"/>
      <c r="AF9589" s="22"/>
    </row>
    <row r="9590" spans="29:32" x14ac:dyDescent="0.2">
      <c r="AC9590" s="20"/>
      <c r="AE9590" s="22"/>
      <c r="AF9590" s="22"/>
    </row>
    <row r="9591" spans="29:32" x14ac:dyDescent="0.2">
      <c r="AC9591" s="20"/>
      <c r="AE9591" s="22"/>
      <c r="AF9591" s="22"/>
    </row>
    <row r="9592" spans="29:32" x14ac:dyDescent="0.2">
      <c r="AC9592" s="20"/>
      <c r="AE9592" s="22"/>
      <c r="AF9592" s="22"/>
    </row>
    <row r="9593" spans="29:32" x14ac:dyDescent="0.2">
      <c r="AC9593" s="20"/>
      <c r="AE9593" s="22"/>
      <c r="AF9593" s="22"/>
    </row>
    <row r="9594" spans="29:32" x14ac:dyDescent="0.2">
      <c r="AC9594" s="20"/>
      <c r="AE9594" s="22"/>
      <c r="AF9594" s="22"/>
    </row>
    <row r="9595" spans="29:32" x14ac:dyDescent="0.2">
      <c r="AC9595" s="20"/>
      <c r="AE9595" s="22"/>
      <c r="AF9595" s="22"/>
    </row>
    <row r="9596" spans="29:32" x14ac:dyDescent="0.2">
      <c r="AC9596" s="20"/>
      <c r="AE9596" s="22"/>
      <c r="AF9596" s="22"/>
    </row>
    <row r="9597" spans="29:32" x14ac:dyDescent="0.2">
      <c r="AC9597" s="20"/>
      <c r="AE9597" s="22"/>
      <c r="AF9597" s="22"/>
    </row>
    <row r="9598" spans="29:32" x14ac:dyDescent="0.2">
      <c r="AC9598" s="20"/>
      <c r="AE9598" s="22"/>
      <c r="AF9598" s="22"/>
    </row>
    <row r="9599" spans="29:32" x14ac:dyDescent="0.2">
      <c r="AC9599" s="20"/>
      <c r="AE9599" s="22"/>
      <c r="AF9599" s="22"/>
    </row>
    <row r="9600" spans="29:32" x14ac:dyDescent="0.2">
      <c r="AC9600" s="20"/>
      <c r="AE9600" s="22"/>
      <c r="AF9600" s="22"/>
    </row>
    <row r="9601" spans="29:32" x14ac:dyDescent="0.2">
      <c r="AC9601" s="20"/>
      <c r="AE9601" s="22"/>
      <c r="AF9601" s="22"/>
    </row>
    <row r="9602" spans="29:32" x14ac:dyDescent="0.2">
      <c r="AC9602" s="20"/>
      <c r="AE9602" s="22"/>
      <c r="AF9602" s="22"/>
    </row>
    <row r="9603" spans="29:32" x14ac:dyDescent="0.2">
      <c r="AC9603" s="20"/>
      <c r="AE9603" s="22"/>
      <c r="AF9603" s="22"/>
    </row>
    <row r="9604" spans="29:32" x14ac:dyDescent="0.2">
      <c r="AC9604" s="20"/>
      <c r="AE9604" s="22"/>
      <c r="AF9604" s="22"/>
    </row>
    <row r="9605" spans="29:32" x14ac:dyDescent="0.2">
      <c r="AC9605" s="20"/>
      <c r="AE9605" s="22"/>
      <c r="AF9605" s="22"/>
    </row>
    <row r="9606" spans="29:32" x14ac:dyDescent="0.2">
      <c r="AC9606" s="20"/>
      <c r="AE9606" s="22"/>
      <c r="AF9606" s="22"/>
    </row>
    <row r="9607" spans="29:32" x14ac:dyDescent="0.2">
      <c r="AC9607" s="20"/>
      <c r="AE9607" s="22"/>
      <c r="AF9607" s="22"/>
    </row>
    <row r="9608" spans="29:32" x14ac:dyDescent="0.2">
      <c r="AC9608" s="20"/>
      <c r="AE9608" s="22"/>
      <c r="AF9608" s="22"/>
    </row>
    <row r="9609" spans="29:32" x14ac:dyDescent="0.2">
      <c r="AC9609" s="20"/>
      <c r="AE9609" s="22"/>
      <c r="AF9609" s="22"/>
    </row>
    <row r="9610" spans="29:32" x14ac:dyDescent="0.2">
      <c r="AC9610" s="20"/>
      <c r="AE9610" s="22"/>
      <c r="AF9610" s="22"/>
    </row>
    <row r="9611" spans="29:32" x14ac:dyDescent="0.2">
      <c r="AC9611" s="20"/>
      <c r="AE9611" s="22"/>
      <c r="AF9611" s="22"/>
    </row>
    <row r="9612" spans="29:32" x14ac:dyDescent="0.2">
      <c r="AC9612" s="20"/>
      <c r="AE9612" s="22"/>
      <c r="AF9612" s="22"/>
    </row>
    <row r="9613" spans="29:32" x14ac:dyDescent="0.2">
      <c r="AC9613" s="20"/>
      <c r="AE9613" s="22"/>
      <c r="AF9613" s="22"/>
    </row>
    <row r="9614" spans="29:32" x14ac:dyDescent="0.2">
      <c r="AC9614" s="20"/>
      <c r="AE9614" s="22"/>
      <c r="AF9614" s="22"/>
    </row>
    <row r="9615" spans="29:32" x14ac:dyDescent="0.2">
      <c r="AC9615" s="20"/>
      <c r="AE9615" s="22"/>
      <c r="AF9615" s="22"/>
    </row>
    <row r="9616" spans="29:32" x14ac:dyDescent="0.2">
      <c r="AC9616" s="20"/>
      <c r="AE9616" s="22"/>
      <c r="AF9616" s="22"/>
    </row>
    <row r="9617" spans="29:32" x14ac:dyDescent="0.2">
      <c r="AC9617" s="20"/>
      <c r="AE9617" s="22"/>
      <c r="AF9617" s="22"/>
    </row>
    <row r="9618" spans="29:32" x14ac:dyDescent="0.2">
      <c r="AC9618" s="20"/>
      <c r="AE9618" s="22"/>
      <c r="AF9618" s="22"/>
    </row>
    <row r="9619" spans="29:32" x14ac:dyDescent="0.2">
      <c r="AC9619" s="20"/>
      <c r="AE9619" s="22"/>
      <c r="AF9619" s="22"/>
    </row>
    <row r="9620" spans="29:32" x14ac:dyDescent="0.2">
      <c r="AC9620" s="20"/>
      <c r="AE9620" s="22"/>
      <c r="AF9620" s="22"/>
    </row>
    <row r="9621" spans="29:32" x14ac:dyDescent="0.2">
      <c r="AC9621" s="20"/>
      <c r="AE9621" s="22"/>
      <c r="AF9621" s="22"/>
    </row>
    <row r="9622" spans="29:32" x14ac:dyDescent="0.2">
      <c r="AC9622" s="20"/>
      <c r="AE9622" s="22"/>
      <c r="AF9622" s="22"/>
    </row>
    <row r="9623" spans="29:32" x14ac:dyDescent="0.2">
      <c r="AC9623" s="20"/>
      <c r="AE9623" s="22"/>
      <c r="AF9623" s="22"/>
    </row>
    <row r="9624" spans="29:32" x14ac:dyDescent="0.2">
      <c r="AC9624" s="20"/>
      <c r="AE9624" s="22"/>
      <c r="AF9624" s="22"/>
    </row>
    <row r="9625" spans="29:32" x14ac:dyDescent="0.2">
      <c r="AC9625" s="20"/>
      <c r="AE9625" s="22"/>
      <c r="AF9625" s="22"/>
    </row>
    <row r="9626" spans="29:32" x14ac:dyDescent="0.2">
      <c r="AC9626" s="20"/>
      <c r="AE9626" s="22"/>
      <c r="AF9626" s="22"/>
    </row>
    <row r="9627" spans="29:32" x14ac:dyDescent="0.2">
      <c r="AC9627" s="20"/>
      <c r="AE9627" s="22"/>
      <c r="AF9627" s="22"/>
    </row>
    <row r="9628" spans="29:32" x14ac:dyDescent="0.2">
      <c r="AC9628" s="20"/>
      <c r="AE9628" s="22"/>
      <c r="AF9628" s="22"/>
    </row>
    <row r="9629" spans="29:32" x14ac:dyDescent="0.2">
      <c r="AC9629" s="20"/>
      <c r="AE9629" s="22"/>
      <c r="AF9629" s="22"/>
    </row>
    <row r="9630" spans="29:32" x14ac:dyDescent="0.2">
      <c r="AC9630" s="20"/>
      <c r="AE9630" s="22"/>
      <c r="AF9630" s="22"/>
    </row>
    <row r="9631" spans="29:32" x14ac:dyDescent="0.2">
      <c r="AC9631" s="20"/>
      <c r="AE9631" s="22"/>
      <c r="AF9631" s="22"/>
    </row>
    <row r="9632" spans="29:32" x14ac:dyDescent="0.2">
      <c r="AC9632" s="20"/>
      <c r="AE9632" s="22"/>
      <c r="AF9632" s="22"/>
    </row>
    <row r="9633" spans="29:32" x14ac:dyDescent="0.2">
      <c r="AC9633" s="20"/>
      <c r="AE9633" s="22"/>
      <c r="AF9633" s="22"/>
    </row>
    <row r="9634" spans="29:32" x14ac:dyDescent="0.2">
      <c r="AC9634" s="20"/>
      <c r="AE9634" s="22"/>
      <c r="AF9634" s="22"/>
    </row>
    <row r="9635" spans="29:32" x14ac:dyDescent="0.2">
      <c r="AC9635" s="20"/>
      <c r="AE9635" s="22"/>
      <c r="AF9635" s="22"/>
    </row>
    <row r="9636" spans="29:32" x14ac:dyDescent="0.2">
      <c r="AC9636" s="20"/>
      <c r="AE9636" s="22"/>
      <c r="AF9636" s="22"/>
    </row>
    <row r="9637" spans="29:32" x14ac:dyDescent="0.2">
      <c r="AC9637" s="20"/>
      <c r="AE9637" s="22"/>
      <c r="AF9637" s="22"/>
    </row>
    <row r="9638" spans="29:32" x14ac:dyDescent="0.2">
      <c r="AC9638" s="20"/>
      <c r="AE9638" s="22"/>
      <c r="AF9638" s="22"/>
    </row>
    <row r="9639" spans="29:32" x14ac:dyDescent="0.2">
      <c r="AC9639" s="20"/>
      <c r="AE9639" s="22"/>
      <c r="AF9639" s="22"/>
    </row>
    <row r="9640" spans="29:32" x14ac:dyDescent="0.2">
      <c r="AC9640" s="20"/>
      <c r="AE9640" s="22"/>
      <c r="AF9640" s="22"/>
    </row>
    <row r="9641" spans="29:32" x14ac:dyDescent="0.2">
      <c r="AC9641" s="20"/>
      <c r="AE9641" s="22"/>
      <c r="AF9641" s="22"/>
    </row>
    <row r="9642" spans="29:32" x14ac:dyDescent="0.2">
      <c r="AC9642" s="20"/>
      <c r="AE9642" s="22"/>
      <c r="AF9642" s="22"/>
    </row>
    <row r="9643" spans="29:32" x14ac:dyDescent="0.2">
      <c r="AC9643" s="20"/>
      <c r="AE9643" s="22"/>
      <c r="AF9643" s="22"/>
    </row>
    <row r="9644" spans="29:32" x14ac:dyDescent="0.2">
      <c r="AC9644" s="20"/>
      <c r="AE9644" s="22"/>
      <c r="AF9644" s="22"/>
    </row>
    <row r="9645" spans="29:32" x14ac:dyDescent="0.2">
      <c r="AC9645" s="20"/>
      <c r="AE9645" s="22"/>
      <c r="AF9645" s="22"/>
    </row>
    <row r="9646" spans="29:32" x14ac:dyDescent="0.2">
      <c r="AC9646" s="20"/>
      <c r="AE9646" s="22"/>
      <c r="AF9646" s="22"/>
    </row>
    <row r="9647" spans="29:32" x14ac:dyDescent="0.2">
      <c r="AC9647" s="20"/>
      <c r="AE9647" s="22"/>
      <c r="AF9647" s="22"/>
    </row>
    <row r="9648" spans="29:32" x14ac:dyDescent="0.2">
      <c r="AC9648" s="20"/>
      <c r="AE9648" s="22"/>
      <c r="AF9648" s="22"/>
    </row>
    <row r="9649" spans="29:32" x14ac:dyDescent="0.2">
      <c r="AC9649" s="20"/>
      <c r="AE9649" s="22"/>
      <c r="AF9649" s="22"/>
    </row>
    <row r="9650" spans="29:32" x14ac:dyDescent="0.2">
      <c r="AC9650" s="20"/>
      <c r="AE9650" s="22"/>
      <c r="AF9650" s="22"/>
    </row>
    <row r="9651" spans="29:32" x14ac:dyDescent="0.2">
      <c r="AC9651" s="20"/>
      <c r="AE9651" s="22"/>
      <c r="AF9651" s="22"/>
    </row>
    <row r="9652" spans="29:32" x14ac:dyDescent="0.2">
      <c r="AC9652" s="20"/>
      <c r="AE9652" s="22"/>
      <c r="AF9652" s="22"/>
    </row>
    <row r="9653" spans="29:32" x14ac:dyDescent="0.2">
      <c r="AC9653" s="20"/>
      <c r="AE9653" s="22"/>
      <c r="AF9653" s="22"/>
    </row>
    <row r="9654" spans="29:32" x14ac:dyDescent="0.2">
      <c r="AC9654" s="20"/>
      <c r="AE9654" s="22"/>
      <c r="AF9654" s="22"/>
    </row>
    <row r="9655" spans="29:32" x14ac:dyDescent="0.2">
      <c r="AC9655" s="20"/>
      <c r="AE9655" s="22"/>
      <c r="AF9655" s="22"/>
    </row>
    <row r="9656" spans="29:32" x14ac:dyDescent="0.2">
      <c r="AC9656" s="20"/>
      <c r="AE9656" s="22"/>
      <c r="AF9656" s="22"/>
    </row>
    <row r="9657" spans="29:32" x14ac:dyDescent="0.2">
      <c r="AC9657" s="20"/>
      <c r="AE9657" s="22"/>
      <c r="AF9657" s="22"/>
    </row>
    <row r="9658" spans="29:32" x14ac:dyDescent="0.2">
      <c r="AC9658" s="20"/>
      <c r="AE9658" s="22"/>
      <c r="AF9658" s="22"/>
    </row>
    <row r="9659" spans="29:32" x14ac:dyDescent="0.2">
      <c r="AC9659" s="20"/>
      <c r="AE9659" s="22"/>
      <c r="AF9659" s="22"/>
    </row>
    <row r="9660" spans="29:32" x14ac:dyDescent="0.2">
      <c r="AC9660" s="20"/>
      <c r="AE9660" s="22"/>
      <c r="AF9660" s="22"/>
    </row>
    <row r="9661" spans="29:32" x14ac:dyDescent="0.2">
      <c r="AC9661" s="20"/>
      <c r="AE9661" s="22"/>
      <c r="AF9661" s="22"/>
    </row>
    <row r="9662" spans="29:32" x14ac:dyDescent="0.2">
      <c r="AC9662" s="20"/>
      <c r="AE9662" s="22"/>
      <c r="AF9662" s="22"/>
    </row>
    <row r="9663" spans="29:32" x14ac:dyDescent="0.2">
      <c r="AC9663" s="20"/>
      <c r="AE9663" s="22"/>
      <c r="AF9663" s="22"/>
    </row>
    <row r="9664" spans="29:32" x14ac:dyDescent="0.2">
      <c r="AC9664" s="20"/>
      <c r="AE9664" s="22"/>
      <c r="AF9664" s="22"/>
    </row>
    <row r="9665" spans="29:32" x14ac:dyDescent="0.2">
      <c r="AC9665" s="20"/>
      <c r="AE9665" s="22"/>
      <c r="AF9665" s="22"/>
    </row>
    <row r="9666" spans="29:32" x14ac:dyDescent="0.2">
      <c r="AC9666" s="20"/>
      <c r="AE9666" s="22"/>
      <c r="AF9666" s="22"/>
    </row>
    <row r="9667" spans="29:32" x14ac:dyDescent="0.2">
      <c r="AC9667" s="20"/>
      <c r="AE9667" s="22"/>
      <c r="AF9667" s="22"/>
    </row>
    <row r="9668" spans="29:32" x14ac:dyDescent="0.2">
      <c r="AC9668" s="20"/>
      <c r="AE9668" s="22"/>
      <c r="AF9668" s="22"/>
    </row>
    <row r="9669" spans="29:32" x14ac:dyDescent="0.2">
      <c r="AC9669" s="20"/>
      <c r="AE9669" s="22"/>
      <c r="AF9669" s="22"/>
    </row>
    <row r="9670" spans="29:32" x14ac:dyDescent="0.2">
      <c r="AC9670" s="20"/>
      <c r="AE9670" s="22"/>
      <c r="AF9670" s="22"/>
    </row>
    <row r="9671" spans="29:32" x14ac:dyDescent="0.2">
      <c r="AC9671" s="20"/>
      <c r="AE9671" s="22"/>
      <c r="AF9671" s="22"/>
    </row>
    <row r="9672" spans="29:32" x14ac:dyDescent="0.2">
      <c r="AC9672" s="20"/>
      <c r="AE9672" s="22"/>
      <c r="AF9672" s="22"/>
    </row>
    <row r="9673" spans="29:32" x14ac:dyDescent="0.2">
      <c r="AC9673" s="20"/>
      <c r="AE9673" s="22"/>
      <c r="AF9673" s="22"/>
    </row>
    <row r="9674" spans="29:32" x14ac:dyDescent="0.2">
      <c r="AC9674" s="20"/>
      <c r="AE9674" s="22"/>
      <c r="AF9674" s="22"/>
    </row>
    <row r="9675" spans="29:32" x14ac:dyDescent="0.2">
      <c r="AC9675" s="20"/>
      <c r="AE9675" s="22"/>
      <c r="AF9675" s="22"/>
    </row>
    <row r="9676" spans="29:32" x14ac:dyDescent="0.2">
      <c r="AC9676" s="20"/>
      <c r="AE9676" s="22"/>
      <c r="AF9676" s="22"/>
    </row>
    <row r="9677" spans="29:32" x14ac:dyDescent="0.2">
      <c r="AC9677" s="20"/>
      <c r="AE9677" s="22"/>
      <c r="AF9677" s="22"/>
    </row>
    <row r="9678" spans="29:32" x14ac:dyDescent="0.2">
      <c r="AC9678" s="20"/>
      <c r="AE9678" s="22"/>
      <c r="AF9678" s="22"/>
    </row>
    <row r="9679" spans="29:32" x14ac:dyDescent="0.2">
      <c r="AC9679" s="20"/>
      <c r="AE9679" s="22"/>
      <c r="AF9679" s="22"/>
    </row>
    <row r="9680" spans="29:32" x14ac:dyDescent="0.2">
      <c r="AC9680" s="20"/>
      <c r="AE9680" s="22"/>
      <c r="AF9680" s="22"/>
    </row>
    <row r="9681" spans="29:32" x14ac:dyDescent="0.2">
      <c r="AC9681" s="20"/>
      <c r="AE9681" s="22"/>
      <c r="AF9681" s="22"/>
    </row>
    <row r="9682" spans="29:32" x14ac:dyDescent="0.2">
      <c r="AC9682" s="20"/>
      <c r="AE9682" s="22"/>
      <c r="AF9682" s="22"/>
    </row>
    <row r="9683" spans="29:32" x14ac:dyDescent="0.2">
      <c r="AC9683" s="20"/>
      <c r="AE9683" s="22"/>
      <c r="AF9683" s="22"/>
    </row>
    <row r="9684" spans="29:32" x14ac:dyDescent="0.2">
      <c r="AC9684" s="20"/>
      <c r="AE9684" s="22"/>
      <c r="AF9684" s="22"/>
    </row>
    <row r="9685" spans="29:32" x14ac:dyDescent="0.2">
      <c r="AC9685" s="20"/>
      <c r="AE9685" s="22"/>
      <c r="AF9685" s="22"/>
    </row>
    <row r="9686" spans="29:32" x14ac:dyDescent="0.2">
      <c r="AC9686" s="20"/>
      <c r="AE9686" s="22"/>
      <c r="AF9686" s="22"/>
    </row>
    <row r="9687" spans="29:32" x14ac:dyDescent="0.2">
      <c r="AC9687" s="20"/>
      <c r="AE9687" s="22"/>
      <c r="AF9687" s="22"/>
    </row>
    <row r="9688" spans="29:32" x14ac:dyDescent="0.2">
      <c r="AC9688" s="20"/>
      <c r="AE9688" s="22"/>
      <c r="AF9688" s="22"/>
    </row>
    <row r="9689" spans="29:32" x14ac:dyDescent="0.2">
      <c r="AC9689" s="20"/>
      <c r="AE9689" s="22"/>
      <c r="AF9689" s="22"/>
    </row>
    <row r="9690" spans="29:32" x14ac:dyDescent="0.2">
      <c r="AC9690" s="20"/>
      <c r="AE9690" s="22"/>
      <c r="AF9690" s="22"/>
    </row>
    <row r="9691" spans="29:32" x14ac:dyDescent="0.2">
      <c r="AC9691" s="20"/>
      <c r="AE9691" s="22"/>
      <c r="AF9691" s="22"/>
    </row>
    <row r="9692" spans="29:32" x14ac:dyDescent="0.2">
      <c r="AC9692" s="20"/>
      <c r="AE9692" s="22"/>
      <c r="AF9692" s="22"/>
    </row>
    <row r="9693" spans="29:32" x14ac:dyDescent="0.2">
      <c r="AC9693" s="20"/>
      <c r="AE9693" s="22"/>
      <c r="AF9693" s="22"/>
    </row>
    <row r="9694" spans="29:32" x14ac:dyDescent="0.2">
      <c r="AC9694" s="20"/>
      <c r="AE9694" s="22"/>
      <c r="AF9694" s="22"/>
    </row>
    <row r="9695" spans="29:32" x14ac:dyDescent="0.2">
      <c r="AC9695" s="20"/>
      <c r="AE9695" s="22"/>
      <c r="AF9695" s="22"/>
    </row>
    <row r="9696" spans="29:32" x14ac:dyDescent="0.2">
      <c r="AC9696" s="20"/>
      <c r="AE9696" s="22"/>
      <c r="AF9696" s="22"/>
    </row>
    <row r="9697" spans="29:32" x14ac:dyDescent="0.2">
      <c r="AC9697" s="20"/>
      <c r="AE9697" s="22"/>
      <c r="AF9697" s="22"/>
    </row>
    <row r="9698" spans="29:32" x14ac:dyDescent="0.2">
      <c r="AC9698" s="20"/>
      <c r="AE9698" s="22"/>
      <c r="AF9698" s="22"/>
    </row>
    <row r="9699" spans="29:32" x14ac:dyDescent="0.2">
      <c r="AC9699" s="20"/>
      <c r="AE9699" s="22"/>
      <c r="AF9699" s="22"/>
    </row>
    <row r="9700" spans="29:32" x14ac:dyDescent="0.2">
      <c r="AC9700" s="20"/>
      <c r="AE9700" s="22"/>
      <c r="AF9700" s="22"/>
    </row>
    <row r="9701" spans="29:32" x14ac:dyDescent="0.2">
      <c r="AC9701" s="20"/>
      <c r="AE9701" s="22"/>
      <c r="AF9701" s="22"/>
    </row>
    <row r="9702" spans="29:32" x14ac:dyDescent="0.2">
      <c r="AC9702" s="20"/>
      <c r="AE9702" s="22"/>
      <c r="AF9702" s="22"/>
    </row>
    <row r="9703" spans="29:32" x14ac:dyDescent="0.2">
      <c r="AC9703" s="20"/>
      <c r="AE9703" s="22"/>
      <c r="AF9703" s="22"/>
    </row>
    <row r="9704" spans="29:32" x14ac:dyDescent="0.2">
      <c r="AC9704" s="20"/>
      <c r="AE9704" s="22"/>
      <c r="AF9704" s="22"/>
    </row>
    <row r="9705" spans="29:32" x14ac:dyDescent="0.2">
      <c r="AC9705" s="20"/>
      <c r="AE9705" s="22"/>
      <c r="AF9705" s="22"/>
    </row>
    <row r="9706" spans="29:32" x14ac:dyDescent="0.2">
      <c r="AC9706" s="20"/>
      <c r="AE9706" s="22"/>
      <c r="AF9706" s="22"/>
    </row>
    <row r="9707" spans="29:32" x14ac:dyDescent="0.2">
      <c r="AC9707" s="20"/>
      <c r="AE9707" s="22"/>
      <c r="AF9707" s="22"/>
    </row>
    <row r="9708" spans="29:32" x14ac:dyDescent="0.2">
      <c r="AC9708" s="20"/>
      <c r="AE9708" s="22"/>
      <c r="AF9708" s="22"/>
    </row>
    <row r="9709" spans="29:32" x14ac:dyDescent="0.2">
      <c r="AC9709" s="20"/>
      <c r="AE9709" s="22"/>
      <c r="AF9709" s="22"/>
    </row>
    <row r="9710" spans="29:32" x14ac:dyDescent="0.2">
      <c r="AC9710" s="20"/>
      <c r="AE9710" s="22"/>
      <c r="AF9710" s="22"/>
    </row>
    <row r="9711" spans="29:32" x14ac:dyDescent="0.2">
      <c r="AC9711" s="20"/>
      <c r="AE9711" s="22"/>
      <c r="AF9711" s="22"/>
    </row>
    <row r="9712" spans="29:32" x14ac:dyDescent="0.2">
      <c r="AC9712" s="20"/>
      <c r="AE9712" s="22"/>
      <c r="AF9712" s="22"/>
    </row>
    <row r="9713" spans="29:32" x14ac:dyDescent="0.2">
      <c r="AC9713" s="20"/>
      <c r="AE9713" s="22"/>
      <c r="AF9713" s="22"/>
    </row>
    <row r="9714" spans="29:32" x14ac:dyDescent="0.2">
      <c r="AC9714" s="20"/>
      <c r="AE9714" s="22"/>
      <c r="AF9714" s="22"/>
    </row>
    <row r="9715" spans="29:32" x14ac:dyDescent="0.2">
      <c r="AC9715" s="20"/>
      <c r="AE9715" s="22"/>
      <c r="AF9715" s="22"/>
    </row>
    <row r="9716" spans="29:32" x14ac:dyDescent="0.2">
      <c r="AC9716" s="20"/>
      <c r="AE9716" s="22"/>
      <c r="AF9716" s="22"/>
    </row>
    <row r="9717" spans="29:32" x14ac:dyDescent="0.2">
      <c r="AC9717" s="20"/>
      <c r="AE9717" s="22"/>
      <c r="AF9717" s="22"/>
    </row>
    <row r="9718" spans="29:32" x14ac:dyDescent="0.2">
      <c r="AC9718" s="20"/>
      <c r="AE9718" s="22"/>
      <c r="AF9718" s="22"/>
    </row>
    <row r="9719" spans="29:32" x14ac:dyDescent="0.2">
      <c r="AC9719" s="20"/>
      <c r="AE9719" s="22"/>
      <c r="AF9719" s="22"/>
    </row>
    <row r="9720" spans="29:32" x14ac:dyDescent="0.2">
      <c r="AC9720" s="20"/>
      <c r="AE9720" s="22"/>
      <c r="AF9720" s="22"/>
    </row>
    <row r="9721" spans="29:32" x14ac:dyDescent="0.2">
      <c r="AC9721" s="20"/>
      <c r="AE9721" s="22"/>
      <c r="AF9721" s="22"/>
    </row>
    <row r="9722" spans="29:32" x14ac:dyDescent="0.2">
      <c r="AC9722" s="20"/>
      <c r="AE9722" s="22"/>
      <c r="AF9722" s="22"/>
    </row>
    <row r="9723" spans="29:32" x14ac:dyDescent="0.2">
      <c r="AC9723" s="20"/>
      <c r="AE9723" s="22"/>
      <c r="AF9723" s="22"/>
    </row>
    <row r="9724" spans="29:32" x14ac:dyDescent="0.2">
      <c r="AC9724" s="20"/>
      <c r="AE9724" s="22"/>
      <c r="AF9724" s="22"/>
    </row>
    <row r="9725" spans="29:32" x14ac:dyDescent="0.2">
      <c r="AC9725" s="20"/>
      <c r="AE9725" s="22"/>
      <c r="AF9725" s="22"/>
    </row>
    <row r="9726" spans="29:32" x14ac:dyDescent="0.2">
      <c r="AC9726" s="20"/>
      <c r="AE9726" s="22"/>
      <c r="AF9726" s="22"/>
    </row>
    <row r="9727" spans="29:32" x14ac:dyDescent="0.2">
      <c r="AC9727" s="20"/>
      <c r="AE9727" s="22"/>
      <c r="AF9727" s="22"/>
    </row>
    <row r="9728" spans="29:32" x14ac:dyDescent="0.2">
      <c r="AC9728" s="20"/>
      <c r="AE9728" s="22"/>
      <c r="AF9728" s="22"/>
    </row>
    <row r="9729" spans="29:32" x14ac:dyDescent="0.2">
      <c r="AC9729" s="20"/>
      <c r="AE9729" s="22"/>
      <c r="AF9729" s="22"/>
    </row>
    <row r="9730" spans="29:32" x14ac:dyDescent="0.2">
      <c r="AC9730" s="20"/>
      <c r="AE9730" s="22"/>
      <c r="AF9730" s="22"/>
    </row>
    <row r="9731" spans="29:32" x14ac:dyDescent="0.2">
      <c r="AC9731" s="20"/>
      <c r="AE9731" s="22"/>
      <c r="AF9731" s="22"/>
    </row>
    <row r="9732" spans="29:32" x14ac:dyDescent="0.2">
      <c r="AC9732" s="20"/>
      <c r="AE9732" s="22"/>
      <c r="AF9732" s="22"/>
    </row>
    <row r="9733" spans="29:32" x14ac:dyDescent="0.2">
      <c r="AC9733" s="20"/>
      <c r="AE9733" s="22"/>
      <c r="AF9733" s="22"/>
    </row>
    <row r="9734" spans="29:32" x14ac:dyDescent="0.2">
      <c r="AC9734" s="20"/>
      <c r="AE9734" s="22"/>
      <c r="AF9734" s="22"/>
    </row>
    <row r="9735" spans="29:32" x14ac:dyDescent="0.2">
      <c r="AC9735" s="20"/>
      <c r="AE9735" s="22"/>
      <c r="AF9735" s="22"/>
    </row>
    <row r="9736" spans="29:32" x14ac:dyDescent="0.2">
      <c r="AC9736" s="20"/>
      <c r="AE9736" s="22"/>
      <c r="AF9736" s="22"/>
    </row>
    <row r="9737" spans="29:32" x14ac:dyDescent="0.2">
      <c r="AC9737" s="20"/>
      <c r="AE9737" s="22"/>
      <c r="AF9737" s="22"/>
    </row>
    <row r="9738" spans="29:32" x14ac:dyDescent="0.2">
      <c r="AC9738" s="20"/>
      <c r="AE9738" s="22"/>
      <c r="AF9738" s="22"/>
    </row>
    <row r="9739" spans="29:32" x14ac:dyDescent="0.2">
      <c r="AC9739" s="20"/>
      <c r="AE9739" s="22"/>
      <c r="AF9739" s="22"/>
    </row>
    <row r="9740" spans="29:32" x14ac:dyDescent="0.2">
      <c r="AC9740" s="20"/>
      <c r="AE9740" s="22"/>
      <c r="AF9740" s="22"/>
    </row>
    <row r="9741" spans="29:32" x14ac:dyDescent="0.2">
      <c r="AC9741" s="20"/>
      <c r="AE9741" s="22"/>
      <c r="AF9741" s="22"/>
    </row>
    <row r="9742" spans="29:32" x14ac:dyDescent="0.2">
      <c r="AC9742" s="20"/>
      <c r="AE9742" s="22"/>
      <c r="AF9742" s="22"/>
    </row>
    <row r="9743" spans="29:32" x14ac:dyDescent="0.2">
      <c r="AC9743" s="20"/>
      <c r="AE9743" s="22"/>
      <c r="AF9743" s="22"/>
    </row>
    <row r="9744" spans="29:32" x14ac:dyDescent="0.2">
      <c r="AC9744" s="20"/>
      <c r="AE9744" s="22"/>
      <c r="AF9744" s="22"/>
    </row>
    <row r="9745" spans="29:32" x14ac:dyDescent="0.2">
      <c r="AC9745" s="20"/>
      <c r="AE9745" s="22"/>
      <c r="AF9745" s="22"/>
    </row>
    <row r="9746" spans="29:32" x14ac:dyDescent="0.2">
      <c r="AC9746" s="20"/>
      <c r="AE9746" s="22"/>
      <c r="AF9746" s="22"/>
    </row>
    <row r="9747" spans="29:32" x14ac:dyDescent="0.2">
      <c r="AC9747" s="20"/>
      <c r="AE9747" s="22"/>
      <c r="AF9747" s="22"/>
    </row>
    <row r="9748" spans="29:32" x14ac:dyDescent="0.2">
      <c r="AC9748" s="20"/>
      <c r="AE9748" s="22"/>
      <c r="AF9748" s="22"/>
    </row>
    <row r="9749" spans="29:32" x14ac:dyDescent="0.2">
      <c r="AC9749" s="20"/>
      <c r="AE9749" s="22"/>
      <c r="AF9749" s="22"/>
    </row>
    <row r="9750" spans="29:32" x14ac:dyDescent="0.2">
      <c r="AC9750" s="20"/>
      <c r="AE9750" s="22"/>
      <c r="AF9750" s="22"/>
    </row>
    <row r="9751" spans="29:32" x14ac:dyDescent="0.2">
      <c r="AC9751" s="20"/>
      <c r="AE9751" s="22"/>
      <c r="AF9751" s="22"/>
    </row>
    <row r="9752" spans="29:32" x14ac:dyDescent="0.2">
      <c r="AC9752" s="20"/>
      <c r="AE9752" s="22"/>
      <c r="AF9752" s="22"/>
    </row>
    <row r="9753" spans="29:32" x14ac:dyDescent="0.2">
      <c r="AC9753" s="20"/>
      <c r="AE9753" s="22"/>
      <c r="AF9753" s="22"/>
    </row>
    <row r="9754" spans="29:32" x14ac:dyDescent="0.2">
      <c r="AC9754" s="20"/>
      <c r="AE9754" s="22"/>
      <c r="AF9754" s="22"/>
    </row>
    <row r="9755" spans="29:32" x14ac:dyDescent="0.2">
      <c r="AC9755" s="20"/>
      <c r="AE9755" s="22"/>
      <c r="AF9755" s="22"/>
    </row>
    <row r="9756" spans="29:32" x14ac:dyDescent="0.2">
      <c r="AC9756" s="20"/>
      <c r="AE9756" s="22"/>
      <c r="AF9756" s="22"/>
    </row>
    <row r="9757" spans="29:32" x14ac:dyDescent="0.2">
      <c r="AC9757" s="20"/>
      <c r="AE9757" s="22"/>
      <c r="AF9757" s="22"/>
    </row>
    <row r="9758" spans="29:32" x14ac:dyDescent="0.2">
      <c r="AC9758" s="20"/>
      <c r="AE9758" s="22"/>
      <c r="AF9758" s="22"/>
    </row>
    <row r="9759" spans="29:32" x14ac:dyDescent="0.2">
      <c r="AC9759" s="20"/>
      <c r="AE9759" s="22"/>
      <c r="AF9759" s="22"/>
    </row>
    <row r="9760" spans="29:32" x14ac:dyDescent="0.2">
      <c r="AC9760" s="20"/>
      <c r="AE9760" s="22"/>
      <c r="AF9760" s="22"/>
    </row>
    <row r="9761" spans="29:32" x14ac:dyDescent="0.2">
      <c r="AC9761" s="20"/>
      <c r="AE9761" s="22"/>
      <c r="AF9761" s="22"/>
    </row>
    <row r="9762" spans="29:32" x14ac:dyDescent="0.2">
      <c r="AC9762" s="20"/>
      <c r="AE9762" s="22"/>
      <c r="AF9762" s="22"/>
    </row>
    <row r="9763" spans="29:32" x14ac:dyDescent="0.2">
      <c r="AC9763" s="20"/>
      <c r="AE9763" s="22"/>
      <c r="AF9763" s="22"/>
    </row>
    <row r="9764" spans="29:32" x14ac:dyDescent="0.2">
      <c r="AC9764" s="20"/>
      <c r="AE9764" s="22"/>
      <c r="AF9764" s="22"/>
    </row>
    <row r="9765" spans="29:32" x14ac:dyDescent="0.2">
      <c r="AC9765" s="20"/>
      <c r="AE9765" s="22"/>
      <c r="AF9765" s="22"/>
    </row>
    <row r="9766" spans="29:32" x14ac:dyDescent="0.2">
      <c r="AC9766" s="20"/>
      <c r="AE9766" s="22"/>
      <c r="AF9766" s="22"/>
    </row>
    <row r="9767" spans="29:32" x14ac:dyDescent="0.2">
      <c r="AC9767" s="20"/>
      <c r="AE9767" s="22"/>
      <c r="AF9767" s="22"/>
    </row>
    <row r="9768" spans="29:32" x14ac:dyDescent="0.2">
      <c r="AC9768" s="20"/>
      <c r="AE9768" s="22"/>
      <c r="AF9768" s="22"/>
    </row>
    <row r="9769" spans="29:32" x14ac:dyDescent="0.2">
      <c r="AC9769" s="20"/>
      <c r="AE9769" s="22"/>
      <c r="AF9769" s="22"/>
    </row>
    <row r="9770" spans="29:32" x14ac:dyDescent="0.2">
      <c r="AC9770" s="20"/>
      <c r="AE9770" s="22"/>
      <c r="AF9770" s="22"/>
    </row>
    <row r="9771" spans="29:32" x14ac:dyDescent="0.2">
      <c r="AC9771" s="20"/>
      <c r="AE9771" s="22"/>
      <c r="AF9771" s="22"/>
    </row>
    <row r="9772" spans="29:32" x14ac:dyDescent="0.2">
      <c r="AC9772" s="20"/>
      <c r="AE9772" s="22"/>
      <c r="AF9772" s="22"/>
    </row>
    <row r="9773" spans="29:32" x14ac:dyDescent="0.2">
      <c r="AC9773" s="20"/>
      <c r="AE9773" s="22"/>
      <c r="AF9773" s="22"/>
    </row>
    <row r="9774" spans="29:32" x14ac:dyDescent="0.2">
      <c r="AC9774" s="20"/>
      <c r="AE9774" s="22"/>
      <c r="AF9774" s="22"/>
    </row>
    <row r="9775" spans="29:32" x14ac:dyDescent="0.2">
      <c r="AC9775" s="20"/>
      <c r="AE9775" s="22"/>
      <c r="AF9775" s="22"/>
    </row>
    <row r="9776" spans="29:32" x14ac:dyDescent="0.2">
      <c r="AC9776" s="20"/>
      <c r="AE9776" s="22"/>
      <c r="AF9776" s="22"/>
    </row>
    <row r="9777" spans="29:32" x14ac:dyDescent="0.2">
      <c r="AC9777" s="20"/>
      <c r="AE9777" s="22"/>
      <c r="AF9777" s="22"/>
    </row>
    <row r="9778" spans="29:32" x14ac:dyDescent="0.2">
      <c r="AC9778" s="20"/>
      <c r="AE9778" s="22"/>
      <c r="AF9778" s="22"/>
    </row>
    <row r="9779" spans="29:32" x14ac:dyDescent="0.2">
      <c r="AC9779" s="20"/>
      <c r="AE9779" s="22"/>
      <c r="AF9779" s="22"/>
    </row>
    <row r="9780" spans="29:32" x14ac:dyDescent="0.2">
      <c r="AC9780" s="20"/>
      <c r="AE9780" s="22"/>
      <c r="AF9780" s="22"/>
    </row>
    <row r="9781" spans="29:32" x14ac:dyDescent="0.2">
      <c r="AC9781" s="20"/>
      <c r="AE9781" s="22"/>
      <c r="AF9781" s="22"/>
    </row>
    <row r="9782" spans="29:32" x14ac:dyDescent="0.2">
      <c r="AC9782" s="20"/>
      <c r="AE9782" s="22"/>
      <c r="AF9782" s="22"/>
    </row>
    <row r="9783" spans="29:32" x14ac:dyDescent="0.2">
      <c r="AC9783" s="20"/>
      <c r="AE9783" s="22"/>
      <c r="AF9783" s="22"/>
    </row>
    <row r="9784" spans="29:32" x14ac:dyDescent="0.2">
      <c r="AC9784" s="20"/>
      <c r="AE9784" s="22"/>
      <c r="AF9784" s="22"/>
    </row>
    <row r="9785" spans="29:32" x14ac:dyDescent="0.2">
      <c r="AC9785" s="20"/>
      <c r="AE9785" s="22"/>
      <c r="AF9785" s="22"/>
    </row>
    <row r="9786" spans="29:32" x14ac:dyDescent="0.2">
      <c r="AC9786" s="20"/>
      <c r="AE9786" s="22"/>
      <c r="AF9786" s="22"/>
    </row>
    <row r="9787" spans="29:32" x14ac:dyDescent="0.2">
      <c r="AC9787" s="20"/>
      <c r="AE9787" s="22"/>
      <c r="AF9787" s="22"/>
    </row>
    <row r="9788" spans="29:32" x14ac:dyDescent="0.2">
      <c r="AC9788" s="20"/>
      <c r="AE9788" s="22"/>
      <c r="AF9788" s="22"/>
    </row>
    <row r="9789" spans="29:32" x14ac:dyDescent="0.2">
      <c r="AC9789" s="20"/>
      <c r="AE9789" s="22"/>
      <c r="AF9789" s="22"/>
    </row>
    <row r="9790" spans="29:32" x14ac:dyDescent="0.2">
      <c r="AC9790" s="20"/>
      <c r="AE9790" s="22"/>
      <c r="AF9790" s="22"/>
    </row>
    <row r="9791" spans="29:32" x14ac:dyDescent="0.2">
      <c r="AC9791" s="20"/>
      <c r="AE9791" s="22"/>
      <c r="AF9791" s="22"/>
    </row>
    <row r="9792" spans="29:32" x14ac:dyDescent="0.2">
      <c r="AC9792" s="20"/>
      <c r="AE9792" s="22"/>
      <c r="AF9792" s="22"/>
    </row>
    <row r="9793" spans="29:32" x14ac:dyDescent="0.2">
      <c r="AC9793" s="20"/>
      <c r="AE9793" s="22"/>
      <c r="AF9793" s="22"/>
    </row>
    <row r="9794" spans="29:32" x14ac:dyDescent="0.2">
      <c r="AC9794" s="20"/>
      <c r="AE9794" s="22"/>
      <c r="AF9794" s="22"/>
    </row>
    <row r="9795" spans="29:32" x14ac:dyDescent="0.2">
      <c r="AC9795" s="20"/>
      <c r="AE9795" s="22"/>
      <c r="AF9795" s="22"/>
    </row>
    <row r="9796" spans="29:32" x14ac:dyDescent="0.2">
      <c r="AC9796" s="20"/>
      <c r="AE9796" s="22"/>
      <c r="AF9796" s="22"/>
    </row>
    <row r="9797" spans="29:32" x14ac:dyDescent="0.2">
      <c r="AC9797" s="20"/>
      <c r="AE9797" s="22"/>
      <c r="AF9797" s="22"/>
    </row>
    <row r="9798" spans="29:32" x14ac:dyDescent="0.2">
      <c r="AC9798" s="20"/>
      <c r="AE9798" s="22"/>
      <c r="AF9798" s="22"/>
    </row>
    <row r="9799" spans="29:32" x14ac:dyDescent="0.2">
      <c r="AC9799" s="20"/>
      <c r="AE9799" s="22"/>
      <c r="AF9799" s="22"/>
    </row>
    <row r="9800" spans="29:32" x14ac:dyDescent="0.2">
      <c r="AC9800" s="20"/>
      <c r="AE9800" s="22"/>
      <c r="AF9800" s="22"/>
    </row>
    <row r="9801" spans="29:32" x14ac:dyDescent="0.2">
      <c r="AC9801" s="20"/>
      <c r="AE9801" s="22"/>
      <c r="AF9801" s="22"/>
    </row>
    <row r="9802" spans="29:32" x14ac:dyDescent="0.2">
      <c r="AC9802" s="20"/>
      <c r="AE9802" s="22"/>
      <c r="AF9802" s="22"/>
    </row>
    <row r="9803" spans="29:32" x14ac:dyDescent="0.2">
      <c r="AC9803" s="20"/>
      <c r="AE9803" s="22"/>
      <c r="AF9803" s="22"/>
    </row>
    <row r="9804" spans="29:32" x14ac:dyDescent="0.2">
      <c r="AC9804" s="20"/>
      <c r="AE9804" s="22"/>
      <c r="AF9804" s="22"/>
    </row>
    <row r="9805" spans="29:32" x14ac:dyDescent="0.2">
      <c r="AC9805" s="20"/>
      <c r="AE9805" s="22"/>
      <c r="AF9805" s="22"/>
    </row>
    <row r="9806" spans="29:32" x14ac:dyDescent="0.2">
      <c r="AC9806" s="20"/>
      <c r="AE9806" s="22"/>
      <c r="AF9806" s="22"/>
    </row>
    <row r="9807" spans="29:32" x14ac:dyDescent="0.2">
      <c r="AC9807" s="20"/>
      <c r="AE9807" s="22"/>
      <c r="AF9807" s="22"/>
    </row>
    <row r="9808" spans="29:32" x14ac:dyDescent="0.2">
      <c r="AC9808" s="20"/>
      <c r="AE9808" s="22"/>
      <c r="AF9808" s="22"/>
    </row>
    <row r="9809" spans="29:32" x14ac:dyDescent="0.2">
      <c r="AC9809" s="20"/>
      <c r="AE9809" s="22"/>
      <c r="AF9809" s="22"/>
    </row>
    <row r="9810" spans="29:32" x14ac:dyDescent="0.2">
      <c r="AC9810" s="20"/>
      <c r="AE9810" s="22"/>
      <c r="AF9810" s="22"/>
    </row>
    <row r="9811" spans="29:32" x14ac:dyDescent="0.2">
      <c r="AC9811" s="20"/>
      <c r="AE9811" s="22"/>
      <c r="AF9811" s="22"/>
    </row>
    <row r="9812" spans="29:32" x14ac:dyDescent="0.2">
      <c r="AC9812" s="20"/>
      <c r="AE9812" s="22"/>
      <c r="AF9812" s="22"/>
    </row>
    <row r="9813" spans="29:32" x14ac:dyDescent="0.2">
      <c r="AC9813" s="20"/>
      <c r="AE9813" s="22"/>
      <c r="AF9813" s="22"/>
    </row>
    <row r="9814" spans="29:32" x14ac:dyDescent="0.2">
      <c r="AC9814" s="20"/>
      <c r="AE9814" s="22"/>
      <c r="AF9814" s="22"/>
    </row>
    <row r="9815" spans="29:32" x14ac:dyDescent="0.2">
      <c r="AC9815" s="20"/>
      <c r="AE9815" s="22"/>
      <c r="AF9815" s="22"/>
    </row>
    <row r="9816" spans="29:32" x14ac:dyDescent="0.2">
      <c r="AC9816" s="20"/>
      <c r="AE9816" s="22"/>
      <c r="AF9816" s="22"/>
    </row>
    <row r="9817" spans="29:32" x14ac:dyDescent="0.2">
      <c r="AC9817" s="20"/>
      <c r="AE9817" s="22"/>
      <c r="AF9817" s="22"/>
    </row>
    <row r="9818" spans="29:32" x14ac:dyDescent="0.2">
      <c r="AC9818" s="20"/>
      <c r="AE9818" s="22"/>
      <c r="AF9818" s="22"/>
    </row>
    <row r="9819" spans="29:32" x14ac:dyDescent="0.2">
      <c r="AC9819" s="20"/>
      <c r="AE9819" s="22"/>
      <c r="AF9819" s="22"/>
    </row>
    <row r="9820" spans="29:32" x14ac:dyDescent="0.2">
      <c r="AC9820" s="20"/>
      <c r="AE9820" s="22"/>
      <c r="AF9820" s="22"/>
    </row>
    <row r="9821" spans="29:32" x14ac:dyDescent="0.2">
      <c r="AC9821" s="20"/>
      <c r="AE9821" s="22"/>
      <c r="AF9821" s="22"/>
    </row>
    <row r="9822" spans="29:32" x14ac:dyDescent="0.2">
      <c r="AC9822" s="20"/>
      <c r="AE9822" s="22"/>
      <c r="AF9822" s="22"/>
    </row>
    <row r="9823" spans="29:32" x14ac:dyDescent="0.2">
      <c r="AC9823" s="20"/>
      <c r="AE9823" s="22"/>
      <c r="AF9823" s="22"/>
    </row>
    <row r="9824" spans="29:32" x14ac:dyDescent="0.2">
      <c r="AC9824" s="20"/>
      <c r="AE9824" s="22"/>
      <c r="AF9824" s="22"/>
    </row>
    <row r="9825" spans="29:32" x14ac:dyDescent="0.2">
      <c r="AC9825" s="20"/>
      <c r="AE9825" s="22"/>
      <c r="AF9825" s="22"/>
    </row>
    <row r="9826" spans="29:32" x14ac:dyDescent="0.2">
      <c r="AC9826" s="20"/>
      <c r="AE9826" s="22"/>
      <c r="AF9826" s="22"/>
    </row>
    <row r="9827" spans="29:32" x14ac:dyDescent="0.2">
      <c r="AC9827" s="20"/>
      <c r="AE9827" s="22"/>
      <c r="AF9827" s="22"/>
    </row>
    <row r="9828" spans="29:32" x14ac:dyDescent="0.2">
      <c r="AC9828" s="20"/>
      <c r="AE9828" s="22"/>
      <c r="AF9828" s="22"/>
    </row>
    <row r="9829" spans="29:32" x14ac:dyDescent="0.2">
      <c r="AC9829" s="20"/>
      <c r="AE9829" s="22"/>
      <c r="AF9829" s="22"/>
    </row>
    <row r="9830" spans="29:32" x14ac:dyDescent="0.2">
      <c r="AC9830" s="20"/>
      <c r="AE9830" s="22"/>
      <c r="AF9830" s="22"/>
    </row>
    <row r="9831" spans="29:32" x14ac:dyDescent="0.2">
      <c r="AC9831" s="20"/>
      <c r="AE9831" s="22"/>
      <c r="AF9831" s="22"/>
    </row>
    <row r="9832" spans="29:32" x14ac:dyDescent="0.2">
      <c r="AC9832" s="20"/>
      <c r="AE9832" s="22"/>
      <c r="AF9832" s="22"/>
    </row>
    <row r="9833" spans="29:32" x14ac:dyDescent="0.2">
      <c r="AC9833" s="20"/>
      <c r="AE9833" s="22"/>
      <c r="AF9833" s="22"/>
    </row>
    <row r="9834" spans="29:32" x14ac:dyDescent="0.2">
      <c r="AC9834" s="20"/>
      <c r="AE9834" s="22"/>
      <c r="AF9834" s="22"/>
    </row>
    <row r="9835" spans="29:32" x14ac:dyDescent="0.2">
      <c r="AC9835" s="20"/>
      <c r="AE9835" s="22"/>
      <c r="AF9835" s="22"/>
    </row>
    <row r="9836" spans="29:32" x14ac:dyDescent="0.2">
      <c r="AC9836" s="20"/>
      <c r="AE9836" s="22"/>
      <c r="AF9836" s="22"/>
    </row>
    <row r="9837" spans="29:32" x14ac:dyDescent="0.2">
      <c r="AC9837" s="20"/>
      <c r="AE9837" s="22"/>
      <c r="AF9837" s="22"/>
    </row>
    <row r="9838" spans="29:32" x14ac:dyDescent="0.2">
      <c r="AC9838" s="20"/>
      <c r="AE9838" s="22"/>
      <c r="AF9838" s="22"/>
    </row>
    <row r="9839" spans="29:32" x14ac:dyDescent="0.2">
      <c r="AC9839" s="20"/>
      <c r="AE9839" s="22"/>
      <c r="AF9839" s="22"/>
    </row>
    <row r="9840" spans="29:32" x14ac:dyDescent="0.2">
      <c r="AC9840" s="20"/>
      <c r="AE9840" s="22"/>
      <c r="AF9840" s="22"/>
    </row>
    <row r="9841" spans="29:32" x14ac:dyDescent="0.2">
      <c r="AC9841" s="20"/>
      <c r="AE9841" s="22"/>
      <c r="AF9841" s="22"/>
    </row>
    <row r="9842" spans="29:32" x14ac:dyDescent="0.2">
      <c r="AC9842" s="20"/>
      <c r="AE9842" s="22"/>
      <c r="AF9842" s="22"/>
    </row>
    <row r="9843" spans="29:32" x14ac:dyDescent="0.2">
      <c r="AC9843" s="20"/>
      <c r="AE9843" s="22"/>
      <c r="AF9843" s="22"/>
    </row>
    <row r="9844" spans="29:32" x14ac:dyDescent="0.2">
      <c r="AC9844" s="20"/>
      <c r="AE9844" s="22"/>
      <c r="AF9844" s="22"/>
    </row>
    <row r="9845" spans="29:32" x14ac:dyDescent="0.2">
      <c r="AC9845" s="20"/>
      <c r="AE9845" s="22"/>
      <c r="AF9845" s="22"/>
    </row>
    <row r="9846" spans="29:32" x14ac:dyDescent="0.2">
      <c r="AC9846" s="20"/>
      <c r="AE9846" s="22"/>
      <c r="AF9846" s="22"/>
    </row>
    <row r="9847" spans="29:32" x14ac:dyDescent="0.2">
      <c r="AC9847" s="20"/>
      <c r="AE9847" s="22"/>
      <c r="AF9847" s="22"/>
    </row>
    <row r="9848" spans="29:32" x14ac:dyDescent="0.2">
      <c r="AC9848" s="20"/>
      <c r="AE9848" s="22"/>
      <c r="AF9848" s="22"/>
    </row>
    <row r="9849" spans="29:32" x14ac:dyDescent="0.2">
      <c r="AC9849" s="20"/>
      <c r="AE9849" s="22"/>
      <c r="AF9849" s="22"/>
    </row>
    <row r="9850" spans="29:32" x14ac:dyDescent="0.2">
      <c r="AC9850" s="20"/>
      <c r="AE9850" s="22"/>
      <c r="AF9850" s="22"/>
    </row>
    <row r="9851" spans="29:32" x14ac:dyDescent="0.2">
      <c r="AC9851" s="20"/>
      <c r="AE9851" s="22"/>
      <c r="AF9851" s="22"/>
    </row>
    <row r="9852" spans="29:32" x14ac:dyDescent="0.2">
      <c r="AC9852" s="20"/>
      <c r="AE9852" s="22"/>
      <c r="AF9852" s="22"/>
    </row>
    <row r="9853" spans="29:32" x14ac:dyDescent="0.2">
      <c r="AC9853" s="20"/>
      <c r="AE9853" s="22"/>
      <c r="AF9853" s="22"/>
    </row>
    <row r="9854" spans="29:32" x14ac:dyDescent="0.2">
      <c r="AC9854" s="20"/>
      <c r="AE9854" s="22"/>
      <c r="AF9854" s="22"/>
    </row>
    <row r="9855" spans="29:32" x14ac:dyDescent="0.2">
      <c r="AC9855" s="20"/>
      <c r="AE9855" s="22"/>
      <c r="AF9855" s="22"/>
    </row>
    <row r="9856" spans="29:32" x14ac:dyDescent="0.2">
      <c r="AC9856" s="20"/>
      <c r="AE9856" s="22"/>
      <c r="AF9856" s="22"/>
    </row>
    <row r="9857" spans="29:32" x14ac:dyDescent="0.2">
      <c r="AC9857" s="20"/>
      <c r="AE9857" s="22"/>
      <c r="AF9857" s="22"/>
    </row>
    <row r="9858" spans="29:32" x14ac:dyDescent="0.2">
      <c r="AC9858" s="20"/>
      <c r="AE9858" s="22"/>
      <c r="AF9858" s="22"/>
    </row>
    <row r="9859" spans="29:32" x14ac:dyDescent="0.2">
      <c r="AC9859" s="20"/>
      <c r="AE9859" s="22"/>
      <c r="AF9859" s="22"/>
    </row>
    <row r="9860" spans="29:32" x14ac:dyDescent="0.2">
      <c r="AC9860" s="20"/>
      <c r="AE9860" s="22"/>
      <c r="AF9860" s="22"/>
    </row>
    <row r="9861" spans="29:32" x14ac:dyDescent="0.2">
      <c r="AC9861" s="20"/>
      <c r="AE9861" s="22"/>
      <c r="AF9861" s="22"/>
    </row>
    <row r="9862" spans="29:32" x14ac:dyDescent="0.2">
      <c r="AC9862" s="20"/>
      <c r="AE9862" s="22"/>
      <c r="AF9862" s="22"/>
    </row>
    <row r="9863" spans="29:32" x14ac:dyDescent="0.2">
      <c r="AC9863" s="20"/>
      <c r="AE9863" s="22"/>
      <c r="AF9863" s="22"/>
    </row>
    <row r="9864" spans="29:32" x14ac:dyDescent="0.2">
      <c r="AC9864" s="20"/>
      <c r="AE9864" s="22"/>
      <c r="AF9864" s="22"/>
    </row>
    <row r="9865" spans="29:32" x14ac:dyDescent="0.2">
      <c r="AC9865" s="20"/>
      <c r="AE9865" s="22"/>
      <c r="AF9865" s="22"/>
    </row>
    <row r="9866" spans="29:32" x14ac:dyDescent="0.2">
      <c r="AC9866" s="20"/>
      <c r="AE9866" s="22"/>
      <c r="AF9866" s="22"/>
    </row>
    <row r="9867" spans="29:32" x14ac:dyDescent="0.2">
      <c r="AC9867" s="20"/>
      <c r="AE9867" s="22"/>
      <c r="AF9867" s="22"/>
    </row>
    <row r="9868" spans="29:32" x14ac:dyDescent="0.2">
      <c r="AC9868" s="20"/>
      <c r="AE9868" s="22"/>
      <c r="AF9868" s="22"/>
    </row>
    <row r="9869" spans="29:32" x14ac:dyDescent="0.2">
      <c r="AC9869" s="20"/>
      <c r="AE9869" s="22"/>
      <c r="AF9869" s="22"/>
    </row>
    <row r="9870" spans="29:32" x14ac:dyDescent="0.2">
      <c r="AC9870" s="20"/>
      <c r="AE9870" s="22"/>
      <c r="AF9870" s="22"/>
    </row>
    <row r="9871" spans="29:32" x14ac:dyDescent="0.2">
      <c r="AC9871" s="20"/>
      <c r="AE9871" s="22"/>
      <c r="AF9871" s="22"/>
    </row>
    <row r="9872" spans="29:32" x14ac:dyDescent="0.2">
      <c r="AC9872" s="20"/>
      <c r="AE9872" s="22"/>
      <c r="AF9872" s="22"/>
    </row>
    <row r="9873" spans="29:32" x14ac:dyDescent="0.2">
      <c r="AC9873" s="20"/>
      <c r="AE9873" s="22"/>
      <c r="AF9873" s="22"/>
    </row>
    <row r="9874" spans="29:32" x14ac:dyDescent="0.2">
      <c r="AC9874" s="20"/>
      <c r="AE9874" s="22"/>
      <c r="AF9874" s="22"/>
    </row>
    <row r="9875" spans="29:32" x14ac:dyDescent="0.2">
      <c r="AC9875" s="20"/>
      <c r="AE9875" s="22"/>
      <c r="AF9875" s="22"/>
    </row>
    <row r="9876" spans="29:32" x14ac:dyDescent="0.2">
      <c r="AC9876" s="20"/>
      <c r="AE9876" s="22"/>
      <c r="AF9876" s="22"/>
    </row>
    <row r="9877" spans="29:32" x14ac:dyDescent="0.2">
      <c r="AC9877" s="20"/>
      <c r="AE9877" s="22"/>
      <c r="AF9877" s="22"/>
    </row>
    <row r="9878" spans="29:32" x14ac:dyDescent="0.2">
      <c r="AC9878" s="20"/>
      <c r="AE9878" s="22"/>
      <c r="AF9878" s="22"/>
    </row>
    <row r="9879" spans="29:32" x14ac:dyDescent="0.2">
      <c r="AC9879" s="20"/>
      <c r="AE9879" s="22"/>
      <c r="AF9879" s="22"/>
    </row>
    <row r="9880" spans="29:32" x14ac:dyDescent="0.2">
      <c r="AC9880" s="20"/>
      <c r="AE9880" s="22"/>
      <c r="AF9880" s="22"/>
    </row>
    <row r="9881" spans="29:32" x14ac:dyDescent="0.2">
      <c r="AC9881" s="20"/>
      <c r="AE9881" s="22"/>
      <c r="AF9881" s="22"/>
    </row>
    <row r="9882" spans="29:32" x14ac:dyDescent="0.2">
      <c r="AC9882" s="20"/>
      <c r="AE9882" s="22"/>
      <c r="AF9882" s="22"/>
    </row>
    <row r="9883" spans="29:32" x14ac:dyDescent="0.2">
      <c r="AC9883" s="20"/>
      <c r="AE9883" s="22"/>
      <c r="AF9883" s="22"/>
    </row>
    <row r="9884" spans="29:32" x14ac:dyDescent="0.2">
      <c r="AC9884" s="20"/>
      <c r="AE9884" s="22"/>
      <c r="AF9884" s="22"/>
    </row>
    <row r="9885" spans="29:32" x14ac:dyDescent="0.2">
      <c r="AC9885" s="20"/>
      <c r="AE9885" s="22"/>
      <c r="AF9885" s="22"/>
    </row>
    <row r="9886" spans="29:32" x14ac:dyDescent="0.2">
      <c r="AC9886" s="20"/>
      <c r="AE9886" s="22"/>
      <c r="AF9886" s="22"/>
    </row>
    <row r="9887" spans="29:32" x14ac:dyDescent="0.2">
      <c r="AC9887" s="20"/>
      <c r="AE9887" s="22"/>
      <c r="AF9887" s="22"/>
    </row>
    <row r="9888" spans="29:32" x14ac:dyDescent="0.2">
      <c r="AC9888" s="20"/>
      <c r="AE9888" s="22"/>
      <c r="AF9888" s="22"/>
    </row>
    <row r="9889" spans="29:32" x14ac:dyDescent="0.2">
      <c r="AC9889" s="20"/>
      <c r="AE9889" s="22"/>
      <c r="AF9889" s="22"/>
    </row>
    <row r="9890" spans="29:32" x14ac:dyDescent="0.2">
      <c r="AC9890" s="20"/>
      <c r="AE9890" s="22"/>
      <c r="AF9890" s="22"/>
    </row>
    <row r="9891" spans="29:32" x14ac:dyDescent="0.2">
      <c r="AC9891" s="20"/>
      <c r="AE9891" s="22"/>
      <c r="AF9891" s="22"/>
    </row>
    <row r="9892" spans="29:32" x14ac:dyDescent="0.2">
      <c r="AC9892" s="20"/>
      <c r="AE9892" s="22"/>
      <c r="AF9892" s="22"/>
    </row>
    <row r="9893" spans="29:32" x14ac:dyDescent="0.2">
      <c r="AC9893" s="20"/>
      <c r="AE9893" s="22"/>
      <c r="AF9893" s="22"/>
    </row>
    <row r="9894" spans="29:32" x14ac:dyDescent="0.2">
      <c r="AC9894" s="20"/>
      <c r="AE9894" s="22"/>
      <c r="AF9894" s="22"/>
    </row>
    <row r="9895" spans="29:32" x14ac:dyDescent="0.2">
      <c r="AC9895" s="20"/>
      <c r="AE9895" s="22"/>
      <c r="AF9895" s="22"/>
    </row>
    <row r="9896" spans="29:32" x14ac:dyDescent="0.2">
      <c r="AC9896" s="20"/>
      <c r="AE9896" s="22"/>
      <c r="AF9896" s="22"/>
    </row>
    <row r="9897" spans="29:32" x14ac:dyDescent="0.2">
      <c r="AC9897" s="20"/>
      <c r="AE9897" s="22"/>
      <c r="AF9897" s="22"/>
    </row>
    <row r="9898" spans="29:32" x14ac:dyDescent="0.2">
      <c r="AC9898" s="20"/>
      <c r="AE9898" s="22"/>
      <c r="AF9898" s="22"/>
    </row>
    <row r="9899" spans="29:32" x14ac:dyDescent="0.2">
      <c r="AC9899" s="20"/>
      <c r="AE9899" s="22"/>
      <c r="AF9899" s="22"/>
    </row>
    <row r="9900" spans="29:32" x14ac:dyDescent="0.2">
      <c r="AC9900" s="20"/>
      <c r="AE9900" s="22"/>
      <c r="AF9900" s="22"/>
    </row>
    <row r="9901" spans="29:32" x14ac:dyDescent="0.2">
      <c r="AC9901" s="20"/>
      <c r="AE9901" s="22"/>
      <c r="AF9901" s="22"/>
    </row>
    <row r="9902" spans="29:32" x14ac:dyDescent="0.2">
      <c r="AC9902" s="20"/>
      <c r="AE9902" s="22"/>
      <c r="AF9902" s="22"/>
    </row>
    <row r="9903" spans="29:32" x14ac:dyDescent="0.2">
      <c r="AC9903" s="20"/>
      <c r="AE9903" s="22"/>
      <c r="AF9903" s="22"/>
    </row>
    <row r="9904" spans="29:32" x14ac:dyDescent="0.2">
      <c r="AC9904" s="20"/>
      <c r="AE9904" s="22"/>
      <c r="AF9904" s="22"/>
    </row>
    <row r="9905" spans="29:32" x14ac:dyDescent="0.2">
      <c r="AC9905" s="20"/>
      <c r="AE9905" s="22"/>
      <c r="AF9905" s="22"/>
    </row>
    <row r="9906" spans="29:32" x14ac:dyDescent="0.2">
      <c r="AC9906" s="20"/>
      <c r="AE9906" s="22"/>
      <c r="AF9906" s="22"/>
    </row>
    <row r="9907" spans="29:32" x14ac:dyDescent="0.2">
      <c r="AC9907" s="20"/>
      <c r="AE9907" s="22"/>
      <c r="AF9907" s="22"/>
    </row>
    <row r="9908" spans="29:32" x14ac:dyDescent="0.2">
      <c r="AC9908" s="20"/>
      <c r="AE9908" s="22"/>
      <c r="AF9908" s="22"/>
    </row>
    <row r="9909" spans="29:32" x14ac:dyDescent="0.2">
      <c r="AC9909" s="20"/>
      <c r="AE9909" s="22"/>
      <c r="AF9909" s="22"/>
    </row>
    <row r="9910" spans="29:32" x14ac:dyDescent="0.2">
      <c r="AC9910" s="20"/>
      <c r="AE9910" s="22"/>
      <c r="AF9910" s="22"/>
    </row>
    <row r="9911" spans="29:32" x14ac:dyDescent="0.2">
      <c r="AC9911" s="20"/>
      <c r="AE9911" s="22"/>
      <c r="AF9911" s="22"/>
    </row>
    <row r="9912" spans="29:32" x14ac:dyDescent="0.2">
      <c r="AC9912" s="20"/>
      <c r="AE9912" s="22"/>
      <c r="AF9912" s="22"/>
    </row>
    <row r="9913" spans="29:32" x14ac:dyDescent="0.2">
      <c r="AC9913" s="20"/>
      <c r="AE9913" s="22"/>
      <c r="AF9913" s="22"/>
    </row>
    <row r="9914" spans="29:32" x14ac:dyDescent="0.2">
      <c r="AC9914" s="20"/>
      <c r="AE9914" s="22"/>
      <c r="AF9914" s="22"/>
    </row>
    <row r="9915" spans="29:32" x14ac:dyDescent="0.2">
      <c r="AC9915" s="20"/>
      <c r="AE9915" s="22"/>
      <c r="AF9915" s="22"/>
    </row>
    <row r="9916" spans="29:32" x14ac:dyDescent="0.2">
      <c r="AC9916" s="20"/>
      <c r="AE9916" s="22"/>
      <c r="AF9916" s="22"/>
    </row>
    <row r="9917" spans="29:32" x14ac:dyDescent="0.2">
      <c r="AC9917" s="20"/>
      <c r="AE9917" s="22"/>
      <c r="AF9917" s="22"/>
    </row>
    <row r="9918" spans="29:32" x14ac:dyDescent="0.2">
      <c r="AC9918" s="20"/>
      <c r="AE9918" s="22"/>
      <c r="AF9918" s="22"/>
    </row>
    <row r="9919" spans="29:32" x14ac:dyDescent="0.2">
      <c r="AC9919" s="20"/>
      <c r="AE9919" s="22"/>
      <c r="AF9919" s="22"/>
    </row>
    <row r="9920" spans="29:32" x14ac:dyDescent="0.2">
      <c r="AC9920" s="20"/>
      <c r="AE9920" s="22"/>
      <c r="AF9920" s="22"/>
    </row>
    <row r="9921" spans="29:32" x14ac:dyDescent="0.2">
      <c r="AC9921" s="20"/>
      <c r="AE9921" s="22"/>
      <c r="AF9921" s="22"/>
    </row>
    <row r="9922" spans="29:32" x14ac:dyDescent="0.2">
      <c r="AC9922" s="20"/>
      <c r="AE9922" s="22"/>
      <c r="AF9922" s="22"/>
    </row>
    <row r="9923" spans="29:32" x14ac:dyDescent="0.2">
      <c r="AC9923" s="20"/>
      <c r="AE9923" s="22"/>
      <c r="AF9923" s="22"/>
    </row>
    <row r="9924" spans="29:32" x14ac:dyDescent="0.2">
      <c r="AC9924" s="20"/>
      <c r="AE9924" s="22"/>
      <c r="AF9924" s="22"/>
    </row>
    <row r="9925" spans="29:32" x14ac:dyDescent="0.2">
      <c r="AC9925" s="20"/>
      <c r="AE9925" s="22"/>
      <c r="AF9925" s="22"/>
    </row>
    <row r="9926" spans="29:32" x14ac:dyDescent="0.2">
      <c r="AC9926" s="20"/>
      <c r="AE9926" s="22"/>
      <c r="AF9926" s="22"/>
    </row>
    <row r="9927" spans="29:32" x14ac:dyDescent="0.2">
      <c r="AC9927" s="20"/>
      <c r="AE9927" s="22"/>
      <c r="AF9927" s="22"/>
    </row>
    <row r="9928" spans="29:32" x14ac:dyDescent="0.2">
      <c r="AC9928" s="20"/>
      <c r="AE9928" s="22"/>
      <c r="AF9928" s="22"/>
    </row>
    <row r="9929" spans="29:32" x14ac:dyDescent="0.2">
      <c r="AC9929" s="20"/>
      <c r="AE9929" s="22"/>
      <c r="AF9929" s="22"/>
    </row>
    <row r="9930" spans="29:32" x14ac:dyDescent="0.2">
      <c r="AC9930" s="20"/>
      <c r="AE9930" s="22"/>
      <c r="AF9930" s="22"/>
    </row>
    <row r="9931" spans="29:32" x14ac:dyDescent="0.2">
      <c r="AC9931" s="20"/>
      <c r="AE9931" s="22"/>
      <c r="AF9931" s="22"/>
    </row>
    <row r="9932" spans="29:32" x14ac:dyDescent="0.2">
      <c r="AC9932" s="20"/>
      <c r="AE9932" s="22"/>
      <c r="AF9932" s="22"/>
    </row>
    <row r="9933" spans="29:32" x14ac:dyDescent="0.2">
      <c r="AC9933" s="20"/>
      <c r="AE9933" s="22"/>
      <c r="AF9933" s="22"/>
    </row>
    <row r="9934" spans="29:32" x14ac:dyDescent="0.2">
      <c r="AC9934" s="20"/>
      <c r="AE9934" s="22"/>
      <c r="AF9934" s="22"/>
    </row>
    <row r="9935" spans="29:32" x14ac:dyDescent="0.2">
      <c r="AC9935" s="20"/>
      <c r="AE9935" s="22"/>
      <c r="AF9935" s="22"/>
    </row>
    <row r="9936" spans="29:32" x14ac:dyDescent="0.2">
      <c r="AC9936" s="20"/>
      <c r="AE9936" s="22"/>
      <c r="AF9936" s="22"/>
    </row>
    <row r="9937" spans="29:32" x14ac:dyDescent="0.2">
      <c r="AC9937" s="20"/>
      <c r="AE9937" s="22"/>
      <c r="AF9937" s="22"/>
    </row>
    <row r="9938" spans="29:32" x14ac:dyDescent="0.2">
      <c r="AC9938" s="20"/>
      <c r="AE9938" s="22"/>
      <c r="AF9938" s="22"/>
    </row>
    <row r="9939" spans="29:32" x14ac:dyDescent="0.2">
      <c r="AC9939" s="20"/>
      <c r="AE9939" s="22"/>
      <c r="AF9939" s="22"/>
    </row>
    <row r="9940" spans="29:32" x14ac:dyDescent="0.2">
      <c r="AC9940" s="20"/>
      <c r="AE9940" s="22"/>
      <c r="AF9940" s="22"/>
    </row>
    <row r="9941" spans="29:32" x14ac:dyDescent="0.2">
      <c r="AC9941" s="20"/>
      <c r="AE9941" s="22"/>
      <c r="AF9941" s="22"/>
    </row>
    <row r="9942" spans="29:32" x14ac:dyDescent="0.2">
      <c r="AC9942" s="20"/>
      <c r="AE9942" s="22"/>
      <c r="AF9942" s="22"/>
    </row>
    <row r="9943" spans="29:32" x14ac:dyDescent="0.2">
      <c r="AC9943" s="20"/>
      <c r="AE9943" s="22"/>
      <c r="AF9943" s="22"/>
    </row>
    <row r="9944" spans="29:32" x14ac:dyDescent="0.2">
      <c r="AC9944" s="20"/>
      <c r="AE9944" s="22"/>
      <c r="AF9944" s="22"/>
    </row>
    <row r="9945" spans="29:32" x14ac:dyDescent="0.2">
      <c r="AC9945" s="20"/>
      <c r="AE9945" s="22"/>
      <c r="AF9945" s="22"/>
    </row>
    <row r="9946" spans="29:32" x14ac:dyDescent="0.2">
      <c r="AC9946" s="20"/>
      <c r="AE9946" s="22"/>
      <c r="AF9946" s="22"/>
    </row>
    <row r="9947" spans="29:32" x14ac:dyDescent="0.2">
      <c r="AC9947" s="20"/>
      <c r="AE9947" s="22"/>
      <c r="AF9947" s="22"/>
    </row>
    <row r="9948" spans="29:32" x14ac:dyDescent="0.2">
      <c r="AC9948" s="20"/>
      <c r="AE9948" s="22"/>
      <c r="AF9948" s="22"/>
    </row>
    <row r="9949" spans="29:32" x14ac:dyDescent="0.2">
      <c r="AC9949" s="20"/>
      <c r="AE9949" s="22"/>
      <c r="AF9949" s="22"/>
    </row>
    <row r="9950" spans="29:32" x14ac:dyDescent="0.2">
      <c r="AC9950" s="20"/>
      <c r="AE9950" s="22"/>
      <c r="AF9950" s="22"/>
    </row>
    <row r="9951" spans="29:32" x14ac:dyDescent="0.2">
      <c r="AC9951" s="20"/>
      <c r="AE9951" s="22"/>
      <c r="AF9951" s="22"/>
    </row>
    <row r="9952" spans="29:32" x14ac:dyDescent="0.2">
      <c r="AC9952" s="20"/>
      <c r="AE9952" s="22"/>
      <c r="AF9952" s="22"/>
    </row>
    <row r="9953" spans="29:32" x14ac:dyDescent="0.2">
      <c r="AC9953" s="20"/>
      <c r="AE9953" s="22"/>
      <c r="AF9953" s="22"/>
    </row>
    <row r="9954" spans="29:32" x14ac:dyDescent="0.2">
      <c r="AC9954" s="20"/>
      <c r="AE9954" s="22"/>
      <c r="AF9954" s="22"/>
    </row>
    <row r="9955" spans="29:32" x14ac:dyDescent="0.2">
      <c r="AC9955" s="20"/>
      <c r="AE9955" s="22"/>
      <c r="AF9955" s="22"/>
    </row>
    <row r="9956" spans="29:32" x14ac:dyDescent="0.2">
      <c r="AC9956" s="20"/>
      <c r="AE9956" s="22"/>
      <c r="AF9956" s="22"/>
    </row>
    <row r="9957" spans="29:32" x14ac:dyDescent="0.2">
      <c r="AC9957" s="20"/>
      <c r="AE9957" s="22"/>
      <c r="AF9957" s="22"/>
    </row>
    <row r="9958" spans="29:32" x14ac:dyDescent="0.2">
      <c r="AC9958" s="20"/>
      <c r="AE9958" s="22"/>
      <c r="AF9958" s="22"/>
    </row>
    <row r="9959" spans="29:32" x14ac:dyDescent="0.2">
      <c r="AC9959" s="20"/>
      <c r="AE9959" s="22"/>
      <c r="AF9959" s="22"/>
    </row>
    <row r="9960" spans="29:32" x14ac:dyDescent="0.2">
      <c r="AC9960" s="20"/>
      <c r="AE9960" s="22"/>
      <c r="AF9960" s="22"/>
    </row>
    <row r="9961" spans="29:32" x14ac:dyDescent="0.2">
      <c r="AC9961" s="20"/>
      <c r="AE9961" s="22"/>
      <c r="AF9961" s="22"/>
    </row>
    <row r="9962" spans="29:32" x14ac:dyDescent="0.2">
      <c r="AC9962" s="20"/>
      <c r="AE9962" s="22"/>
      <c r="AF9962" s="22"/>
    </row>
    <row r="9963" spans="29:32" x14ac:dyDescent="0.2">
      <c r="AC9963" s="20"/>
      <c r="AE9963" s="22"/>
      <c r="AF9963" s="22"/>
    </row>
    <row r="9964" spans="29:32" x14ac:dyDescent="0.2">
      <c r="AC9964" s="20"/>
      <c r="AE9964" s="22"/>
      <c r="AF9964" s="22"/>
    </row>
    <row r="9965" spans="29:32" x14ac:dyDescent="0.2">
      <c r="AC9965" s="20"/>
      <c r="AE9965" s="22"/>
      <c r="AF9965" s="22"/>
    </row>
    <row r="9966" spans="29:32" x14ac:dyDescent="0.2">
      <c r="AC9966" s="20"/>
      <c r="AE9966" s="22"/>
      <c r="AF9966" s="22"/>
    </row>
    <row r="9967" spans="29:32" x14ac:dyDescent="0.2">
      <c r="AC9967" s="20"/>
      <c r="AE9967" s="22"/>
      <c r="AF9967" s="22"/>
    </row>
    <row r="9968" spans="29:32" x14ac:dyDescent="0.2">
      <c r="AC9968" s="20"/>
      <c r="AE9968" s="22"/>
      <c r="AF9968" s="22"/>
    </row>
    <row r="9969" spans="29:32" x14ac:dyDescent="0.2">
      <c r="AC9969" s="20"/>
      <c r="AE9969" s="22"/>
      <c r="AF9969" s="22"/>
    </row>
    <row r="9970" spans="29:32" x14ac:dyDescent="0.2">
      <c r="AC9970" s="20"/>
      <c r="AE9970" s="22"/>
      <c r="AF9970" s="22"/>
    </row>
    <row r="9971" spans="29:32" x14ac:dyDescent="0.2">
      <c r="AC9971" s="20"/>
      <c r="AE9971" s="22"/>
      <c r="AF9971" s="22"/>
    </row>
    <row r="9972" spans="29:32" x14ac:dyDescent="0.2">
      <c r="AC9972" s="20"/>
      <c r="AE9972" s="22"/>
      <c r="AF9972" s="22"/>
    </row>
    <row r="9973" spans="29:32" x14ac:dyDescent="0.2">
      <c r="AC9973" s="20"/>
      <c r="AE9973" s="22"/>
      <c r="AF9973" s="22"/>
    </row>
    <row r="9974" spans="29:32" x14ac:dyDescent="0.2">
      <c r="AC9974" s="20"/>
      <c r="AE9974" s="22"/>
      <c r="AF9974" s="22"/>
    </row>
    <row r="9975" spans="29:32" x14ac:dyDescent="0.2">
      <c r="AC9975" s="20"/>
      <c r="AE9975" s="22"/>
      <c r="AF9975" s="22"/>
    </row>
    <row r="9976" spans="29:32" x14ac:dyDescent="0.2">
      <c r="AC9976" s="20"/>
      <c r="AE9976" s="22"/>
      <c r="AF9976" s="22"/>
    </row>
    <row r="9977" spans="29:32" x14ac:dyDescent="0.2">
      <c r="AC9977" s="20"/>
      <c r="AE9977" s="22"/>
      <c r="AF9977" s="22"/>
    </row>
    <row r="9978" spans="29:32" x14ac:dyDescent="0.2">
      <c r="AC9978" s="20"/>
      <c r="AE9978" s="22"/>
      <c r="AF9978" s="22"/>
    </row>
    <row r="9979" spans="29:32" x14ac:dyDescent="0.2">
      <c r="AC9979" s="20"/>
      <c r="AE9979" s="22"/>
      <c r="AF9979" s="22"/>
    </row>
    <row r="9980" spans="29:32" x14ac:dyDescent="0.2">
      <c r="AC9980" s="20"/>
      <c r="AE9980" s="22"/>
      <c r="AF9980" s="22"/>
    </row>
    <row r="9981" spans="29:32" x14ac:dyDescent="0.2">
      <c r="AC9981" s="20"/>
      <c r="AE9981" s="22"/>
      <c r="AF9981" s="22"/>
    </row>
    <row r="9982" spans="29:32" x14ac:dyDescent="0.2">
      <c r="AC9982" s="20"/>
      <c r="AE9982" s="22"/>
      <c r="AF9982" s="22"/>
    </row>
    <row r="9983" spans="29:32" x14ac:dyDescent="0.2">
      <c r="AC9983" s="20"/>
      <c r="AE9983" s="22"/>
      <c r="AF9983" s="22"/>
    </row>
    <row r="9984" spans="29:32" x14ac:dyDescent="0.2">
      <c r="AC9984" s="20"/>
      <c r="AE9984" s="22"/>
      <c r="AF9984" s="22"/>
    </row>
    <row r="9985" spans="29:32" x14ac:dyDescent="0.2">
      <c r="AC9985" s="20"/>
      <c r="AE9985" s="22"/>
      <c r="AF9985" s="22"/>
    </row>
    <row r="9986" spans="29:32" x14ac:dyDescent="0.2">
      <c r="AC9986" s="20"/>
      <c r="AE9986" s="22"/>
      <c r="AF9986" s="22"/>
    </row>
    <row r="9987" spans="29:32" x14ac:dyDescent="0.2">
      <c r="AC9987" s="20"/>
      <c r="AE9987" s="22"/>
      <c r="AF9987" s="22"/>
    </row>
    <row r="9988" spans="29:32" x14ac:dyDescent="0.2">
      <c r="AC9988" s="20"/>
      <c r="AE9988" s="22"/>
      <c r="AF9988" s="22"/>
    </row>
    <row r="9989" spans="29:32" x14ac:dyDescent="0.2">
      <c r="AC9989" s="20"/>
      <c r="AE9989" s="22"/>
      <c r="AF9989" s="22"/>
    </row>
    <row r="9990" spans="29:32" x14ac:dyDescent="0.2">
      <c r="AC9990" s="20"/>
      <c r="AE9990" s="22"/>
      <c r="AF9990" s="22"/>
    </row>
    <row r="9991" spans="29:32" x14ac:dyDescent="0.2">
      <c r="AC9991" s="20"/>
      <c r="AE9991" s="22"/>
      <c r="AF9991" s="22"/>
    </row>
    <row r="9992" spans="29:32" x14ac:dyDescent="0.2">
      <c r="AC9992" s="20"/>
      <c r="AE9992" s="22"/>
      <c r="AF9992" s="22"/>
    </row>
    <row r="9993" spans="29:32" x14ac:dyDescent="0.2">
      <c r="AC9993" s="20"/>
      <c r="AE9993" s="22"/>
      <c r="AF9993" s="22"/>
    </row>
    <row r="9994" spans="29:32" x14ac:dyDescent="0.2">
      <c r="AC9994" s="20"/>
      <c r="AE9994" s="22"/>
      <c r="AF9994" s="22"/>
    </row>
    <row r="9995" spans="29:32" x14ac:dyDescent="0.2">
      <c r="AC9995" s="20"/>
      <c r="AE9995" s="22"/>
      <c r="AF9995" s="22"/>
    </row>
    <row r="9996" spans="29:32" x14ac:dyDescent="0.2">
      <c r="AC9996" s="20"/>
      <c r="AE9996" s="22"/>
      <c r="AF9996" s="22"/>
    </row>
    <row r="9997" spans="29:32" x14ac:dyDescent="0.2">
      <c r="AC9997" s="20"/>
      <c r="AE9997" s="22"/>
      <c r="AF9997" s="22"/>
    </row>
    <row r="9998" spans="29:32" x14ac:dyDescent="0.2">
      <c r="AC9998" s="20"/>
      <c r="AE9998" s="22"/>
      <c r="AF9998" s="22"/>
    </row>
    <row r="9999" spans="29:32" x14ac:dyDescent="0.2">
      <c r="AC9999" s="20"/>
      <c r="AE9999" s="22"/>
      <c r="AF9999" s="22"/>
    </row>
    <row r="10000" spans="29:32" x14ac:dyDescent="0.2">
      <c r="AC10000" s="20"/>
      <c r="AE10000" s="22"/>
      <c r="AF10000" s="22"/>
    </row>
    <row r="10001" spans="29:32" x14ac:dyDescent="0.2">
      <c r="AC10001" s="20"/>
      <c r="AE10001" s="22"/>
      <c r="AF10001" s="22"/>
    </row>
    <row r="10002" spans="29:32" x14ac:dyDescent="0.2">
      <c r="AC10002" s="20"/>
      <c r="AE10002" s="22"/>
      <c r="AF10002" s="22"/>
    </row>
    <row r="10003" spans="29:32" x14ac:dyDescent="0.2">
      <c r="AE10003" s="22"/>
      <c r="AF10003" s="22"/>
    </row>
  </sheetData>
  <autoFilter ref="AN2:AO983" xr:uid="{00000000-0001-0000-0000-000000000000}">
    <sortState xmlns:xlrd2="http://schemas.microsoft.com/office/spreadsheetml/2017/richdata2" ref="AN3:AO983">
      <sortCondition descending="1" ref="AN2:AN983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multiple risky assets</vt:lpstr>
      <vt:lpstr>MeanDeviation</vt:lpstr>
      <vt:lpstr>N</vt:lpstr>
      <vt:lpstr>stddev</vt:lpstr>
      <vt:lpstr>var_covar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Pal, AVANTIKA</cp:lastModifiedBy>
  <dcterms:created xsi:type="dcterms:W3CDTF">2025-10-01T15:28:06Z</dcterms:created>
  <dcterms:modified xsi:type="dcterms:W3CDTF">2025-10-02T12:02:02Z</dcterms:modified>
</cp:coreProperties>
</file>